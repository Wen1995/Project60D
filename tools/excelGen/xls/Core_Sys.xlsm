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3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PLAYER_LEVEL" sheetId="44" r:id="rId7"/>
    <sheet name="MANOR_LEVEL" sheetId="45" r:id="rId8"/>
    <sheet name="ROB_PROPORTION" sheetId="62" r:id="rId9"/>
    <sheet name="PLAYER_ATTR" sheetId="60" r:id="rId10"/>
    <sheet name="ZOMBIE_ATTR" sheetId="51" r:id="rId11"/>
    <sheet name="WORLD_EVENTS" sheetId="57" r:id="rId12"/>
    <sheet name="ARITHMETIC_COEFFICIENT" sheetId="53" r:id="rId13"/>
  </sheets>
  <calcPr calcId="152511"/>
</workbook>
</file>

<file path=xl/calcChain.xml><?xml version="1.0" encoding="utf-8"?>
<calcChain xmlns="http://schemas.openxmlformats.org/spreadsheetml/2006/main">
  <c r="AF6" i="9" l="1"/>
  <c r="AF7" i="9"/>
  <c r="AF8" i="9"/>
  <c r="AF9" i="9"/>
  <c r="AF10" i="9"/>
  <c r="AF11" i="9"/>
  <c r="AF12" i="9"/>
  <c r="AF13" i="9"/>
  <c r="AF14" i="9"/>
  <c r="AF15" i="9"/>
  <c r="AF16" i="9"/>
  <c r="AF17" i="9"/>
  <c r="AF18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48" i="9"/>
  <c r="AF49" i="9"/>
  <c r="AF50" i="9"/>
  <c r="AF51" i="9"/>
  <c r="AF52" i="9"/>
  <c r="AF53" i="9"/>
  <c r="AF54" i="9"/>
  <c r="AF55" i="9"/>
  <c r="AF56" i="9"/>
  <c r="AF57" i="9"/>
  <c r="AF58" i="9"/>
  <c r="AF59" i="9"/>
  <c r="AF60" i="9"/>
  <c r="AF61" i="9"/>
  <c r="AF62" i="9"/>
  <c r="AF63" i="9"/>
  <c r="AF64" i="9"/>
  <c r="AF65" i="9"/>
  <c r="AF66" i="9"/>
  <c r="AF67" i="9"/>
  <c r="AF68" i="9"/>
  <c r="AF69" i="9"/>
  <c r="AF70" i="9"/>
  <c r="AF71" i="9"/>
  <c r="AF72" i="9"/>
  <c r="AF73" i="9"/>
  <c r="AF74" i="9"/>
  <c r="AF75" i="9"/>
  <c r="AF76" i="9"/>
  <c r="AF77" i="9"/>
  <c r="AF78" i="9"/>
  <c r="AF79" i="9"/>
  <c r="AF80" i="9"/>
  <c r="AF81" i="9"/>
  <c r="AF82" i="9"/>
  <c r="AF83" i="9"/>
  <c r="AF84" i="9"/>
  <c r="AF85" i="9"/>
  <c r="AF86" i="9"/>
  <c r="AF87" i="9"/>
  <c r="AF88" i="9"/>
  <c r="AF89" i="9"/>
  <c r="AF90" i="9"/>
  <c r="AF91" i="9"/>
  <c r="AF92" i="9"/>
  <c r="AF93" i="9"/>
  <c r="AF94" i="9"/>
  <c r="AF95" i="9"/>
  <c r="AF96" i="9"/>
  <c r="AF97" i="9"/>
  <c r="AF98" i="9"/>
  <c r="AF99" i="9"/>
  <c r="AF100" i="9"/>
  <c r="AF101" i="9"/>
  <c r="AF102" i="9"/>
  <c r="AF103" i="9"/>
  <c r="AF104" i="9"/>
  <c r="AF105" i="9"/>
  <c r="AF106" i="9"/>
  <c r="AF107" i="9"/>
  <c r="AF108" i="9"/>
  <c r="AF109" i="9"/>
  <c r="AF110" i="9"/>
  <c r="AF111" i="9"/>
  <c r="AF112" i="9"/>
  <c r="AF113" i="9"/>
  <c r="AF114" i="9"/>
  <c r="AF115" i="9"/>
  <c r="AF116" i="9"/>
  <c r="AF117" i="9"/>
  <c r="AF118" i="9"/>
  <c r="AF119" i="9"/>
  <c r="AF120" i="9"/>
  <c r="AF121" i="9"/>
  <c r="AF122" i="9"/>
  <c r="AF123" i="9"/>
  <c r="AF124" i="9"/>
  <c r="AF125" i="9"/>
  <c r="AF126" i="9"/>
  <c r="AF127" i="9"/>
  <c r="AF128" i="9"/>
  <c r="AF129" i="9"/>
  <c r="AF130" i="9"/>
  <c r="AF131" i="9"/>
  <c r="AF132" i="9"/>
  <c r="AF133" i="9"/>
  <c r="AF134" i="9"/>
  <c r="AF135" i="9"/>
  <c r="AF136" i="9"/>
  <c r="AF137" i="9"/>
  <c r="AF138" i="9"/>
  <c r="AF139" i="9"/>
  <c r="AF140" i="9"/>
  <c r="AF141" i="9"/>
  <c r="AF142" i="9"/>
  <c r="AF143" i="9"/>
  <c r="AF144" i="9"/>
  <c r="AF145" i="9"/>
  <c r="AF146" i="9"/>
  <c r="AF147" i="9"/>
  <c r="AF148" i="9"/>
  <c r="AF149" i="9"/>
  <c r="AF150" i="9"/>
  <c r="AF151" i="9"/>
  <c r="AF152" i="9"/>
  <c r="AF153" i="9"/>
  <c r="AF154" i="9"/>
  <c r="AF155" i="9"/>
  <c r="AF156" i="9"/>
  <c r="AF157" i="9"/>
  <c r="AF158" i="9"/>
  <c r="AF159" i="9"/>
  <c r="AF160" i="9"/>
  <c r="AF161" i="9"/>
  <c r="AF162" i="9"/>
  <c r="AF163" i="9"/>
  <c r="AF164" i="9"/>
  <c r="AF165" i="9"/>
  <c r="AF166" i="9"/>
  <c r="AF167" i="9"/>
  <c r="AF168" i="9"/>
  <c r="AF169" i="9"/>
  <c r="AF170" i="9"/>
  <c r="AF171" i="9"/>
  <c r="AF172" i="9"/>
  <c r="AF173" i="9"/>
  <c r="AF174" i="9"/>
  <c r="AF175" i="9"/>
  <c r="AF176" i="9"/>
  <c r="AF177" i="9"/>
  <c r="AF178" i="9"/>
  <c r="AF179" i="9"/>
  <c r="AF180" i="9"/>
  <c r="AF181" i="9"/>
  <c r="AF182" i="9"/>
  <c r="AF183" i="9"/>
  <c r="AF184" i="9"/>
  <c r="AF185" i="9"/>
  <c r="AF186" i="9"/>
  <c r="AF187" i="9"/>
  <c r="AF188" i="9"/>
  <c r="AF189" i="9"/>
  <c r="AF190" i="9"/>
  <c r="AF191" i="9"/>
  <c r="AF192" i="9"/>
  <c r="AF193" i="9"/>
  <c r="AF194" i="9"/>
  <c r="AF195" i="9"/>
  <c r="AF196" i="9"/>
  <c r="AF197" i="9"/>
  <c r="AF198" i="9"/>
  <c r="AF199" i="9"/>
  <c r="AF200" i="9"/>
  <c r="AF201" i="9"/>
  <c r="AF202" i="9"/>
  <c r="AF203" i="9"/>
  <c r="AF204" i="9"/>
  <c r="AF205" i="9"/>
  <c r="AF206" i="9"/>
  <c r="AF207" i="9"/>
  <c r="AF208" i="9"/>
  <c r="AF209" i="9"/>
  <c r="AF210" i="9"/>
  <c r="AF211" i="9"/>
  <c r="AF212" i="9"/>
  <c r="AF213" i="9"/>
  <c r="AF214" i="9"/>
  <c r="AF215" i="9"/>
  <c r="AF216" i="9"/>
  <c r="AF217" i="9"/>
  <c r="AF218" i="9"/>
  <c r="AF219" i="9"/>
  <c r="AF220" i="9"/>
  <c r="AF221" i="9"/>
  <c r="AF222" i="9"/>
  <c r="AF223" i="9"/>
  <c r="AF224" i="9"/>
  <c r="AF225" i="9"/>
  <c r="AF226" i="9"/>
  <c r="AF227" i="9"/>
  <c r="AF228" i="9"/>
  <c r="AF229" i="9"/>
  <c r="AF230" i="9"/>
  <c r="AF231" i="9"/>
  <c r="AF232" i="9"/>
  <c r="AF233" i="9"/>
  <c r="AF234" i="9"/>
  <c r="AF235" i="9"/>
  <c r="AF236" i="9"/>
  <c r="AF237" i="9"/>
  <c r="AF238" i="9"/>
  <c r="AF239" i="9"/>
  <c r="AF240" i="9"/>
  <c r="AF241" i="9"/>
  <c r="AF242" i="9"/>
  <c r="AF243" i="9"/>
  <c r="AF244" i="9"/>
  <c r="AF245" i="9"/>
  <c r="AF246" i="9"/>
  <c r="AF247" i="9"/>
  <c r="AF248" i="9"/>
  <c r="AF249" i="9"/>
  <c r="AF250" i="9"/>
  <c r="AF251" i="9"/>
  <c r="AF252" i="9"/>
  <c r="AF253" i="9"/>
  <c r="AF254" i="9"/>
  <c r="AF255" i="9"/>
  <c r="AF256" i="9"/>
  <c r="AF257" i="9"/>
  <c r="AF258" i="9"/>
  <c r="AF259" i="9"/>
  <c r="AF260" i="9"/>
  <c r="AF261" i="9"/>
  <c r="AF262" i="9"/>
  <c r="AF263" i="9"/>
  <c r="AF264" i="9"/>
  <c r="AF265" i="9"/>
  <c r="AF266" i="9"/>
  <c r="AF267" i="9"/>
  <c r="AF268" i="9"/>
  <c r="AF269" i="9"/>
  <c r="AF270" i="9"/>
  <c r="AF271" i="9"/>
  <c r="AF272" i="9"/>
  <c r="AF273" i="9"/>
  <c r="AF274" i="9"/>
  <c r="AF275" i="9"/>
  <c r="AF276" i="9"/>
  <c r="AF277" i="9"/>
  <c r="AF278" i="9"/>
  <c r="AF279" i="9"/>
  <c r="AF280" i="9"/>
  <c r="AF281" i="9"/>
  <c r="AF282" i="9"/>
  <c r="AF283" i="9"/>
  <c r="AF284" i="9"/>
  <c r="AF285" i="9"/>
  <c r="AF286" i="9"/>
  <c r="AF287" i="9"/>
  <c r="AF288" i="9"/>
  <c r="AF289" i="9"/>
  <c r="AF290" i="9"/>
  <c r="AF291" i="9"/>
  <c r="AF292" i="9"/>
  <c r="AF293" i="9"/>
  <c r="AF294" i="9"/>
  <c r="AF295" i="9"/>
  <c r="AF296" i="9"/>
  <c r="AF297" i="9"/>
  <c r="AF298" i="9"/>
  <c r="AF299" i="9"/>
  <c r="AF300" i="9"/>
  <c r="AF301" i="9"/>
  <c r="AF302" i="9"/>
  <c r="AF303" i="9"/>
  <c r="AF304" i="9"/>
  <c r="AF305" i="9"/>
  <c r="AF306" i="9"/>
  <c r="AF307" i="9"/>
  <c r="AF308" i="9"/>
  <c r="AF309" i="9"/>
  <c r="AF310" i="9"/>
  <c r="AF311" i="9"/>
  <c r="AF312" i="9"/>
  <c r="AF313" i="9"/>
  <c r="AF314" i="9"/>
  <c r="AF315" i="9"/>
  <c r="AF316" i="9"/>
  <c r="AF317" i="9"/>
  <c r="AF318" i="9"/>
  <c r="AF319" i="9"/>
  <c r="AF320" i="9"/>
  <c r="AF321" i="9"/>
  <c r="AF322" i="9"/>
  <c r="AF323" i="9"/>
  <c r="AF324" i="9"/>
  <c r="AF325" i="9"/>
  <c r="AF326" i="9"/>
  <c r="AF327" i="9"/>
  <c r="AF328" i="9"/>
  <c r="AF329" i="9"/>
  <c r="AF330" i="9"/>
  <c r="AF331" i="9"/>
  <c r="AF332" i="9"/>
  <c r="AF333" i="9"/>
  <c r="AF334" i="9"/>
  <c r="AF335" i="9"/>
  <c r="AF336" i="9"/>
  <c r="AF337" i="9"/>
  <c r="AF338" i="9"/>
  <c r="AF339" i="9"/>
  <c r="AF340" i="9"/>
  <c r="AF341" i="9"/>
  <c r="AF342" i="9"/>
  <c r="AF343" i="9"/>
  <c r="AF344" i="9"/>
  <c r="AF345" i="9"/>
  <c r="AF346" i="9"/>
  <c r="AF347" i="9"/>
  <c r="AF348" i="9"/>
  <c r="AF349" i="9"/>
  <c r="AF350" i="9"/>
  <c r="AF351" i="9"/>
  <c r="AF352" i="9"/>
  <c r="AF353" i="9"/>
  <c r="AF354" i="9"/>
  <c r="AF355" i="9"/>
  <c r="AF356" i="9"/>
  <c r="AF357" i="9"/>
  <c r="AF358" i="9"/>
  <c r="AF359" i="9"/>
  <c r="AF360" i="9"/>
  <c r="AF361" i="9"/>
  <c r="AF362" i="9"/>
  <c r="AF363" i="9"/>
  <c r="AF364" i="9"/>
  <c r="AF365" i="9"/>
  <c r="AF366" i="9"/>
  <c r="AF367" i="9"/>
  <c r="AF368" i="9"/>
  <c r="AF369" i="9"/>
  <c r="AF370" i="9"/>
  <c r="AF371" i="9"/>
  <c r="AF372" i="9"/>
  <c r="AF373" i="9"/>
  <c r="AF374" i="9"/>
  <c r="AF375" i="9"/>
  <c r="AF376" i="9"/>
  <c r="AF377" i="9"/>
  <c r="AF378" i="9"/>
  <c r="AF379" i="9"/>
  <c r="AF380" i="9"/>
  <c r="AF381" i="9"/>
  <c r="AF382" i="9"/>
  <c r="AF383" i="9"/>
  <c r="AF384" i="9"/>
  <c r="AF385" i="9"/>
  <c r="AF386" i="9"/>
  <c r="AF387" i="9"/>
  <c r="AF388" i="9"/>
  <c r="AF389" i="9"/>
  <c r="AF390" i="9"/>
  <c r="AF391" i="9"/>
  <c r="AF392" i="9"/>
  <c r="AF393" i="9"/>
  <c r="AF394" i="9"/>
  <c r="AF395" i="9"/>
  <c r="AF396" i="9"/>
  <c r="AF397" i="9"/>
  <c r="AF398" i="9"/>
  <c r="AF399" i="9"/>
  <c r="AF400" i="9"/>
  <c r="AF401" i="9"/>
  <c r="AF402" i="9"/>
  <c r="AF403" i="9"/>
  <c r="AF404" i="9"/>
  <c r="AF405" i="9"/>
  <c r="AF406" i="9"/>
  <c r="AF407" i="9"/>
  <c r="AF408" i="9"/>
  <c r="AF409" i="9"/>
  <c r="AF410" i="9"/>
  <c r="AF411" i="9"/>
  <c r="AF412" i="9"/>
  <c r="AF413" i="9"/>
  <c r="AF414" i="9"/>
  <c r="AF415" i="9"/>
  <c r="AF416" i="9"/>
  <c r="AF417" i="9"/>
  <c r="AF418" i="9"/>
  <c r="AF419" i="9"/>
  <c r="AF420" i="9"/>
  <c r="AF421" i="9"/>
  <c r="AF422" i="9"/>
  <c r="AF423" i="9"/>
  <c r="AF424" i="9"/>
  <c r="AF425" i="9"/>
  <c r="AF426" i="9"/>
  <c r="AF427" i="9"/>
  <c r="AF428" i="9"/>
  <c r="AF429" i="9"/>
  <c r="AF430" i="9"/>
  <c r="AF431" i="9"/>
  <c r="AF432" i="9"/>
  <c r="AF433" i="9"/>
  <c r="AF434" i="9"/>
  <c r="AF435" i="9"/>
  <c r="AF436" i="9"/>
  <c r="AF437" i="9"/>
  <c r="AF438" i="9"/>
  <c r="AF439" i="9"/>
  <c r="AF440" i="9"/>
  <c r="AF441" i="9"/>
  <c r="AF442" i="9"/>
  <c r="AF443" i="9"/>
  <c r="AF444" i="9"/>
  <c r="AF445" i="9"/>
  <c r="AF446" i="9"/>
  <c r="AF447" i="9"/>
  <c r="AF448" i="9"/>
  <c r="AF449" i="9"/>
  <c r="AF450" i="9"/>
  <c r="AF451" i="9"/>
  <c r="AF452" i="9"/>
  <c r="AF453" i="9"/>
  <c r="AF454" i="9"/>
  <c r="AF455" i="9"/>
  <c r="AF456" i="9"/>
  <c r="AF457" i="9"/>
  <c r="AF458" i="9"/>
  <c r="AF459" i="9"/>
  <c r="AF460" i="9"/>
  <c r="AF461" i="9"/>
  <c r="AF462" i="9"/>
  <c r="AF463" i="9"/>
  <c r="AF464" i="9"/>
  <c r="AF465" i="9"/>
  <c r="AF466" i="9"/>
  <c r="AF467" i="9"/>
  <c r="AF468" i="9"/>
  <c r="AF469" i="9"/>
  <c r="AF470" i="9"/>
  <c r="AF471" i="9"/>
  <c r="AF472" i="9"/>
  <c r="AF473" i="9"/>
  <c r="AF474" i="9"/>
  <c r="AF475" i="9"/>
  <c r="AF476" i="9"/>
  <c r="AF477" i="9"/>
  <c r="AF478" i="9"/>
  <c r="AF479" i="9"/>
  <c r="AF480" i="9"/>
  <c r="AF481" i="9"/>
  <c r="AF482" i="9"/>
  <c r="AF483" i="9"/>
  <c r="AF484" i="9"/>
  <c r="AF485" i="9"/>
  <c r="AF486" i="9"/>
  <c r="AF487" i="9"/>
  <c r="AF488" i="9"/>
  <c r="AF489" i="9"/>
  <c r="AF490" i="9"/>
  <c r="AF491" i="9"/>
  <c r="AF492" i="9"/>
  <c r="AF493" i="9"/>
  <c r="AF494" i="9"/>
  <c r="AF495" i="9"/>
  <c r="AF496" i="9"/>
  <c r="AF497" i="9"/>
  <c r="AF498" i="9"/>
  <c r="AF499" i="9"/>
  <c r="AF500" i="9"/>
  <c r="AF501" i="9"/>
  <c r="AF502" i="9"/>
  <c r="AF503" i="9"/>
  <c r="AF504" i="9"/>
  <c r="AF505" i="9"/>
  <c r="AF506" i="9"/>
  <c r="AF507" i="9"/>
  <c r="AF508" i="9"/>
  <c r="AF509" i="9"/>
  <c r="AF510" i="9"/>
  <c r="AF511" i="9"/>
  <c r="AF512" i="9"/>
  <c r="AF513" i="9"/>
  <c r="AF514" i="9"/>
  <c r="AF515" i="9"/>
  <c r="AF516" i="9"/>
  <c r="AF517" i="9"/>
  <c r="AF518" i="9"/>
  <c r="AF519" i="9"/>
  <c r="AF520" i="9"/>
  <c r="AF521" i="9"/>
  <c r="AF522" i="9"/>
  <c r="AF523" i="9"/>
  <c r="AF524" i="9"/>
  <c r="AF525" i="9"/>
  <c r="AF526" i="9"/>
  <c r="AF527" i="9"/>
  <c r="AF528" i="9"/>
  <c r="AF529" i="9"/>
  <c r="AF530" i="9"/>
  <c r="AF531" i="9"/>
  <c r="AF532" i="9"/>
  <c r="AF533" i="9"/>
  <c r="AF534" i="9"/>
  <c r="AF535" i="9"/>
  <c r="AF536" i="9"/>
  <c r="AF537" i="9"/>
  <c r="AF538" i="9"/>
  <c r="AF539" i="9"/>
  <c r="AF540" i="9"/>
  <c r="AF541" i="9"/>
  <c r="AF542" i="9"/>
  <c r="AF543" i="9"/>
  <c r="AF544" i="9"/>
  <c r="AF545" i="9"/>
  <c r="AF546" i="9"/>
  <c r="AF547" i="9"/>
  <c r="AF548" i="9"/>
  <c r="AF549" i="9"/>
  <c r="AF550" i="9"/>
  <c r="AF551" i="9"/>
  <c r="AF552" i="9"/>
  <c r="AF553" i="9"/>
  <c r="AF554" i="9"/>
  <c r="AF555" i="9"/>
  <c r="AF556" i="9"/>
  <c r="AF557" i="9"/>
  <c r="AF558" i="9"/>
  <c r="AF559" i="9"/>
  <c r="AF560" i="9"/>
  <c r="AF561" i="9"/>
  <c r="AF562" i="9"/>
  <c r="AF563" i="9"/>
  <c r="AF564" i="9"/>
  <c r="AF5" i="9"/>
  <c r="AZ465" i="9"/>
  <c r="AZ165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BQ304" i="9" l="1"/>
  <c r="AS304" i="9" s="1"/>
  <c r="BO304" i="9"/>
  <c r="BJ304" i="9"/>
  <c r="BE304" i="9"/>
  <c r="AZ304" i="9"/>
  <c r="AU304" i="9"/>
  <c r="AQ304" i="9"/>
  <c r="AO304" i="9"/>
  <c r="AM304" i="9"/>
  <c r="AA304" i="9"/>
  <c r="X304" i="9"/>
  <c r="F304" i="9"/>
  <c r="C304" i="9"/>
  <c r="A304" i="9" s="1"/>
  <c r="BQ303" i="9"/>
  <c r="AS303" i="9" s="1"/>
  <c r="BO303" i="9"/>
  <c r="BJ303" i="9"/>
  <c r="BE303" i="9"/>
  <c r="AZ303" i="9"/>
  <c r="AU303" i="9"/>
  <c r="AQ303" i="9"/>
  <c r="AO303" i="9"/>
  <c r="AM303" i="9"/>
  <c r="AA303" i="9"/>
  <c r="X303" i="9"/>
  <c r="F303" i="9"/>
  <c r="C303" i="9"/>
  <c r="A303" i="9"/>
  <c r="BQ302" i="9"/>
  <c r="AS302" i="9" s="1"/>
  <c r="BO302" i="9"/>
  <c r="BJ302" i="9"/>
  <c r="BE302" i="9"/>
  <c r="AZ302" i="9"/>
  <c r="AU302" i="9"/>
  <c r="AQ302" i="9"/>
  <c r="AO302" i="9"/>
  <c r="AM302" i="9"/>
  <c r="AA302" i="9"/>
  <c r="X302" i="9"/>
  <c r="F302" i="9"/>
  <c r="C302" i="9"/>
  <c r="A302" i="9"/>
  <c r="BQ301" i="9"/>
  <c r="BO301" i="9"/>
  <c r="BJ301" i="9"/>
  <c r="BE301" i="9"/>
  <c r="AZ301" i="9"/>
  <c r="AU301" i="9"/>
  <c r="AS301" i="9"/>
  <c r="AQ301" i="9"/>
  <c r="AO301" i="9"/>
  <c r="AM301" i="9"/>
  <c r="AA301" i="9"/>
  <c r="X301" i="9"/>
  <c r="F301" i="9"/>
  <c r="C301" i="9"/>
  <c r="A301" i="9"/>
  <c r="BQ300" i="9"/>
  <c r="AS300" i="9" s="1"/>
  <c r="BO300" i="9"/>
  <c r="BJ300" i="9"/>
  <c r="BE300" i="9"/>
  <c r="AZ300" i="9"/>
  <c r="AU300" i="9"/>
  <c r="AQ300" i="9"/>
  <c r="AO300" i="9"/>
  <c r="AM300" i="9"/>
  <c r="AA300" i="9"/>
  <c r="X300" i="9"/>
  <c r="F300" i="9"/>
  <c r="C300" i="9"/>
  <c r="A300" i="9"/>
  <c r="BQ299" i="9"/>
  <c r="AS299" i="9" s="1"/>
  <c r="BO299" i="9"/>
  <c r="BJ299" i="9"/>
  <c r="BE299" i="9"/>
  <c r="AZ299" i="9"/>
  <c r="AU299" i="9"/>
  <c r="AQ299" i="9"/>
  <c r="AO299" i="9"/>
  <c r="AM299" i="9"/>
  <c r="AA299" i="9"/>
  <c r="X299" i="9"/>
  <c r="F299" i="9"/>
  <c r="C299" i="9"/>
  <c r="A299" i="9" s="1"/>
  <c r="BQ298" i="9"/>
  <c r="BO298" i="9"/>
  <c r="BJ298" i="9"/>
  <c r="BE298" i="9"/>
  <c r="AZ298" i="9"/>
  <c r="AU298" i="9"/>
  <c r="AS298" i="9"/>
  <c r="AQ298" i="9"/>
  <c r="AO298" i="9"/>
  <c r="AM298" i="9"/>
  <c r="AA298" i="9"/>
  <c r="X298" i="9"/>
  <c r="F298" i="9"/>
  <c r="C298" i="9"/>
  <c r="A298" i="9"/>
  <c r="BQ297" i="9"/>
  <c r="AS297" i="9" s="1"/>
  <c r="BO297" i="9"/>
  <c r="BJ297" i="9"/>
  <c r="BE297" i="9"/>
  <c r="AZ297" i="9"/>
  <c r="AU297" i="9"/>
  <c r="AQ297" i="9"/>
  <c r="AO297" i="9"/>
  <c r="AM297" i="9"/>
  <c r="AA297" i="9"/>
  <c r="X297" i="9"/>
  <c r="F297" i="9"/>
  <c r="C297" i="9"/>
  <c r="A297" i="9"/>
  <c r="BQ296" i="9"/>
  <c r="AS296" i="9" s="1"/>
  <c r="BO296" i="9"/>
  <c r="BJ296" i="9"/>
  <c r="BE296" i="9"/>
  <c r="AZ296" i="9"/>
  <c r="AU296" i="9"/>
  <c r="AQ296" i="9"/>
  <c r="AO296" i="9"/>
  <c r="AM296" i="9"/>
  <c r="AA296" i="9"/>
  <c r="X296" i="9"/>
  <c r="F296" i="9"/>
  <c r="C296" i="9"/>
  <c r="A296" i="9" s="1"/>
  <c r="BQ295" i="9"/>
  <c r="AS295" i="9" s="1"/>
  <c r="BO295" i="9"/>
  <c r="BJ295" i="9"/>
  <c r="BE295" i="9"/>
  <c r="AZ295" i="9"/>
  <c r="AU295" i="9"/>
  <c r="AQ295" i="9"/>
  <c r="AO295" i="9"/>
  <c r="AM295" i="9"/>
  <c r="AA295" i="9"/>
  <c r="X295" i="9"/>
  <c r="F295" i="9"/>
  <c r="C295" i="9"/>
  <c r="A295" i="9"/>
  <c r="BQ294" i="9"/>
  <c r="AS294" i="9" s="1"/>
  <c r="BO294" i="9"/>
  <c r="BJ294" i="9"/>
  <c r="BE294" i="9"/>
  <c r="AZ294" i="9"/>
  <c r="AU294" i="9"/>
  <c r="AQ294" i="9"/>
  <c r="AO294" i="9"/>
  <c r="AM294" i="9"/>
  <c r="AA294" i="9"/>
  <c r="X294" i="9"/>
  <c r="F294" i="9"/>
  <c r="C294" i="9"/>
  <c r="A294" i="9"/>
  <c r="BQ293" i="9"/>
  <c r="BO293" i="9"/>
  <c r="BJ293" i="9"/>
  <c r="BE293" i="9"/>
  <c r="AZ293" i="9"/>
  <c r="AU293" i="9"/>
  <c r="AS293" i="9"/>
  <c r="AQ293" i="9"/>
  <c r="AO293" i="9"/>
  <c r="AM293" i="9"/>
  <c r="AA293" i="9"/>
  <c r="X293" i="9"/>
  <c r="F293" i="9"/>
  <c r="C293" i="9"/>
  <c r="A293" i="9"/>
  <c r="BQ292" i="9"/>
  <c r="AS292" i="9" s="1"/>
  <c r="BO292" i="9"/>
  <c r="BJ292" i="9"/>
  <c r="BE292" i="9"/>
  <c r="AZ292" i="9"/>
  <c r="AU292" i="9"/>
  <c r="AQ292" i="9"/>
  <c r="AO292" i="9"/>
  <c r="AM292" i="9"/>
  <c r="AA292" i="9"/>
  <c r="X292" i="9"/>
  <c r="F292" i="9"/>
  <c r="C292" i="9"/>
  <c r="A292" i="9"/>
  <c r="BQ291" i="9"/>
  <c r="AS291" i="9" s="1"/>
  <c r="BO291" i="9"/>
  <c r="BJ291" i="9"/>
  <c r="BE291" i="9"/>
  <c r="AZ291" i="9"/>
  <c r="AU291" i="9"/>
  <c r="AQ291" i="9"/>
  <c r="AO291" i="9"/>
  <c r="AM291" i="9"/>
  <c r="AA291" i="9"/>
  <c r="X291" i="9"/>
  <c r="F291" i="9"/>
  <c r="C291" i="9"/>
  <c r="A291" i="9" s="1"/>
  <c r="BQ290" i="9"/>
  <c r="BO290" i="9"/>
  <c r="BJ290" i="9"/>
  <c r="BE290" i="9"/>
  <c r="AZ290" i="9"/>
  <c r="AU290" i="9"/>
  <c r="AS290" i="9"/>
  <c r="AQ290" i="9"/>
  <c r="AO290" i="9"/>
  <c r="AM290" i="9"/>
  <c r="AA290" i="9"/>
  <c r="X290" i="9"/>
  <c r="F290" i="9"/>
  <c r="C290" i="9"/>
  <c r="A290" i="9"/>
  <c r="BQ289" i="9"/>
  <c r="AS289" i="9" s="1"/>
  <c r="BO289" i="9"/>
  <c r="BJ289" i="9"/>
  <c r="BE289" i="9"/>
  <c r="AZ289" i="9"/>
  <c r="AU289" i="9"/>
  <c r="AQ289" i="9"/>
  <c r="AO289" i="9"/>
  <c r="AM289" i="9"/>
  <c r="AA289" i="9"/>
  <c r="X289" i="9"/>
  <c r="F289" i="9"/>
  <c r="C289" i="9"/>
  <c r="A289" i="9"/>
  <c r="BQ288" i="9"/>
  <c r="AS288" i="9" s="1"/>
  <c r="BO288" i="9"/>
  <c r="BJ288" i="9"/>
  <c r="BE288" i="9"/>
  <c r="AZ288" i="9"/>
  <c r="AU288" i="9"/>
  <c r="AQ288" i="9"/>
  <c r="AO288" i="9"/>
  <c r="AM288" i="9"/>
  <c r="AA288" i="9"/>
  <c r="X288" i="9"/>
  <c r="F288" i="9"/>
  <c r="C288" i="9"/>
  <c r="A288" i="9" s="1"/>
  <c r="BQ287" i="9"/>
  <c r="AS287" i="9" s="1"/>
  <c r="BO287" i="9"/>
  <c r="BJ287" i="9"/>
  <c r="BE287" i="9"/>
  <c r="AZ287" i="9"/>
  <c r="AU287" i="9"/>
  <c r="AQ287" i="9"/>
  <c r="AO287" i="9"/>
  <c r="AM287" i="9"/>
  <c r="AA287" i="9"/>
  <c r="X287" i="9"/>
  <c r="F287" i="9"/>
  <c r="C287" i="9"/>
  <c r="A287" i="9"/>
  <c r="BQ286" i="9"/>
  <c r="AS286" i="9" s="1"/>
  <c r="BO286" i="9"/>
  <c r="BJ286" i="9"/>
  <c r="BE286" i="9"/>
  <c r="AZ286" i="9"/>
  <c r="AU286" i="9"/>
  <c r="AQ286" i="9"/>
  <c r="AO286" i="9"/>
  <c r="AM286" i="9"/>
  <c r="AA286" i="9"/>
  <c r="X286" i="9"/>
  <c r="F286" i="9"/>
  <c r="C286" i="9"/>
  <c r="A286" i="9"/>
  <c r="BQ285" i="9"/>
  <c r="BO285" i="9"/>
  <c r="BJ285" i="9"/>
  <c r="BE285" i="9"/>
  <c r="AZ285" i="9"/>
  <c r="AU285" i="9"/>
  <c r="AS285" i="9"/>
  <c r="AQ285" i="9"/>
  <c r="AO285" i="9"/>
  <c r="AM285" i="9"/>
  <c r="AA285" i="9"/>
  <c r="X285" i="9"/>
  <c r="F285" i="9"/>
  <c r="C285" i="9"/>
  <c r="A285" i="9"/>
  <c r="AJ304" i="9" l="1"/>
  <c r="AI304" i="9" s="1"/>
  <c r="AJ289" i="9"/>
  <c r="AI289" i="9" s="1"/>
  <c r="AJ290" i="9"/>
  <c r="AI290" i="9" s="1"/>
  <c r="AJ297" i="9"/>
  <c r="AI297" i="9" s="1"/>
  <c r="AJ298" i="9"/>
  <c r="AI298" i="9" s="1"/>
  <c r="AJ286" i="9"/>
  <c r="AI286" i="9" s="1"/>
  <c r="AJ287" i="9"/>
  <c r="AI287" i="9" s="1"/>
  <c r="AJ294" i="9"/>
  <c r="AJ293" i="9"/>
  <c r="AI293" i="9" s="1"/>
  <c r="AJ295" i="9"/>
  <c r="AI295" i="9" s="1"/>
  <c r="AJ302" i="9"/>
  <c r="AJ291" i="9"/>
  <c r="AJ303" i="9"/>
  <c r="AJ299" i="9"/>
  <c r="AI299" i="9" s="1"/>
  <c r="AJ285" i="9"/>
  <c r="AJ301" i="9"/>
  <c r="AI301" i="9" s="1"/>
  <c r="AJ288" i="9"/>
  <c r="AJ292" i="9"/>
  <c r="AI292" i="9" s="1"/>
  <c r="AJ296" i="9"/>
  <c r="AI296" i="9" s="1"/>
  <c r="AJ300" i="9"/>
  <c r="AI300" i="9" s="1"/>
  <c r="AK293" i="9" l="1"/>
  <c r="AK296" i="9"/>
  <c r="AK290" i="9"/>
  <c r="AK299" i="9"/>
  <c r="AK300" i="9"/>
  <c r="AK287" i="9"/>
  <c r="AK301" i="9"/>
  <c r="AK298" i="9"/>
  <c r="AK297" i="9"/>
  <c r="AI294" i="9"/>
  <c r="AK295" i="9" s="1"/>
  <c r="AI288" i="9"/>
  <c r="AK289" i="9" s="1"/>
  <c r="AI291" i="9"/>
  <c r="AK292" i="9" s="1"/>
  <c r="AI302" i="9"/>
  <c r="AI303" i="9"/>
  <c r="AK304" i="9" s="1"/>
  <c r="AI285" i="9"/>
  <c r="W5" i="57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V5" i="57"/>
  <c r="V6" i="57"/>
  <c r="V7" i="57"/>
  <c r="V8" i="57"/>
  <c r="V9" i="57"/>
  <c r="V10" i="57"/>
  <c r="V11" i="57"/>
  <c r="V12" i="57"/>
  <c r="V13" i="57"/>
  <c r="V14" i="57"/>
  <c r="V15" i="57"/>
  <c r="V16" i="57"/>
  <c r="V17" i="57"/>
  <c r="V18" i="57"/>
  <c r="V19" i="57"/>
  <c r="V20" i="57"/>
  <c r="V21" i="57"/>
  <c r="V22" i="57"/>
  <c r="V23" i="57"/>
  <c r="V24" i="57"/>
  <c r="V25" i="57"/>
  <c r="V26" i="57"/>
  <c r="V27" i="57"/>
  <c r="V28" i="57"/>
  <c r="V29" i="57"/>
  <c r="V30" i="57"/>
  <c r="V31" i="57"/>
  <c r="V32" i="57"/>
  <c r="V33" i="57"/>
  <c r="V34" i="57"/>
  <c r="V35" i="57"/>
  <c r="V36" i="57"/>
  <c r="V37" i="57"/>
  <c r="V38" i="57"/>
  <c r="V39" i="57"/>
  <c r="V40" i="57"/>
  <c r="V41" i="57"/>
  <c r="V42" i="57"/>
  <c r="V43" i="57"/>
  <c r="V44" i="57"/>
  <c r="V45" i="57"/>
  <c r="V46" i="57"/>
  <c r="V47" i="57"/>
  <c r="V48" i="57"/>
  <c r="V49" i="57"/>
  <c r="V50" i="57"/>
  <c r="V51" i="57"/>
  <c r="V52" i="57"/>
  <c r="V53" i="57"/>
  <c r="V54" i="57"/>
  <c r="V55" i="57"/>
  <c r="V56" i="57"/>
  <c r="V57" i="57"/>
  <c r="V58" i="57"/>
  <c r="V59" i="57"/>
  <c r="V60" i="57"/>
  <c r="V61" i="57"/>
  <c r="V62" i="57"/>
  <c r="V63" i="57"/>
  <c r="V64" i="57"/>
  <c r="V65" i="57"/>
  <c r="V66" i="57"/>
  <c r="V67" i="57"/>
  <c r="V68" i="57"/>
  <c r="V69" i="57"/>
  <c r="V70" i="57"/>
  <c r="V71" i="57"/>
  <c r="V72" i="57"/>
  <c r="V73" i="57"/>
  <c r="V74" i="57"/>
  <c r="V75" i="57"/>
  <c r="V76" i="57"/>
  <c r="V77" i="57"/>
  <c r="V78" i="57"/>
  <c r="V79" i="57"/>
  <c r="V80" i="57"/>
  <c r="V81" i="57"/>
  <c r="V82" i="57"/>
  <c r="V83" i="57"/>
  <c r="V84" i="57"/>
  <c r="V86" i="57"/>
  <c r="V87" i="57"/>
  <c r="V88" i="57"/>
  <c r="V89" i="57"/>
  <c r="V90" i="57"/>
  <c r="V91" i="57"/>
  <c r="V92" i="57"/>
  <c r="V93" i="57"/>
  <c r="V94" i="57"/>
  <c r="V95" i="57"/>
  <c r="V96" i="57"/>
  <c r="V97" i="57"/>
  <c r="V98" i="57"/>
  <c r="V99" i="57"/>
  <c r="V100" i="57"/>
  <c r="V101" i="57"/>
  <c r="V102" i="57"/>
  <c r="V103" i="57"/>
  <c r="V104" i="57"/>
  <c r="V105" i="57"/>
  <c r="V106" i="57"/>
  <c r="V107" i="57"/>
  <c r="V108" i="57"/>
  <c r="V109" i="57"/>
  <c r="V110" i="57"/>
  <c r="V111" i="57"/>
  <c r="V112" i="57"/>
  <c r="V113" i="57"/>
  <c r="V114" i="57"/>
  <c r="V115" i="57"/>
  <c r="V116" i="57"/>
  <c r="V117" i="57"/>
  <c r="V118" i="57"/>
  <c r="V119" i="57"/>
  <c r="V120" i="57"/>
  <c r="V121" i="57"/>
  <c r="V122" i="57"/>
  <c r="V123" i="57"/>
  <c r="V124" i="57"/>
  <c r="V125" i="57"/>
  <c r="V126" i="57"/>
  <c r="V127" i="57"/>
  <c r="V128" i="57"/>
  <c r="V129" i="57"/>
  <c r="V130" i="57"/>
  <c r="V131" i="57"/>
  <c r="V132" i="57"/>
  <c r="V133" i="57"/>
  <c r="V134" i="57"/>
  <c r="V135" i="57"/>
  <c r="V136" i="57"/>
  <c r="V137" i="57"/>
  <c r="V138" i="57"/>
  <c r="V139" i="57"/>
  <c r="V140" i="57"/>
  <c r="V141" i="57"/>
  <c r="V142" i="57"/>
  <c r="V143" i="57"/>
  <c r="V144" i="57"/>
  <c r="V145" i="57"/>
  <c r="V146" i="57"/>
  <c r="V147" i="57"/>
  <c r="V148" i="57"/>
  <c r="V149" i="57"/>
  <c r="V150" i="57"/>
  <c r="V151" i="57"/>
  <c r="V152" i="57"/>
  <c r="V153" i="57"/>
  <c r="V154" i="57"/>
  <c r="V155" i="57"/>
  <c r="V156" i="57"/>
  <c r="V157" i="57"/>
  <c r="V158" i="57"/>
  <c r="V159" i="57"/>
  <c r="V160" i="57"/>
  <c r="V161" i="57"/>
  <c r="V162" i="57"/>
  <c r="V163" i="57"/>
  <c r="V164" i="57"/>
  <c r="V165" i="57"/>
  <c r="V166" i="57"/>
  <c r="V167" i="57"/>
  <c r="V168" i="57"/>
  <c r="V169" i="57"/>
  <c r="V170" i="57"/>
  <c r="V171" i="57"/>
  <c r="V172" i="57"/>
  <c r="V173" i="57"/>
  <c r="V174" i="57"/>
  <c r="V175" i="57"/>
  <c r="V176" i="57"/>
  <c r="V177" i="57"/>
  <c r="V178" i="57"/>
  <c r="V179" i="57"/>
  <c r="V180" i="57"/>
  <c r="V181" i="57"/>
  <c r="V182" i="57"/>
  <c r="V183" i="57"/>
  <c r="V184" i="57"/>
  <c r="V185" i="57"/>
  <c r="V186" i="57"/>
  <c r="V187" i="57"/>
  <c r="V188" i="57"/>
  <c r="V189" i="57"/>
  <c r="V190" i="57"/>
  <c r="V191" i="57"/>
  <c r="V192" i="57"/>
  <c r="V193" i="57"/>
  <c r="V194" i="57"/>
  <c r="V195" i="57"/>
  <c r="V196" i="57"/>
  <c r="V197" i="57"/>
  <c r="V198" i="57"/>
  <c r="V199" i="57"/>
  <c r="V200" i="57"/>
  <c r="V201" i="57"/>
  <c r="V202" i="57"/>
  <c r="V203" i="57"/>
  <c r="V204" i="57"/>
  <c r="V205" i="57"/>
  <c r="V206" i="57"/>
  <c r="V207" i="57"/>
  <c r="V208" i="57"/>
  <c r="V209" i="57"/>
  <c r="V210" i="57"/>
  <c r="V211" i="57"/>
  <c r="V212" i="57"/>
  <c r="V213" i="57"/>
  <c r="V214" i="57"/>
  <c r="V215" i="57"/>
  <c r="V216" i="57"/>
  <c r="V217" i="57"/>
  <c r="V218" i="57"/>
  <c r="V219" i="57"/>
  <c r="V220" i="57"/>
  <c r="V221" i="57"/>
  <c r="V222" i="57"/>
  <c r="V223" i="57"/>
  <c r="V224" i="57"/>
  <c r="V8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AK303" i="9" l="1"/>
  <c r="AK288" i="9"/>
  <c r="AK291" i="9"/>
  <c r="AK286" i="9"/>
  <c r="AK285" i="9"/>
  <c r="AK294" i="9"/>
  <c r="AK302" i="9"/>
  <c r="A19" i="53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S6" i="30" l="1"/>
  <c r="S7" i="30"/>
  <c r="S8" i="30"/>
  <c r="S9" i="30"/>
  <c r="S10" i="30"/>
  <c r="S11" i="30"/>
  <c r="S12" i="30"/>
  <c r="S13" i="30"/>
  <c r="S14" i="30"/>
  <c r="S15" i="30"/>
  <c r="S16" i="30"/>
  <c r="S17" i="30"/>
  <c r="S18" i="30"/>
  <c r="S19" i="30"/>
  <c r="S20" i="30"/>
  <c r="S21" i="30"/>
  <c r="S22" i="30"/>
  <c r="S23" i="30"/>
  <c r="S24" i="30"/>
  <c r="S25" i="30"/>
  <c r="S26" i="30"/>
  <c r="S27" i="30"/>
  <c r="S28" i="30"/>
  <c r="S29" i="30"/>
  <c r="S30" i="30"/>
  <c r="S31" i="30"/>
  <c r="S32" i="30"/>
  <c r="S33" i="30"/>
  <c r="S34" i="30"/>
  <c r="S35" i="30"/>
  <c r="S36" i="30"/>
  <c r="S37" i="30"/>
  <c r="S38" i="30"/>
  <c r="S39" i="30"/>
  <c r="S40" i="30"/>
  <c r="S41" i="30"/>
  <c r="S42" i="30"/>
  <c r="S43" i="30"/>
  <c r="S44" i="30"/>
  <c r="S45" i="30"/>
  <c r="S46" i="30"/>
  <c r="S47" i="30"/>
  <c r="S48" i="30"/>
  <c r="S49" i="30"/>
  <c r="S50" i="30"/>
  <c r="S51" i="30"/>
  <c r="S52" i="30"/>
  <c r="S53" i="30"/>
  <c r="S54" i="30"/>
  <c r="S55" i="30"/>
  <c r="S56" i="30"/>
  <c r="S5" i="30"/>
  <c r="A18" i="53" l="1"/>
  <c r="N6" i="51" l="1"/>
  <c r="N7" i="51"/>
  <c r="N8" i="51"/>
  <c r="N9" i="51"/>
  <c r="N10" i="51"/>
  <c r="N11" i="51"/>
  <c r="N12" i="51"/>
  <c r="N13" i="51"/>
  <c r="N14" i="51"/>
  <c r="N5" i="51"/>
  <c r="A16" i="53" l="1"/>
  <c r="A17" i="53"/>
  <c r="A15" i="53" l="1"/>
  <c r="A11" i="60" l="1"/>
  <c r="A15" i="60"/>
  <c r="A14" i="60"/>
  <c r="A13" i="60"/>
  <c r="A12" i="60"/>
  <c r="A10" i="60"/>
  <c r="A9" i="60"/>
  <c r="A7" i="60"/>
  <c r="A6" i="60"/>
  <c r="A5" i="60"/>
  <c r="A16" i="60" l="1"/>
  <c r="A8" i="60"/>
  <c r="A224" i="57" l="1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N204" i="51"/>
  <c r="A204" i="51"/>
  <c r="N203" i="51"/>
  <c r="A203" i="51"/>
  <c r="N202" i="51"/>
  <c r="A202" i="51"/>
  <c r="N201" i="51"/>
  <c r="A201" i="51"/>
  <c r="N200" i="51"/>
  <c r="A200" i="51"/>
  <c r="N199" i="51"/>
  <c r="A199" i="51"/>
  <c r="N198" i="51"/>
  <c r="A198" i="51"/>
  <c r="N197" i="51"/>
  <c r="A197" i="51"/>
  <c r="N196" i="51"/>
  <c r="A196" i="51"/>
  <c r="N195" i="51"/>
  <c r="A195" i="51"/>
  <c r="N194" i="51"/>
  <c r="A194" i="51"/>
  <c r="N193" i="51"/>
  <c r="A193" i="51"/>
  <c r="N192" i="51"/>
  <c r="A192" i="51"/>
  <c r="N191" i="51"/>
  <c r="A191" i="51"/>
  <c r="N190" i="51"/>
  <c r="A190" i="51"/>
  <c r="N189" i="51"/>
  <c r="A189" i="51"/>
  <c r="N188" i="51"/>
  <c r="A188" i="51"/>
  <c r="N187" i="51"/>
  <c r="A187" i="51"/>
  <c r="N186" i="51"/>
  <c r="A186" i="51"/>
  <c r="N185" i="51"/>
  <c r="A185" i="51"/>
  <c r="N184" i="51"/>
  <c r="A184" i="51"/>
  <c r="N183" i="51"/>
  <c r="A183" i="51"/>
  <c r="N182" i="51"/>
  <c r="A182" i="51"/>
  <c r="N181" i="51"/>
  <c r="A181" i="51"/>
  <c r="N180" i="51"/>
  <c r="A180" i="51"/>
  <c r="N179" i="51"/>
  <c r="A179" i="51"/>
  <c r="N178" i="51"/>
  <c r="A178" i="51"/>
  <c r="N177" i="51"/>
  <c r="A177" i="51"/>
  <c r="N176" i="51"/>
  <c r="A176" i="51"/>
  <c r="N175" i="51"/>
  <c r="A175" i="51"/>
  <c r="N174" i="51"/>
  <c r="A174" i="51"/>
  <c r="N173" i="51"/>
  <c r="A173" i="51"/>
  <c r="N172" i="51"/>
  <c r="A172" i="51"/>
  <c r="N171" i="51"/>
  <c r="A171" i="51"/>
  <c r="N170" i="51"/>
  <c r="A170" i="51"/>
  <c r="N169" i="51"/>
  <c r="A169" i="51"/>
  <c r="N168" i="51"/>
  <c r="A168" i="51"/>
  <c r="N167" i="51"/>
  <c r="A167" i="51"/>
  <c r="N166" i="51"/>
  <c r="A166" i="51"/>
  <c r="N165" i="51"/>
  <c r="A165" i="51"/>
  <c r="N164" i="51"/>
  <c r="A164" i="51"/>
  <c r="N163" i="51"/>
  <c r="A163" i="51"/>
  <c r="N162" i="51"/>
  <c r="A162" i="51"/>
  <c r="N161" i="51"/>
  <c r="A161" i="51"/>
  <c r="N160" i="51"/>
  <c r="A160" i="51"/>
  <c r="N159" i="51"/>
  <c r="A159" i="51"/>
  <c r="N158" i="51"/>
  <c r="A158" i="51"/>
  <c r="N157" i="51"/>
  <c r="A157" i="51"/>
  <c r="N156" i="51"/>
  <c r="A156" i="51"/>
  <c r="N155" i="51"/>
  <c r="A155" i="51"/>
  <c r="N154" i="51"/>
  <c r="A154" i="51"/>
  <c r="N153" i="51"/>
  <c r="A153" i="51"/>
  <c r="N152" i="51"/>
  <c r="A152" i="51"/>
  <c r="N151" i="51"/>
  <c r="A151" i="51"/>
  <c r="N150" i="51"/>
  <c r="A150" i="51"/>
  <c r="N149" i="51"/>
  <c r="A149" i="51"/>
  <c r="N148" i="51"/>
  <c r="A148" i="51"/>
  <c r="N147" i="51"/>
  <c r="A147" i="51"/>
  <c r="N146" i="51"/>
  <c r="A146" i="51"/>
  <c r="N145" i="51"/>
  <c r="A145" i="51"/>
  <c r="N144" i="51"/>
  <c r="A144" i="51"/>
  <c r="N143" i="51"/>
  <c r="A143" i="51"/>
  <c r="N142" i="51"/>
  <c r="A142" i="51"/>
  <c r="N141" i="51"/>
  <c r="A141" i="51"/>
  <c r="N140" i="51"/>
  <c r="A140" i="51"/>
  <c r="N139" i="51"/>
  <c r="A139" i="51"/>
  <c r="N138" i="51"/>
  <c r="A138" i="51"/>
  <c r="N137" i="51"/>
  <c r="A137" i="51"/>
  <c r="N136" i="51"/>
  <c r="A136" i="51"/>
  <c r="N135" i="51"/>
  <c r="A135" i="51"/>
  <c r="N134" i="51"/>
  <c r="A134" i="51"/>
  <c r="N133" i="51"/>
  <c r="A133" i="51"/>
  <c r="N132" i="51"/>
  <c r="A132" i="51"/>
  <c r="N131" i="51"/>
  <c r="A131" i="51"/>
  <c r="N130" i="51"/>
  <c r="A130" i="51"/>
  <c r="N129" i="51"/>
  <c r="A129" i="51"/>
  <c r="N128" i="51"/>
  <c r="A128" i="51"/>
  <c r="N127" i="51"/>
  <c r="A127" i="51"/>
  <c r="N126" i="51"/>
  <c r="A126" i="51"/>
  <c r="N125" i="51"/>
  <c r="A125" i="51"/>
  <c r="N124" i="51"/>
  <c r="A124" i="51"/>
  <c r="N123" i="51"/>
  <c r="A123" i="51"/>
  <c r="N122" i="51"/>
  <c r="A122" i="51"/>
  <c r="N121" i="51"/>
  <c r="A121" i="51"/>
  <c r="N120" i="51"/>
  <c r="A120" i="51"/>
  <c r="N119" i="51"/>
  <c r="A119" i="51"/>
  <c r="N118" i="51"/>
  <c r="A118" i="51"/>
  <c r="N117" i="51"/>
  <c r="A117" i="51"/>
  <c r="N116" i="51"/>
  <c r="A116" i="51"/>
  <c r="N115" i="51"/>
  <c r="A115" i="51"/>
  <c r="N114" i="51"/>
  <c r="A114" i="51"/>
  <c r="N113" i="51"/>
  <c r="A113" i="51"/>
  <c r="N112" i="51"/>
  <c r="A112" i="51"/>
  <c r="N111" i="51"/>
  <c r="A111" i="51"/>
  <c r="N110" i="51"/>
  <c r="A110" i="51"/>
  <c r="N109" i="51"/>
  <c r="A109" i="51"/>
  <c r="N108" i="51"/>
  <c r="A108" i="51"/>
  <c r="N107" i="51"/>
  <c r="A107" i="51"/>
  <c r="N106" i="51"/>
  <c r="A106" i="51"/>
  <c r="N105" i="51"/>
  <c r="A105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N15" i="51"/>
  <c r="N16" i="51"/>
  <c r="N17" i="51"/>
  <c r="N18" i="51"/>
  <c r="N19" i="51"/>
  <c r="N20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A14" i="53" l="1"/>
  <c r="A13" i="53"/>
  <c r="A12" i="53"/>
  <c r="A11" i="53"/>
  <c r="A10" i="53"/>
  <c r="A9" i="53"/>
  <c r="A8" i="53"/>
  <c r="A7" i="53"/>
  <c r="A6" i="53"/>
  <c r="A5" i="53"/>
  <c r="A14" i="51"/>
  <c r="A13" i="51"/>
  <c r="A12" i="51"/>
  <c r="A11" i="51"/>
  <c r="A10" i="51"/>
  <c r="A9" i="51"/>
  <c r="A8" i="51"/>
  <c r="A7" i="51"/>
  <c r="A6" i="51"/>
  <c r="A5" i="51"/>
  <c r="BQ224" i="9" l="1"/>
  <c r="BO224" i="9"/>
  <c r="BJ224" i="9"/>
  <c r="BE224" i="9"/>
  <c r="AQ224" i="9"/>
  <c r="AO224" i="9"/>
  <c r="AM224" i="9"/>
  <c r="AA224" i="9"/>
  <c r="X224" i="9"/>
  <c r="F224" i="9"/>
  <c r="C224" i="9"/>
  <c r="BQ223" i="9"/>
  <c r="BO223" i="9"/>
  <c r="BJ223" i="9"/>
  <c r="BE223" i="9"/>
  <c r="AQ223" i="9"/>
  <c r="AO223" i="9"/>
  <c r="AM223" i="9"/>
  <c r="AA223" i="9"/>
  <c r="X223" i="9"/>
  <c r="F223" i="9"/>
  <c r="C223" i="9"/>
  <c r="BQ222" i="9"/>
  <c r="AS222" i="9" s="1"/>
  <c r="BO222" i="9"/>
  <c r="BJ222" i="9"/>
  <c r="BE222" i="9"/>
  <c r="AQ222" i="9"/>
  <c r="AO222" i="9"/>
  <c r="AM222" i="9"/>
  <c r="AA222" i="9"/>
  <c r="X222" i="9"/>
  <c r="F222" i="9"/>
  <c r="C222" i="9"/>
  <c r="BQ221" i="9"/>
  <c r="AS221" i="9" s="1"/>
  <c r="BO221" i="9"/>
  <c r="BJ221" i="9"/>
  <c r="BE221" i="9"/>
  <c r="AQ221" i="9"/>
  <c r="AO221" i="9"/>
  <c r="AM221" i="9"/>
  <c r="AA221" i="9"/>
  <c r="X221" i="9"/>
  <c r="F221" i="9"/>
  <c r="C221" i="9"/>
  <c r="BQ220" i="9"/>
  <c r="BO220" i="9"/>
  <c r="BJ220" i="9"/>
  <c r="BE220" i="9"/>
  <c r="AQ220" i="9"/>
  <c r="AO220" i="9"/>
  <c r="AM220" i="9"/>
  <c r="AA220" i="9"/>
  <c r="X220" i="9"/>
  <c r="F220" i="9"/>
  <c r="C220" i="9"/>
  <c r="BQ219" i="9"/>
  <c r="AS219" i="9" s="1"/>
  <c r="BO219" i="9"/>
  <c r="BJ219" i="9"/>
  <c r="BE219" i="9"/>
  <c r="AQ219" i="9"/>
  <c r="AO219" i="9"/>
  <c r="AM219" i="9"/>
  <c r="AA219" i="9"/>
  <c r="X219" i="9"/>
  <c r="F219" i="9"/>
  <c r="C219" i="9"/>
  <c r="BQ218" i="9"/>
  <c r="BO218" i="9"/>
  <c r="BJ218" i="9"/>
  <c r="BE218" i="9"/>
  <c r="AS218" i="9"/>
  <c r="AQ218" i="9"/>
  <c r="AO218" i="9"/>
  <c r="AM218" i="9"/>
  <c r="AA218" i="9"/>
  <c r="X218" i="9"/>
  <c r="F218" i="9"/>
  <c r="C218" i="9"/>
  <c r="BQ217" i="9"/>
  <c r="AS217" i="9" s="1"/>
  <c r="BO217" i="9"/>
  <c r="BJ217" i="9"/>
  <c r="BE217" i="9"/>
  <c r="AQ217" i="9"/>
  <c r="AO217" i="9"/>
  <c r="AM217" i="9"/>
  <c r="AA217" i="9"/>
  <c r="X217" i="9"/>
  <c r="F217" i="9"/>
  <c r="A217" i="9" s="1"/>
  <c r="C217" i="9"/>
  <c r="BQ216" i="9"/>
  <c r="AS216" i="9" s="1"/>
  <c r="BO216" i="9"/>
  <c r="BJ216" i="9"/>
  <c r="BE216" i="9"/>
  <c r="AQ216" i="9"/>
  <c r="AO216" i="9"/>
  <c r="AM216" i="9"/>
  <c r="AA216" i="9"/>
  <c r="X216" i="9"/>
  <c r="F216" i="9"/>
  <c r="C216" i="9"/>
  <c r="BQ215" i="9"/>
  <c r="AS215" i="9" s="1"/>
  <c r="BO215" i="9"/>
  <c r="BJ215" i="9"/>
  <c r="BE215" i="9"/>
  <c r="AZ215" i="9"/>
  <c r="AQ215" i="9"/>
  <c r="AO215" i="9"/>
  <c r="AM215" i="9"/>
  <c r="AA215" i="9"/>
  <c r="X215" i="9"/>
  <c r="F215" i="9"/>
  <c r="C215" i="9"/>
  <c r="BQ214" i="9"/>
  <c r="AS214" i="9" s="1"/>
  <c r="BO214" i="9"/>
  <c r="BE214" i="9"/>
  <c r="AZ214" i="9"/>
  <c r="AQ214" i="9"/>
  <c r="AO214" i="9"/>
  <c r="AM214" i="9"/>
  <c r="AA214" i="9"/>
  <c r="X214" i="9"/>
  <c r="F214" i="9"/>
  <c r="C214" i="9"/>
  <c r="BQ213" i="9"/>
  <c r="BO213" i="9"/>
  <c r="BJ213" i="9"/>
  <c r="BE213" i="9"/>
  <c r="AZ213" i="9"/>
  <c r="AQ213" i="9"/>
  <c r="AO213" i="9"/>
  <c r="AM213" i="9"/>
  <c r="AA213" i="9"/>
  <c r="X213" i="9"/>
  <c r="F213" i="9"/>
  <c r="C213" i="9"/>
  <c r="BQ212" i="9"/>
  <c r="BO212" i="9"/>
  <c r="BJ212" i="9"/>
  <c r="BE212" i="9"/>
  <c r="AZ212" i="9"/>
  <c r="AQ212" i="9"/>
  <c r="AO212" i="9"/>
  <c r="AM212" i="9"/>
  <c r="AA212" i="9"/>
  <c r="X212" i="9"/>
  <c r="F212" i="9"/>
  <c r="C212" i="9"/>
  <c r="BQ211" i="9"/>
  <c r="AS211" i="9" s="1"/>
  <c r="BO211" i="9"/>
  <c r="BJ211" i="9"/>
  <c r="BE211" i="9"/>
  <c r="AZ211" i="9"/>
  <c r="AQ211" i="9"/>
  <c r="AO211" i="9"/>
  <c r="AM211" i="9"/>
  <c r="AA211" i="9"/>
  <c r="X211" i="9"/>
  <c r="F211" i="9"/>
  <c r="C211" i="9"/>
  <c r="BQ210" i="9"/>
  <c r="AS210" i="9" s="1"/>
  <c r="BO210" i="9"/>
  <c r="BJ210" i="9"/>
  <c r="BE210" i="9"/>
  <c r="AZ210" i="9"/>
  <c r="AQ210" i="9"/>
  <c r="AO210" i="9"/>
  <c r="AM210" i="9"/>
  <c r="AA210" i="9"/>
  <c r="X210" i="9"/>
  <c r="F210" i="9"/>
  <c r="C210" i="9"/>
  <c r="BQ209" i="9"/>
  <c r="AS209" i="9" s="1"/>
  <c r="BO209" i="9"/>
  <c r="BJ209" i="9"/>
  <c r="BE209" i="9"/>
  <c r="AZ209" i="9"/>
  <c r="AQ209" i="9"/>
  <c r="AO209" i="9"/>
  <c r="AM209" i="9"/>
  <c r="AA209" i="9"/>
  <c r="X209" i="9"/>
  <c r="F209" i="9"/>
  <c r="C209" i="9"/>
  <c r="BQ208" i="9"/>
  <c r="AS208" i="9" s="1"/>
  <c r="BO208" i="9"/>
  <c r="BJ208" i="9"/>
  <c r="BE208" i="9"/>
  <c r="AZ208" i="9"/>
  <c r="AQ208" i="9"/>
  <c r="AO208" i="9"/>
  <c r="AM208" i="9"/>
  <c r="AA208" i="9"/>
  <c r="X208" i="9"/>
  <c r="F208" i="9"/>
  <c r="C208" i="9"/>
  <c r="BQ207" i="9"/>
  <c r="AS207" i="9" s="1"/>
  <c r="BO207" i="9"/>
  <c r="BJ207" i="9"/>
  <c r="BE207" i="9"/>
  <c r="AZ207" i="9"/>
  <c r="AQ207" i="9"/>
  <c r="AO207" i="9"/>
  <c r="AM207" i="9"/>
  <c r="AA207" i="9"/>
  <c r="X207" i="9"/>
  <c r="F207" i="9"/>
  <c r="C207" i="9"/>
  <c r="BQ206" i="9"/>
  <c r="AS206" i="9" s="1"/>
  <c r="BO206" i="9"/>
  <c r="BJ206" i="9"/>
  <c r="BE206" i="9"/>
  <c r="AZ206" i="9"/>
  <c r="AQ206" i="9"/>
  <c r="AO206" i="9"/>
  <c r="AM206" i="9"/>
  <c r="AA206" i="9"/>
  <c r="X206" i="9"/>
  <c r="F206" i="9"/>
  <c r="C206" i="9"/>
  <c r="BQ205" i="9"/>
  <c r="AS205" i="9" s="1"/>
  <c r="BO205" i="9"/>
  <c r="BJ205" i="9"/>
  <c r="AZ205" i="9"/>
  <c r="AQ205" i="9"/>
  <c r="AO205" i="9"/>
  <c r="AM205" i="9"/>
  <c r="AA205" i="9"/>
  <c r="X205" i="9"/>
  <c r="F205" i="9"/>
  <c r="C205" i="9"/>
  <c r="A215" i="9" l="1"/>
  <c r="A205" i="9"/>
  <c r="A206" i="9"/>
  <c r="A214" i="9"/>
  <c r="A209" i="9"/>
  <c r="A211" i="9"/>
  <c r="A213" i="9"/>
  <c r="A220" i="9"/>
  <c r="A212" i="9"/>
  <c r="A207" i="9"/>
  <c r="A223" i="9"/>
  <c r="A219" i="9"/>
  <c r="A221" i="9"/>
  <c r="A224" i="9"/>
  <c r="A222" i="9"/>
  <c r="A210" i="9"/>
  <c r="A216" i="9"/>
  <c r="A218" i="9"/>
  <c r="A208" i="9"/>
  <c r="AS213" i="9"/>
  <c r="AS224" i="9"/>
  <c r="AS212" i="9"/>
  <c r="AS220" i="9"/>
  <c r="AS223" i="9"/>
  <c r="X564" i="9"/>
  <c r="X563" i="9"/>
  <c r="X562" i="9"/>
  <c r="X561" i="9"/>
  <c r="X560" i="9"/>
  <c r="X559" i="9"/>
  <c r="X558" i="9"/>
  <c r="X557" i="9"/>
  <c r="X556" i="9"/>
  <c r="X555" i="9"/>
  <c r="X554" i="9"/>
  <c r="X553" i="9"/>
  <c r="X552" i="9"/>
  <c r="X551" i="9"/>
  <c r="X550" i="9"/>
  <c r="X549" i="9"/>
  <c r="X548" i="9"/>
  <c r="X547" i="9"/>
  <c r="X546" i="9"/>
  <c r="X545" i="9"/>
  <c r="X544" i="9"/>
  <c r="X543" i="9"/>
  <c r="X542" i="9"/>
  <c r="X541" i="9"/>
  <c r="X540" i="9"/>
  <c r="X539" i="9"/>
  <c r="X538" i="9"/>
  <c r="X537" i="9"/>
  <c r="X536" i="9"/>
  <c r="X535" i="9"/>
  <c r="X534" i="9"/>
  <c r="X533" i="9"/>
  <c r="X532" i="9"/>
  <c r="X531" i="9"/>
  <c r="X530" i="9"/>
  <c r="X529" i="9"/>
  <c r="X528" i="9"/>
  <c r="X527" i="9"/>
  <c r="X526" i="9"/>
  <c r="X525" i="9"/>
  <c r="X524" i="9"/>
  <c r="X523" i="9"/>
  <c r="X522" i="9"/>
  <c r="X521" i="9"/>
  <c r="X520" i="9"/>
  <c r="X519" i="9"/>
  <c r="X518" i="9"/>
  <c r="X517" i="9"/>
  <c r="X516" i="9"/>
  <c r="X515" i="9"/>
  <c r="X514" i="9"/>
  <c r="X513" i="9"/>
  <c r="X512" i="9"/>
  <c r="X511" i="9"/>
  <c r="X510" i="9"/>
  <c r="X509" i="9"/>
  <c r="X508" i="9"/>
  <c r="X507" i="9"/>
  <c r="X506" i="9"/>
  <c r="X505" i="9"/>
  <c r="X504" i="9"/>
  <c r="X503" i="9"/>
  <c r="X502" i="9"/>
  <c r="X501" i="9"/>
  <c r="X500" i="9"/>
  <c r="X499" i="9"/>
  <c r="X498" i="9"/>
  <c r="X497" i="9"/>
  <c r="X496" i="9"/>
  <c r="X495" i="9"/>
  <c r="X494" i="9"/>
  <c r="X493" i="9"/>
  <c r="X492" i="9"/>
  <c r="X491" i="9"/>
  <c r="X490" i="9"/>
  <c r="X489" i="9"/>
  <c r="X488" i="9"/>
  <c r="X487" i="9"/>
  <c r="X486" i="9"/>
  <c r="X485" i="9"/>
  <c r="X484" i="9"/>
  <c r="X483" i="9"/>
  <c r="X482" i="9"/>
  <c r="X481" i="9"/>
  <c r="X480" i="9"/>
  <c r="X479" i="9"/>
  <c r="X478" i="9"/>
  <c r="X477" i="9"/>
  <c r="X476" i="9"/>
  <c r="X475" i="9"/>
  <c r="X474" i="9"/>
  <c r="X473" i="9"/>
  <c r="X472" i="9"/>
  <c r="X471" i="9"/>
  <c r="X470" i="9"/>
  <c r="X469" i="9"/>
  <c r="X468" i="9"/>
  <c r="X467" i="9"/>
  <c r="X466" i="9"/>
  <c r="X465" i="9"/>
  <c r="X464" i="9"/>
  <c r="X463" i="9"/>
  <c r="X462" i="9"/>
  <c r="X461" i="9"/>
  <c r="X460" i="9"/>
  <c r="X459" i="9"/>
  <c r="X458" i="9"/>
  <c r="X457" i="9"/>
  <c r="X456" i="9"/>
  <c r="X455" i="9"/>
  <c r="X454" i="9"/>
  <c r="X453" i="9"/>
  <c r="X452" i="9"/>
  <c r="X451" i="9"/>
  <c r="X450" i="9"/>
  <c r="X449" i="9"/>
  <c r="X448" i="9"/>
  <c r="X447" i="9"/>
  <c r="X446" i="9"/>
  <c r="X445" i="9"/>
  <c r="X404" i="9"/>
  <c r="X403" i="9"/>
  <c r="X402" i="9"/>
  <c r="X401" i="9"/>
  <c r="X400" i="9"/>
  <c r="X399" i="9"/>
  <c r="X398" i="9"/>
  <c r="X397" i="9"/>
  <c r="X396" i="9"/>
  <c r="X395" i="9"/>
  <c r="X394" i="9"/>
  <c r="X393" i="9"/>
  <c r="X392" i="9"/>
  <c r="X391" i="9"/>
  <c r="X390" i="9"/>
  <c r="X389" i="9"/>
  <c r="X388" i="9"/>
  <c r="X387" i="9"/>
  <c r="X386" i="9"/>
  <c r="X385" i="9"/>
  <c r="X344" i="9"/>
  <c r="X343" i="9"/>
  <c r="X342" i="9"/>
  <c r="X341" i="9"/>
  <c r="X340" i="9"/>
  <c r="X339" i="9"/>
  <c r="X338" i="9"/>
  <c r="X337" i="9"/>
  <c r="X336" i="9"/>
  <c r="X335" i="9"/>
  <c r="X334" i="9"/>
  <c r="X333" i="9"/>
  <c r="X332" i="9"/>
  <c r="X331" i="9"/>
  <c r="X330" i="9"/>
  <c r="X329" i="9"/>
  <c r="X328" i="9"/>
  <c r="X327" i="9"/>
  <c r="X326" i="9"/>
  <c r="X325" i="9"/>
  <c r="X324" i="9"/>
  <c r="X323" i="9"/>
  <c r="X322" i="9"/>
  <c r="X321" i="9"/>
  <c r="X320" i="9"/>
  <c r="X319" i="9"/>
  <c r="X318" i="9"/>
  <c r="X317" i="9"/>
  <c r="X316" i="9"/>
  <c r="X315" i="9"/>
  <c r="X314" i="9"/>
  <c r="X313" i="9"/>
  <c r="X312" i="9"/>
  <c r="X311" i="9"/>
  <c r="X310" i="9"/>
  <c r="X309" i="9"/>
  <c r="X308" i="9"/>
  <c r="X307" i="9"/>
  <c r="X306" i="9"/>
  <c r="X305" i="9"/>
  <c r="X284" i="9"/>
  <c r="X283" i="9"/>
  <c r="X282" i="9"/>
  <c r="X281" i="9"/>
  <c r="X280" i="9"/>
  <c r="X279" i="9"/>
  <c r="X278" i="9"/>
  <c r="X277" i="9"/>
  <c r="X276" i="9"/>
  <c r="X275" i="9"/>
  <c r="X274" i="9"/>
  <c r="X273" i="9"/>
  <c r="X272" i="9"/>
  <c r="X271" i="9"/>
  <c r="X270" i="9"/>
  <c r="X269" i="9"/>
  <c r="X268" i="9"/>
  <c r="X267" i="9"/>
  <c r="X266" i="9"/>
  <c r="X265" i="9"/>
  <c r="X264" i="9"/>
  <c r="X263" i="9"/>
  <c r="X262" i="9"/>
  <c r="X261" i="9"/>
  <c r="X260" i="9"/>
  <c r="X259" i="9"/>
  <c r="X258" i="9"/>
  <c r="X257" i="9"/>
  <c r="X256" i="9"/>
  <c r="X255" i="9"/>
  <c r="X254" i="9"/>
  <c r="X253" i="9"/>
  <c r="X252" i="9"/>
  <c r="X251" i="9"/>
  <c r="X250" i="9"/>
  <c r="X249" i="9"/>
  <c r="X248" i="9"/>
  <c r="X247" i="9"/>
  <c r="X246" i="9"/>
  <c r="X245" i="9"/>
  <c r="X244" i="9"/>
  <c r="X243" i="9"/>
  <c r="X242" i="9"/>
  <c r="X241" i="9"/>
  <c r="X240" i="9"/>
  <c r="X239" i="9"/>
  <c r="X238" i="9"/>
  <c r="X237" i="9"/>
  <c r="X236" i="9"/>
  <c r="X235" i="9"/>
  <c r="X234" i="9"/>
  <c r="X233" i="9"/>
  <c r="X232" i="9"/>
  <c r="X231" i="9"/>
  <c r="X230" i="9"/>
  <c r="X229" i="9"/>
  <c r="X228" i="9"/>
  <c r="X227" i="9"/>
  <c r="X226" i="9"/>
  <c r="X225" i="9"/>
  <c r="X204" i="9"/>
  <c r="X203" i="9"/>
  <c r="X202" i="9"/>
  <c r="X201" i="9"/>
  <c r="X200" i="9"/>
  <c r="X199" i="9"/>
  <c r="X198" i="9"/>
  <c r="X197" i="9"/>
  <c r="X196" i="9"/>
  <c r="X195" i="9"/>
  <c r="X194" i="9"/>
  <c r="X193" i="9"/>
  <c r="X192" i="9"/>
  <c r="X191" i="9"/>
  <c r="X190" i="9"/>
  <c r="X189" i="9"/>
  <c r="X188" i="9"/>
  <c r="X187" i="9"/>
  <c r="X186" i="9"/>
  <c r="X185" i="9"/>
  <c r="X164" i="9"/>
  <c r="X163" i="9"/>
  <c r="X162" i="9"/>
  <c r="X161" i="9"/>
  <c r="X160" i="9"/>
  <c r="X159" i="9"/>
  <c r="X158" i="9"/>
  <c r="X157" i="9"/>
  <c r="X156" i="9"/>
  <c r="X155" i="9"/>
  <c r="X154" i="9"/>
  <c r="X153" i="9"/>
  <c r="X152" i="9"/>
  <c r="X151" i="9"/>
  <c r="X150" i="9"/>
  <c r="X149" i="9"/>
  <c r="X148" i="9"/>
  <c r="X147" i="9"/>
  <c r="X146" i="9"/>
  <c r="X145" i="9"/>
  <c r="X144" i="9"/>
  <c r="X143" i="9"/>
  <c r="X142" i="9"/>
  <c r="X141" i="9"/>
  <c r="X140" i="9"/>
  <c r="X139" i="9"/>
  <c r="X138" i="9"/>
  <c r="X137" i="9"/>
  <c r="X136" i="9"/>
  <c r="X135" i="9"/>
  <c r="X134" i="9"/>
  <c r="X133" i="9"/>
  <c r="X132" i="9"/>
  <c r="X131" i="9"/>
  <c r="X130" i="9"/>
  <c r="X129" i="9"/>
  <c r="X128" i="9"/>
  <c r="X127" i="9"/>
  <c r="X126" i="9"/>
  <c r="X125" i="9"/>
  <c r="X84" i="9"/>
  <c r="X83" i="9"/>
  <c r="X82" i="9"/>
  <c r="X81" i="9"/>
  <c r="X80" i="9"/>
  <c r="X79" i="9"/>
  <c r="X78" i="9"/>
  <c r="X77" i="9"/>
  <c r="X76" i="9"/>
  <c r="X75" i="9"/>
  <c r="X74" i="9"/>
  <c r="X73" i="9"/>
  <c r="X72" i="9"/>
  <c r="X71" i="9"/>
  <c r="X70" i="9"/>
  <c r="X69" i="9"/>
  <c r="X68" i="9"/>
  <c r="X67" i="9"/>
  <c r="X66" i="9"/>
  <c r="X65" i="9"/>
  <c r="X64" i="9"/>
  <c r="X63" i="9"/>
  <c r="X62" i="9"/>
  <c r="X61" i="9"/>
  <c r="X60" i="9"/>
  <c r="X59" i="9"/>
  <c r="X58" i="9"/>
  <c r="X57" i="9"/>
  <c r="X56" i="9"/>
  <c r="X55" i="9"/>
  <c r="X54" i="9"/>
  <c r="X53" i="9"/>
  <c r="X52" i="9"/>
  <c r="X51" i="9"/>
  <c r="X50" i="9"/>
  <c r="X49" i="9"/>
  <c r="X48" i="9"/>
  <c r="X47" i="9"/>
  <c r="X46" i="9"/>
  <c r="X45" i="9"/>
  <c r="X44" i="9"/>
  <c r="X43" i="9"/>
  <c r="X42" i="9"/>
  <c r="X41" i="9"/>
  <c r="X40" i="9"/>
  <c r="X39" i="9"/>
  <c r="X38" i="9"/>
  <c r="X37" i="9"/>
  <c r="X36" i="9"/>
  <c r="X35" i="9"/>
  <c r="X34" i="9"/>
  <c r="X33" i="9"/>
  <c r="X32" i="9"/>
  <c r="X31" i="9"/>
  <c r="X30" i="9"/>
  <c r="X29" i="9"/>
  <c r="X28" i="9"/>
  <c r="X27" i="9"/>
  <c r="X26" i="9"/>
  <c r="X25" i="9"/>
  <c r="X24" i="9"/>
  <c r="X23" i="9"/>
  <c r="X22" i="9"/>
  <c r="X21" i="9"/>
  <c r="X20" i="9"/>
  <c r="X19" i="9"/>
  <c r="X18" i="9"/>
  <c r="X17" i="9"/>
  <c r="X16" i="9"/>
  <c r="X15" i="9"/>
  <c r="X14" i="9"/>
  <c r="X13" i="9"/>
  <c r="X12" i="9"/>
  <c r="X11" i="9"/>
  <c r="X10" i="9"/>
  <c r="X9" i="9"/>
  <c r="X8" i="9"/>
  <c r="X7" i="9"/>
  <c r="X6" i="9"/>
  <c r="X5" i="9"/>
  <c r="AA185" i="9"/>
  <c r="AA186" i="9"/>
  <c r="AA187" i="9"/>
  <c r="AA188" i="9"/>
  <c r="AA189" i="9"/>
  <c r="AA190" i="9"/>
  <c r="AA191" i="9"/>
  <c r="AA192" i="9"/>
  <c r="AA193" i="9"/>
  <c r="AA194" i="9"/>
  <c r="AA195" i="9"/>
  <c r="AA196" i="9"/>
  <c r="AA197" i="9"/>
  <c r="AA198" i="9"/>
  <c r="AA199" i="9"/>
  <c r="AA200" i="9"/>
  <c r="AA201" i="9"/>
  <c r="AA202" i="9"/>
  <c r="AA203" i="9"/>
  <c r="AA204" i="9"/>
  <c r="AA225" i="9"/>
  <c r="AA226" i="9"/>
  <c r="AA227" i="9"/>
  <c r="AA228" i="9"/>
  <c r="AA229" i="9"/>
  <c r="AA230" i="9"/>
  <c r="AA231" i="9"/>
  <c r="AA232" i="9"/>
  <c r="AA233" i="9"/>
  <c r="AA234" i="9"/>
  <c r="AA235" i="9"/>
  <c r="AA236" i="9"/>
  <c r="AA237" i="9"/>
  <c r="AA238" i="9"/>
  <c r="AA239" i="9"/>
  <c r="AA240" i="9"/>
  <c r="AA241" i="9"/>
  <c r="AA242" i="9"/>
  <c r="AA243" i="9"/>
  <c r="AA244" i="9"/>
  <c r="AA245" i="9"/>
  <c r="AA246" i="9"/>
  <c r="AA247" i="9"/>
  <c r="AA248" i="9"/>
  <c r="AA249" i="9"/>
  <c r="AA250" i="9"/>
  <c r="AA251" i="9"/>
  <c r="AA252" i="9"/>
  <c r="AA253" i="9"/>
  <c r="AA254" i="9"/>
  <c r="AA255" i="9"/>
  <c r="AA256" i="9"/>
  <c r="AA257" i="9"/>
  <c r="AA258" i="9"/>
  <c r="AA259" i="9"/>
  <c r="AA260" i="9"/>
  <c r="AA261" i="9"/>
  <c r="AA262" i="9"/>
  <c r="AA263" i="9"/>
  <c r="AA264" i="9"/>
  <c r="AA265" i="9"/>
  <c r="AA266" i="9"/>
  <c r="AA267" i="9"/>
  <c r="AA268" i="9"/>
  <c r="AA269" i="9"/>
  <c r="AA270" i="9"/>
  <c r="AA271" i="9"/>
  <c r="AA272" i="9"/>
  <c r="AA273" i="9"/>
  <c r="AA274" i="9"/>
  <c r="AA275" i="9"/>
  <c r="AA276" i="9"/>
  <c r="AA277" i="9"/>
  <c r="AA278" i="9"/>
  <c r="AA279" i="9"/>
  <c r="AA280" i="9"/>
  <c r="AA281" i="9"/>
  <c r="AA282" i="9"/>
  <c r="AA283" i="9"/>
  <c r="AA284" i="9"/>
  <c r="AA305" i="9"/>
  <c r="AA306" i="9"/>
  <c r="AA307" i="9"/>
  <c r="AA308" i="9"/>
  <c r="AA309" i="9"/>
  <c r="AA310" i="9"/>
  <c r="AA311" i="9"/>
  <c r="AA312" i="9"/>
  <c r="AA313" i="9"/>
  <c r="AA314" i="9"/>
  <c r="AA315" i="9"/>
  <c r="AA316" i="9"/>
  <c r="AA317" i="9"/>
  <c r="AA318" i="9"/>
  <c r="AA319" i="9"/>
  <c r="AA320" i="9"/>
  <c r="AA321" i="9"/>
  <c r="AA322" i="9"/>
  <c r="AA323" i="9"/>
  <c r="AA324" i="9"/>
  <c r="AA325" i="9"/>
  <c r="AA326" i="9"/>
  <c r="AA327" i="9"/>
  <c r="AA328" i="9"/>
  <c r="AA329" i="9"/>
  <c r="AA330" i="9"/>
  <c r="AA331" i="9"/>
  <c r="AA332" i="9"/>
  <c r="AA333" i="9"/>
  <c r="AA334" i="9"/>
  <c r="AA335" i="9"/>
  <c r="AA336" i="9"/>
  <c r="AA337" i="9"/>
  <c r="AA338" i="9"/>
  <c r="AA339" i="9"/>
  <c r="AA340" i="9"/>
  <c r="AA341" i="9"/>
  <c r="AA342" i="9"/>
  <c r="AA343" i="9"/>
  <c r="AA344" i="9"/>
  <c r="AA445" i="9"/>
  <c r="AA446" i="9"/>
  <c r="AA447" i="9"/>
  <c r="AA448" i="9"/>
  <c r="AA449" i="9"/>
  <c r="AA450" i="9"/>
  <c r="AA451" i="9"/>
  <c r="AA452" i="9"/>
  <c r="AA453" i="9"/>
  <c r="AA454" i="9"/>
  <c r="AA455" i="9"/>
  <c r="AA456" i="9"/>
  <c r="AA457" i="9"/>
  <c r="AA458" i="9"/>
  <c r="AA459" i="9"/>
  <c r="AA460" i="9"/>
  <c r="AA461" i="9"/>
  <c r="AA462" i="9"/>
  <c r="AA463" i="9"/>
  <c r="AA464" i="9"/>
  <c r="AA465" i="9"/>
  <c r="AA466" i="9"/>
  <c r="AA467" i="9"/>
  <c r="AA468" i="9"/>
  <c r="AA469" i="9"/>
  <c r="AA470" i="9"/>
  <c r="AA471" i="9"/>
  <c r="AA472" i="9"/>
  <c r="AA473" i="9"/>
  <c r="AA474" i="9"/>
  <c r="AA475" i="9"/>
  <c r="AA476" i="9"/>
  <c r="AA477" i="9"/>
  <c r="AA478" i="9"/>
  <c r="AA479" i="9"/>
  <c r="AA480" i="9"/>
  <c r="AA481" i="9"/>
  <c r="AA482" i="9"/>
  <c r="AA483" i="9"/>
  <c r="AA484" i="9"/>
  <c r="AA485" i="9"/>
  <c r="AA486" i="9"/>
  <c r="AA487" i="9"/>
  <c r="AA488" i="9"/>
  <c r="AA489" i="9"/>
  <c r="AA490" i="9"/>
  <c r="AA491" i="9"/>
  <c r="AA492" i="9"/>
  <c r="AA493" i="9"/>
  <c r="AA494" i="9"/>
  <c r="AA495" i="9"/>
  <c r="AA496" i="9"/>
  <c r="AA497" i="9"/>
  <c r="AA498" i="9"/>
  <c r="AA499" i="9"/>
  <c r="AA500" i="9"/>
  <c r="AA501" i="9"/>
  <c r="AA502" i="9"/>
  <c r="AA503" i="9"/>
  <c r="AA504" i="9"/>
  <c r="AA505" i="9"/>
  <c r="AA506" i="9"/>
  <c r="AA507" i="9"/>
  <c r="AA508" i="9"/>
  <c r="AA509" i="9"/>
  <c r="AA510" i="9"/>
  <c r="AA511" i="9"/>
  <c r="AA512" i="9"/>
  <c r="AA513" i="9"/>
  <c r="AA514" i="9"/>
  <c r="AA515" i="9"/>
  <c r="AA516" i="9"/>
  <c r="AA517" i="9"/>
  <c r="AA518" i="9"/>
  <c r="AA519" i="9"/>
  <c r="AA520" i="9"/>
  <c r="AA521" i="9"/>
  <c r="AA522" i="9"/>
  <c r="AA523" i="9"/>
  <c r="AA524" i="9"/>
  <c r="AA525" i="9"/>
  <c r="AA526" i="9"/>
  <c r="AA527" i="9"/>
  <c r="AA528" i="9"/>
  <c r="AA529" i="9"/>
  <c r="AA530" i="9"/>
  <c r="AA531" i="9"/>
  <c r="AA532" i="9"/>
  <c r="AA533" i="9"/>
  <c r="AA534" i="9"/>
  <c r="AA535" i="9"/>
  <c r="AA536" i="9"/>
  <c r="AA537" i="9"/>
  <c r="AA538" i="9"/>
  <c r="AA539" i="9"/>
  <c r="AA540" i="9"/>
  <c r="AA541" i="9"/>
  <c r="AA542" i="9"/>
  <c r="AA543" i="9"/>
  <c r="AA544" i="9"/>
  <c r="AA545" i="9"/>
  <c r="AA546" i="9"/>
  <c r="AA547" i="9"/>
  <c r="AA548" i="9"/>
  <c r="AA549" i="9"/>
  <c r="AA550" i="9"/>
  <c r="AA551" i="9"/>
  <c r="AA552" i="9"/>
  <c r="AA553" i="9"/>
  <c r="AA554" i="9"/>
  <c r="AA555" i="9"/>
  <c r="AA556" i="9"/>
  <c r="AA557" i="9"/>
  <c r="AA558" i="9"/>
  <c r="AA559" i="9"/>
  <c r="AA560" i="9"/>
  <c r="AA561" i="9"/>
  <c r="AA562" i="9"/>
  <c r="AA563" i="9"/>
  <c r="AA564" i="9"/>
  <c r="BQ204" i="9" l="1"/>
  <c r="AS204" i="9" s="1"/>
  <c r="BO204" i="9"/>
  <c r="BJ204" i="9"/>
  <c r="BE204" i="9"/>
  <c r="AQ204" i="9"/>
  <c r="AO204" i="9"/>
  <c r="AM204" i="9"/>
  <c r="F204" i="9"/>
  <c r="C204" i="9"/>
  <c r="BQ203" i="9"/>
  <c r="AS203" i="9" s="1"/>
  <c r="BO203" i="9"/>
  <c r="BJ203" i="9"/>
  <c r="BE203" i="9"/>
  <c r="AQ203" i="9"/>
  <c r="AO203" i="9"/>
  <c r="AM203" i="9"/>
  <c r="F203" i="9"/>
  <c r="C203" i="9"/>
  <c r="BQ202" i="9"/>
  <c r="AS202" i="9" s="1"/>
  <c r="BO202" i="9"/>
  <c r="BJ202" i="9"/>
  <c r="BE202" i="9"/>
  <c r="AQ202" i="9"/>
  <c r="AO202" i="9"/>
  <c r="AM202" i="9"/>
  <c r="F202" i="9"/>
  <c r="C202" i="9"/>
  <c r="BQ201" i="9"/>
  <c r="AS201" i="9" s="1"/>
  <c r="BO201" i="9"/>
  <c r="BJ201" i="9"/>
  <c r="BE201" i="9"/>
  <c r="AQ201" i="9"/>
  <c r="AO201" i="9"/>
  <c r="AM201" i="9"/>
  <c r="F201" i="9"/>
  <c r="C201" i="9"/>
  <c r="BQ200" i="9"/>
  <c r="AS200" i="9" s="1"/>
  <c r="BO200" i="9"/>
  <c r="BJ200" i="9"/>
  <c r="BE200" i="9"/>
  <c r="AQ200" i="9"/>
  <c r="AO200" i="9"/>
  <c r="AM200" i="9"/>
  <c r="F200" i="9"/>
  <c r="C200" i="9"/>
  <c r="BQ199" i="9"/>
  <c r="AS199" i="9" s="1"/>
  <c r="BO199" i="9"/>
  <c r="BJ199" i="9"/>
  <c r="BE199" i="9"/>
  <c r="AQ199" i="9"/>
  <c r="AO199" i="9"/>
  <c r="AM199" i="9"/>
  <c r="F199" i="9"/>
  <c r="C199" i="9"/>
  <c r="BQ198" i="9"/>
  <c r="AS198" i="9" s="1"/>
  <c r="BO198" i="9"/>
  <c r="BJ198" i="9"/>
  <c r="BE198" i="9"/>
  <c r="AQ198" i="9"/>
  <c r="AO198" i="9"/>
  <c r="AM198" i="9"/>
  <c r="F198" i="9"/>
  <c r="C198" i="9"/>
  <c r="BQ197" i="9"/>
  <c r="AS197" i="9" s="1"/>
  <c r="BO197" i="9"/>
  <c r="BJ197" i="9"/>
  <c r="BE197" i="9"/>
  <c r="AQ197" i="9"/>
  <c r="AO197" i="9"/>
  <c r="AM197" i="9"/>
  <c r="F197" i="9"/>
  <c r="C197" i="9"/>
  <c r="BQ196" i="9"/>
  <c r="AS196" i="9" s="1"/>
  <c r="BO196" i="9"/>
  <c r="BJ196" i="9"/>
  <c r="BE196" i="9"/>
  <c r="AQ196" i="9"/>
  <c r="AO196" i="9"/>
  <c r="AM196" i="9"/>
  <c r="F196" i="9"/>
  <c r="C196" i="9"/>
  <c r="BQ195" i="9"/>
  <c r="AS195" i="9" s="1"/>
  <c r="BO195" i="9"/>
  <c r="BJ195" i="9"/>
  <c r="BE195" i="9"/>
  <c r="AZ195" i="9"/>
  <c r="AQ195" i="9"/>
  <c r="AO195" i="9"/>
  <c r="AM195" i="9"/>
  <c r="F195" i="9"/>
  <c r="C195" i="9"/>
  <c r="BQ194" i="9"/>
  <c r="AS194" i="9" s="1"/>
  <c r="BO194" i="9"/>
  <c r="BE194" i="9"/>
  <c r="AZ194" i="9"/>
  <c r="AQ194" i="9"/>
  <c r="AO194" i="9"/>
  <c r="AM194" i="9"/>
  <c r="F194" i="9"/>
  <c r="C194" i="9"/>
  <c r="BQ193" i="9"/>
  <c r="AS193" i="9" s="1"/>
  <c r="BO193" i="9"/>
  <c r="BJ193" i="9"/>
  <c r="BE193" i="9"/>
  <c r="AZ193" i="9"/>
  <c r="AQ193" i="9"/>
  <c r="AO193" i="9"/>
  <c r="AM193" i="9"/>
  <c r="F193" i="9"/>
  <c r="C193" i="9"/>
  <c r="BQ192" i="9"/>
  <c r="AS192" i="9" s="1"/>
  <c r="BO192" i="9"/>
  <c r="BJ192" i="9"/>
  <c r="BE192" i="9"/>
  <c r="AZ192" i="9"/>
  <c r="AQ192" i="9"/>
  <c r="AO192" i="9"/>
  <c r="AM192" i="9"/>
  <c r="F192" i="9"/>
  <c r="C192" i="9"/>
  <c r="BQ191" i="9"/>
  <c r="AS191" i="9" s="1"/>
  <c r="BO191" i="9"/>
  <c r="BJ191" i="9"/>
  <c r="BE191" i="9"/>
  <c r="AZ191" i="9"/>
  <c r="AQ191" i="9"/>
  <c r="AO191" i="9"/>
  <c r="AM191" i="9"/>
  <c r="F191" i="9"/>
  <c r="C191" i="9"/>
  <c r="BQ190" i="9"/>
  <c r="AS190" i="9" s="1"/>
  <c r="BO190" i="9"/>
  <c r="BJ190" i="9"/>
  <c r="BE190" i="9"/>
  <c r="AZ190" i="9"/>
  <c r="AQ190" i="9"/>
  <c r="AO190" i="9"/>
  <c r="AM190" i="9"/>
  <c r="F190" i="9"/>
  <c r="C190" i="9"/>
  <c r="BQ189" i="9"/>
  <c r="AS189" i="9" s="1"/>
  <c r="BO189" i="9"/>
  <c r="BJ189" i="9"/>
  <c r="BE189" i="9"/>
  <c r="AZ189" i="9"/>
  <c r="AQ189" i="9"/>
  <c r="AO189" i="9"/>
  <c r="AM189" i="9"/>
  <c r="F189" i="9"/>
  <c r="C189" i="9"/>
  <c r="BQ188" i="9"/>
  <c r="AS188" i="9" s="1"/>
  <c r="BO188" i="9"/>
  <c r="BJ188" i="9"/>
  <c r="BE188" i="9"/>
  <c r="AZ188" i="9"/>
  <c r="AQ188" i="9"/>
  <c r="AO188" i="9"/>
  <c r="AM188" i="9"/>
  <c r="F188" i="9"/>
  <c r="C188" i="9"/>
  <c r="BQ187" i="9"/>
  <c r="AS187" i="9" s="1"/>
  <c r="BO187" i="9"/>
  <c r="BJ187" i="9"/>
  <c r="BE187" i="9"/>
  <c r="AZ187" i="9"/>
  <c r="AQ187" i="9"/>
  <c r="AO187" i="9"/>
  <c r="AM187" i="9"/>
  <c r="F187" i="9"/>
  <c r="C187" i="9"/>
  <c r="BQ186" i="9"/>
  <c r="AS186" i="9" s="1"/>
  <c r="BO186" i="9"/>
  <c r="BJ186" i="9"/>
  <c r="BE186" i="9"/>
  <c r="AZ186" i="9"/>
  <c r="AQ186" i="9"/>
  <c r="AO186" i="9"/>
  <c r="AM186" i="9"/>
  <c r="F186" i="9"/>
  <c r="C186" i="9"/>
  <c r="BQ185" i="9"/>
  <c r="AS185" i="9" s="1"/>
  <c r="BO185" i="9"/>
  <c r="BJ185" i="9"/>
  <c r="AZ185" i="9"/>
  <c r="AQ185" i="9"/>
  <c r="AO185" i="9"/>
  <c r="AM185" i="9"/>
  <c r="F185" i="9"/>
  <c r="C185" i="9"/>
  <c r="F15" i="30"/>
  <c r="A15" i="30" s="1"/>
  <c r="A192" i="9" l="1"/>
  <c r="A198" i="9"/>
  <c r="A190" i="9"/>
  <c r="A200" i="9"/>
  <c r="A197" i="9"/>
  <c r="A188" i="9"/>
  <c r="A204" i="9"/>
  <c r="A185" i="9"/>
  <c r="A193" i="9"/>
  <c r="A201" i="9"/>
  <c r="A194" i="9"/>
  <c r="A202" i="9"/>
  <c r="A191" i="9"/>
  <c r="A196" i="9"/>
  <c r="A189" i="9"/>
  <c r="A186" i="9"/>
  <c r="A199" i="9"/>
  <c r="A187" i="9"/>
  <c r="A195" i="9"/>
  <c r="A203" i="9"/>
  <c r="F26" i="30"/>
  <c r="F27" i="30"/>
  <c r="F28" i="30"/>
  <c r="F29" i="30"/>
  <c r="F30" i="30"/>
  <c r="F31" i="30"/>
  <c r="F32" i="30"/>
  <c r="F33" i="30"/>
  <c r="F34" i="30"/>
  <c r="F35" i="30"/>
  <c r="A35" i="30" s="1"/>
  <c r="F36" i="30"/>
  <c r="A36" i="30" s="1"/>
  <c r="F37" i="30"/>
  <c r="A37" i="30" s="1"/>
  <c r="F38" i="30"/>
  <c r="F39" i="30"/>
  <c r="F40" i="30"/>
  <c r="F41" i="30"/>
  <c r="F42" i="30"/>
  <c r="F43" i="30"/>
  <c r="F44" i="30"/>
  <c r="A44" i="30" s="1"/>
  <c r="F45" i="30"/>
  <c r="A45" i="30" s="1"/>
  <c r="F46" i="30"/>
  <c r="A46" i="30" s="1"/>
  <c r="F47" i="30"/>
  <c r="A47" i="30" s="1"/>
  <c r="F48" i="30"/>
  <c r="A48" i="30" s="1"/>
  <c r="F49" i="30"/>
  <c r="A49" i="30" s="1"/>
  <c r="F50" i="30"/>
  <c r="F51" i="30"/>
  <c r="F52" i="30"/>
  <c r="F53" i="30"/>
  <c r="F54" i="30"/>
  <c r="F55" i="30"/>
  <c r="F56" i="30"/>
  <c r="AS305" i="9" l="1"/>
  <c r="AS306" i="9"/>
  <c r="AS307" i="9"/>
  <c r="AS308" i="9"/>
  <c r="AS309" i="9"/>
  <c r="AS310" i="9"/>
  <c r="AS311" i="9"/>
  <c r="AS312" i="9"/>
  <c r="AS313" i="9"/>
  <c r="AS314" i="9"/>
  <c r="AS315" i="9"/>
  <c r="AS316" i="9"/>
  <c r="AS317" i="9"/>
  <c r="AS318" i="9"/>
  <c r="AS319" i="9"/>
  <c r="AS320" i="9"/>
  <c r="AS321" i="9"/>
  <c r="AS322" i="9"/>
  <c r="AS323" i="9"/>
  <c r="AS324" i="9"/>
  <c r="AS325" i="9"/>
  <c r="AS326" i="9"/>
  <c r="AS327" i="9"/>
  <c r="AS328" i="9"/>
  <c r="AS329" i="9"/>
  <c r="AS330" i="9"/>
  <c r="AS331" i="9"/>
  <c r="AS332" i="9"/>
  <c r="AS333" i="9"/>
  <c r="AS334" i="9"/>
  <c r="AS335" i="9"/>
  <c r="AS336" i="9"/>
  <c r="AS337" i="9"/>
  <c r="AS338" i="9"/>
  <c r="AS339" i="9"/>
  <c r="AS340" i="9"/>
  <c r="AS341" i="9"/>
  <c r="AS342" i="9"/>
  <c r="AS343" i="9"/>
  <c r="AS344" i="9"/>
  <c r="AS345" i="9"/>
  <c r="AS346" i="9"/>
  <c r="AS347" i="9"/>
  <c r="AS348" i="9"/>
  <c r="AS349" i="9"/>
  <c r="AS350" i="9"/>
  <c r="AS351" i="9"/>
  <c r="AS352" i="9"/>
  <c r="AS353" i="9"/>
  <c r="AS354" i="9"/>
  <c r="AS355" i="9"/>
  <c r="AS356" i="9"/>
  <c r="AS357" i="9"/>
  <c r="AS358" i="9"/>
  <c r="AS359" i="9"/>
  <c r="AS360" i="9"/>
  <c r="AS361" i="9"/>
  <c r="AS362" i="9"/>
  <c r="AS363" i="9"/>
  <c r="AS364" i="9"/>
  <c r="AS365" i="9"/>
  <c r="AS366" i="9"/>
  <c r="AS367" i="9"/>
  <c r="AS368" i="9"/>
  <c r="AS369" i="9"/>
  <c r="AS370" i="9"/>
  <c r="AS371" i="9"/>
  <c r="AS372" i="9"/>
  <c r="AS373" i="9"/>
  <c r="AS374" i="9"/>
  <c r="AS375" i="9"/>
  <c r="AS376" i="9"/>
  <c r="AS377" i="9"/>
  <c r="AS378" i="9"/>
  <c r="AS379" i="9"/>
  <c r="AS380" i="9"/>
  <c r="AS381" i="9"/>
  <c r="AS382" i="9"/>
  <c r="AS383" i="9"/>
  <c r="AS384" i="9"/>
  <c r="AS385" i="9"/>
  <c r="AS386" i="9"/>
  <c r="AS387" i="9"/>
  <c r="AS388" i="9"/>
  <c r="AS389" i="9"/>
  <c r="AS390" i="9"/>
  <c r="AS391" i="9"/>
  <c r="AS392" i="9"/>
  <c r="AS393" i="9"/>
  <c r="AS394" i="9"/>
  <c r="AS395" i="9"/>
  <c r="AS396" i="9"/>
  <c r="AS397" i="9"/>
  <c r="AS398" i="9"/>
  <c r="AS399" i="9"/>
  <c r="AS400" i="9"/>
  <c r="AS401" i="9"/>
  <c r="AS402" i="9"/>
  <c r="AS403" i="9"/>
  <c r="AS404" i="9"/>
  <c r="AS405" i="9"/>
  <c r="AS406" i="9"/>
  <c r="AS407" i="9"/>
  <c r="AS408" i="9"/>
  <c r="AS409" i="9"/>
  <c r="AS410" i="9"/>
  <c r="AS411" i="9"/>
  <c r="AS412" i="9"/>
  <c r="AS413" i="9"/>
  <c r="AS414" i="9"/>
  <c r="AS415" i="9"/>
  <c r="AS416" i="9"/>
  <c r="AS417" i="9"/>
  <c r="AS418" i="9"/>
  <c r="AS419" i="9"/>
  <c r="AS420" i="9"/>
  <c r="AS421" i="9"/>
  <c r="AS422" i="9"/>
  <c r="AS423" i="9"/>
  <c r="AS424" i="9"/>
  <c r="AS425" i="9"/>
  <c r="AS426" i="9"/>
  <c r="AS427" i="9"/>
  <c r="AS428" i="9"/>
  <c r="AS429" i="9"/>
  <c r="AS430" i="9"/>
  <c r="AS431" i="9"/>
  <c r="AS432" i="9"/>
  <c r="AS433" i="9"/>
  <c r="AS434" i="9"/>
  <c r="AS435" i="9"/>
  <c r="AS436" i="9"/>
  <c r="AS437" i="9"/>
  <c r="AS438" i="9"/>
  <c r="AS439" i="9"/>
  <c r="AS440" i="9"/>
  <c r="AS441" i="9"/>
  <c r="AS442" i="9"/>
  <c r="AS443" i="9"/>
  <c r="AS444" i="9"/>
  <c r="AS445" i="9"/>
  <c r="AS446" i="9"/>
  <c r="AS447" i="9"/>
  <c r="AS448" i="9"/>
  <c r="AS449" i="9"/>
  <c r="AS450" i="9"/>
  <c r="AS451" i="9"/>
  <c r="AS452" i="9"/>
  <c r="AS453" i="9"/>
  <c r="AS454" i="9"/>
  <c r="AS455" i="9"/>
  <c r="AS456" i="9"/>
  <c r="AS457" i="9"/>
  <c r="AS458" i="9"/>
  <c r="AS459" i="9"/>
  <c r="AS460" i="9"/>
  <c r="AS461" i="9"/>
  <c r="AS462" i="9"/>
  <c r="AS463" i="9"/>
  <c r="AS464" i="9"/>
  <c r="AS465" i="9"/>
  <c r="AS466" i="9"/>
  <c r="AS467" i="9"/>
  <c r="AS468" i="9"/>
  <c r="AS469" i="9"/>
  <c r="AS470" i="9"/>
  <c r="AS471" i="9"/>
  <c r="AS472" i="9"/>
  <c r="AS473" i="9"/>
  <c r="AS474" i="9"/>
  <c r="AS475" i="9"/>
  <c r="AS476" i="9"/>
  <c r="AS477" i="9"/>
  <c r="AS478" i="9"/>
  <c r="AS479" i="9"/>
  <c r="AS480" i="9"/>
  <c r="AS481" i="9"/>
  <c r="AS482" i="9"/>
  <c r="AS483" i="9"/>
  <c r="AS484" i="9"/>
  <c r="AS485" i="9"/>
  <c r="AS486" i="9"/>
  <c r="AS487" i="9"/>
  <c r="AS488" i="9"/>
  <c r="AS489" i="9"/>
  <c r="AS490" i="9"/>
  <c r="AS491" i="9"/>
  <c r="AS492" i="9"/>
  <c r="AS493" i="9"/>
  <c r="AS494" i="9"/>
  <c r="AS495" i="9"/>
  <c r="AS496" i="9"/>
  <c r="AS497" i="9"/>
  <c r="AS498" i="9"/>
  <c r="AS499" i="9"/>
  <c r="AS500" i="9"/>
  <c r="AS501" i="9"/>
  <c r="AS502" i="9"/>
  <c r="AS503" i="9"/>
  <c r="AS504" i="9"/>
  <c r="AS505" i="9"/>
  <c r="AS506" i="9"/>
  <c r="AS507" i="9"/>
  <c r="AS508" i="9"/>
  <c r="AS509" i="9"/>
  <c r="AS510" i="9"/>
  <c r="AS511" i="9"/>
  <c r="AS512" i="9"/>
  <c r="AS513" i="9"/>
  <c r="AS514" i="9"/>
  <c r="AS515" i="9"/>
  <c r="AS516" i="9"/>
  <c r="AS517" i="9"/>
  <c r="AS518" i="9"/>
  <c r="AS519" i="9"/>
  <c r="AS520" i="9"/>
  <c r="AS521" i="9"/>
  <c r="AS522" i="9"/>
  <c r="AS523" i="9"/>
  <c r="AS524" i="9"/>
  <c r="AS525" i="9"/>
  <c r="AS526" i="9"/>
  <c r="AS527" i="9"/>
  <c r="AS528" i="9"/>
  <c r="AS529" i="9"/>
  <c r="AS530" i="9"/>
  <c r="AS531" i="9"/>
  <c r="AS532" i="9"/>
  <c r="AS533" i="9"/>
  <c r="AS534" i="9"/>
  <c r="AS535" i="9"/>
  <c r="AS536" i="9"/>
  <c r="AS537" i="9"/>
  <c r="AS538" i="9"/>
  <c r="AS539" i="9"/>
  <c r="AS540" i="9"/>
  <c r="AS541" i="9"/>
  <c r="AS542" i="9"/>
  <c r="AS543" i="9"/>
  <c r="AS544" i="9"/>
  <c r="AS545" i="9"/>
  <c r="AS546" i="9"/>
  <c r="AS547" i="9"/>
  <c r="AS548" i="9"/>
  <c r="AS549" i="9"/>
  <c r="AS550" i="9"/>
  <c r="AS551" i="9"/>
  <c r="AS552" i="9"/>
  <c r="AS553" i="9"/>
  <c r="AS554" i="9"/>
  <c r="AS555" i="9"/>
  <c r="AS556" i="9"/>
  <c r="AS557" i="9"/>
  <c r="AS558" i="9"/>
  <c r="AS559" i="9"/>
  <c r="AS560" i="9"/>
  <c r="AS561" i="9"/>
  <c r="AS562" i="9"/>
  <c r="AS563" i="9"/>
  <c r="AS564" i="9"/>
  <c r="BO25" i="9"/>
  <c r="BO26" i="9"/>
  <c r="BO27" i="9"/>
  <c r="BO28" i="9"/>
  <c r="BO29" i="9"/>
  <c r="BO30" i="9"/>
  <c r="BO31" i="9"/>
  <c r="BO32" i="9"/>
  <c r="BO33" i="9"/>
  <c r="BO34" i="9"/>
  <c r="BO35" i="9"/>
  <c r="BO36" i="9"/>
  <c r="BO37" i="9"/>
  <c r="BO38" i="9"/>
  <c r="BO39" i="9"/>
  <c r="BO40" i="9"/>
  <c r="BO41" i="9"/>
  <c r="BO42" i="9"/>
  <c r="BO43" i="9"/>
  <c r="BO44" i="9"/>
  <c r="BO45" i="9"/>
  <c r="BO46" i="9"/>
  <c r="BO47" i="9"/>
  <c r="BO48" i="9"/>
  <c r="BO49" i="9"/>
  <c r="BO50" i="9"/>
  <c r="BO51" i="9"/>
  <c r="BO52" i="9"/>
  <c r="BO53" i="9"/>
  <c r="BO54" i="9"/>
  <c r="BO55" i="9"/>
  <c r="BO56" i="9"/>
  <c r="BO57" i="9"/>
  <c r="BO58" i="9"/>
  <c r="BO59" i="9"/>
  <c r="BO60" i="9"/>
  <c r="BO61" i="9"/>
  <c r="BO62" i="9"/>
  <c r="BO63" i="9"/>
  <c r="BO64" i="9"/>
  <c r="BO65" i="9"/>
  <c r="BO66" i="9"/>
  <c r="BO67" i="9"/>
  <c r="BO68" i="9"/>
  <c r="BO69" i="9"/>
  <c r="BO70" i="9"/>
  <c r="BO71" i="9"/>
  <c r="BO72" i="9"/>
  <c r="BO73" i="9"/>
  <c r="BO74" i="9"/>
  <c r="BO75" i="9"/>
  <c r="BO76" i="9"/>
  <c r="BO77" i="9"/>
  <c r="BO78" i="9"/>
  <c r="BO79" i="9"/>
  <c r="BO80" i="9"/>
  <c r="BO81" i="9"/>
  <c r="BO82" i="9"/>
  <c r="BO83" i="9"/>
  <c r="BO84" i="9"/>
  <c r="BO85" i="9"/>
  <c r="BO86" i="9"/>
  <c r="BO87" i="9"/>
  <c r="BO88" i="9"/>
  <c r="BO89" i="9"/>
  <c r="BO90" i="9"/>
  <c r="BO91" i="9"/>
  <c r="BO92" i="9"/>
  <c r="BO93" i="9"/>
  <c r="BO94" i="9"/>
  <c r="BO95" i="9"/>
  <c r="BO96" i="9"/>
  <c r="BO97" i="9"/>
  <c r="BO98" i="9"/>
  <c r="BO99" i="9"/>
  <c r="BO100" i="9"/>
  <c r="BO101" i="9"/>
  <c r="BO102" i="9"/>
  <c r="BO103" i="9"/>
  <c r="BO104" i="9"/>
  <c r="BO105" i="9"/>
  <c r="BO106" i="9"/>
  <c r="BO107" i="9"/>
  <c r="BO108" i="9"/>
  <c r="BO109" i="9"/>
  <c r="BO110" i="9"/>
  <c r="BO111" i="9"/>
  <c r="BO112" i="9"/>
  <c r="BO113" i="9"/>
  <c r="BO114" i="9"/>
  <c r="BO115" i="9"/>
  <c r="BO116" i="9"/>
  <c r="BO117" i="9"/>
  <c r="BO118" i="9"/>
  <c r="BO119" i="9"/>
  <c r="BO120" i="9"/>
  <c r="BO121" i="9"/>
  <c r="BO122" i="9"/>
  <c r="BO123" i="9"/>
  <c r="BO124" i="9"/>
  <c r="BO125" i="9"/>
  <c r="BO126" i="9"/>
  <c r="BO127" i="9"/>
  <c r="BO128" i="9"/>
  <c r="BO129" i="9"/>
  <c r="BO130" i="9"/>
  <c r="BO131" i="9"/>
  <c r="BO132" i="9"/>
  <c r="BO133" i="9"/>
  <c r="BO134" i="9"/>
  <c r="BO135" i="9"/>
  <c r="BO136" i="9"/>
  <c r="BO137" i="9"/>
  <c r="BO138" i="9"/>
  <c r="BO139" i="9"/>
  <c r="BO140" i="9"/>
  <c r="BO141" i="9"/>
  <c r="BO142" i="9"/>
  <c r="BO143" i="9"/>
  <c r="BO144" i="9"/>
  <c r="BO145" i="9"/>
  <c r="BO146" i="9"/>
  <c r="BO147" i="9"/>
  <c r="BO148" i="9"/>
  <c r="BO149" i="9"/>
  <c r="BO150" i="9"/>
  <c r="BO151" i="9"/>
  <c r="BO152" i="9"/>
  <c r="BO153" i="9"/>
  <c r="BO154" i="9"/>
  <c r="BO155" i="9"/>
  <c r="BO156" i="9"/>
  <c r="BO157" i="9"/>
  <c r="BO158" i="9"/>
  <c r="BO159" i="9"/>
  <c r="BO160" i="9"/>
  <c r="BO161" i="9"/>
  <c r="BO162" i="9"/>
  <c r="BO163" i="9"/>
  <c r="BO164" i="9"/>
  <c r="BO165" i="9"/>
  <c r="BO166" i="9"/>
  <c r="BO167" i="9"/>
  <c r="BO168" i="9"/>
  <c r="BO169" i="9"/>
  <c r="BO170" i="9"/>
  <c r="BO171" i="9"/>
  <c r="BO172" i="9"/>
  <c r="BO173" i="9"/>
  <c r="BO174" i="9"/>
  <c r="BO175" i="9"/>
  <c r="BO176" i="9"/>
  <c r="BO177" i="9"/>
  <c r="BO178" i="9"/>
  <c r="BO179" i="9"/>
  <c r="BO180" i="9"/>
  <c r="BO181" i="9"/>
  <c r="BO182" i="9"/>
  <c r="BO183" i="9"/>
  <c r="BO184" i="9"/>
  <c r="BO225" i="9"/>
  <c r="BO226" i="9"/>
  <c r="BO227" i="9"/>
  <c r="BO228" i="9"/>
  <c r="BO229" i="9"/>
  <c r="BO230" i="9"/>
  <c r="BO231" i="9"/>
  <c r="BO232" i="9"/>
  <c r="BO233" i="9"/>
  <c r="BO234" i="9"/>
  <c r="BO235" i="9"/>
  <c r="BO236" i="9"/>
  <c r="BO237" i="9"/>
  <c r="BO238" i="9"/>
  <c r="BO239" i="9"/>
  <c r="BO240" i="9"/>
  <c r="BO241" i="9"/>
  <c r="BO242" i="9"/>
  <c r="BO243" i="9"/>
  <c r="BO244" i="9"/>
  <c r="BO245" i="9"/>
  <c r="BO246" i="9"/>
  <c r="BO247" i="9"/>
  <c r="BO248" i="9"/>
  <c r="BO249" i="9"/>
  <c r="BO250" i="9"/>
  <c r="BO251" i="9"/>
  <c r="BO252" i="9"/>
  <c r="BO253" i="9"/>
  <c r="BO254" i="9"/>
  <c r="BO255" i="9"/>
  <c r="BO256" i="9"/>
  <c r="BO257" i="9"/>
  <c r="BO258" i="9"/>
  <c r="BO259" i="9"/>
  <c r="BO260" i="9"/>
  <c r="BO261" i="9"/>
  <c r="BO262" i="9"/>
  <c r="BO263" i="9"/>
  <c r="BO264" i="9"/>
  <c r="BO265" i="9"/>
  <c r="BO266" i="9"/>
  <c r="BO267" i="9"/>
  <c r="BO268" i="9"/>
  <c r="BO269" i="9"/>
  <c r="BO270" i="9"/>
  <c r="BO271" i="9"/>
  <c r="BO272" i="9"/>
  <c r="BO273" i="9"/>
  <c r="BO274" i="9"/>
  <c r="BO275" i="9"/>
  <c r="BO276" i="9"/>
  <c r="BO277" i="9"/>
  <c r="BO278" i="9"/>
  <c r="BO279" i="9"/>
  <c r="BO280" i="9"/>
  <c r="BO281" i="9"/>
  <c r="BO282" i="9"/>
  <c r="BO283" i="9"/>
  <c r="BO284" i="9"/>
  <c r="BO305" i="9"/>
  <c r="BO306" i="9"/>
  <c r="BO307" i="9"/>
  <c r="BO308" i="9"/>
  <c r="BO309" i="9"/>
  <c r="BO310" i="9"/>
  <c r="BO311" i="9"/>
  <c r="BO312" i="9"/>
  <c r="BO313" i="9"/>
  <c r="BO314" i="9"/>
  <c r="BO315" i="9"/>
  <c r="BO316" i="9"/>
  <c r="BO317" i="9"/>
  <c r="BO318" i="9"/>
  <c r="BO319" i="9"/>
  <c r="BO320" i="9"/>
  <c r="BO321" i="9"/>
  <c r="BO322" i="9"/>
  <c r="BO323" i="9"/>
  <c r="BO324" i="9"/>
  <c r="BO325" i="9"/>
  <c r="BO326" i="9"/>
  <c r="BO327" i="9"/>
  <c r="BO328" i="9"/>
  <c r="BO329" i="9"/>
  <c r="BO330" i="9"/>
  <c r="BO331" i="9"/>
  <c r="BO332" i="9"/>
  <c r="BO333" i="9"/>
  <c r="BO334" i="9"/>
  <c r="BO335" i="9"/>
  <c r="BO336" i="9"/>
  <c r="BO337" i="9"/>
  <c r="BO338" i="9"/>
  <c r="BO339" i="9"/>
  <c r="BO340" i="9"/>
  <c r="BO341" i="9"/>
  <c r="BO342" i="9"/>
  <c r="BO343" i="9"/>
  <c r="BO344" i="9"/>
  <c r="BO345" i="9"/>
  <c r="BO346" i="9"/>
  <c r="BO347" i="9"/>
  <c r="BO348" i="9"/>
  <c r="BO349" i="9"/>
  <c r="BO350" i="9"/>
  <c r="BO351" i="9"/>
  <c r="BO352" i="9"/>
  <c r="BO353" i="9"/>
  <c r="BO354" i="9"/>
  <c r="BO355" i="9"/>
  <c r="BO356" i="9"/>
  <c r="BO357" i="9"/>
  <c r="BO358" i="9"/>
  <c r="BO359" i="9"/>
  <c r="BO360" i="9"/>
  <c r="BO361" i="9"/>
  <c r="BO362" i="9"/>
  <c r="BO363" i="9"/>
  <c r="BO364" i="9"/>
  <c r="BO365" i="9"/>
  <c r="BO366" i="9"/>
  <c r="BO367" i="9"/>
  <c r="BO368" i="9"/>
  <c r="BO369" i="9"/>
  <c r="BO370" i="9"/>
  <c r="BO371" i="9"/>
  <c r="BO372" i="9"/>
  <c r="BO373" i="9"/>
  <c r="BO374" i="9"/>
  <c r="BO375" i="9"/>
  <c r="BO376" i="9"/>
  <c r="BO377" i="9"/>
  <c r="BO378" i="9"/>
  <c r="BO379" i="9"/>
  <c r="BO380" i="9"/>
  <c r="BO381" i="9"/>
  <c r="BO382" i="9"/>
  <c r="BO383" i="9"/>
  <c r="BO384" i="9"/>
  <c r="BO385" i="9"/>
  <c r="BO386" i="9"/>
  <c r="BO387" i="9"/>
  <c r="BO388" i="9"/>
  <c r="BO389" i="9"/>
  <c r="BO390" i="9"/>
  <c r="BO391" i="9"/>
  <c r="BO392" i="9"/>
  <c r="BO393" i="9"/>
  <c r="BO394" i="9"/>
  <c r="BO395" i="9"/>
  <c r="BO396" i="9"/>
  <c r="BO397" i="9"/>
  <c r="BO398" i="9"/>
  <c r="BO399" i="9"/>
  <c r="BO400" i="9"/>
  <c r="BO401" i="9"/>
  <c r="BO402" i="9"/>
  <c r="BO403" i="9"/>
  <c r="BO404" i="9"/>
  <c r="BO405" i="9"/>
  <c r="BO406" i="9"/>
  <c r="BO407" i="9"/>
  <c r="BO408" i="9"/>
  <c r="BO409" i="9"/>
  <c r="BO410" i="9"/>
  <c r="BO411" i="9"/>
  <c r="BO412" i="9"/>
  <c r="BO413" i="9"/>
  <c r="BO414" i="9"/>
  <c r="BO415" i="9"/>
  <c r="BO416" i="9"/>
  <c r="BO417" i="9"/>
  <c r="BO418" i="9"/>
  <c r="BO419" i="9"/>
  <c r="BO420" i="9"/>
  <c r="BO421" i="9"/>
  <c r="BO422" i="9"/>
  <c r="BO423" i="9"/>
  <c r="BO424" i="9"/>
  <c r="BO425" i="9"/>
  <c r="BO426" i="9"/>
  <c r="BO427" i="9"/>
  <c r="BO428" i="9"/>
  <c r="BO429" i="9"/>
  <c r="BO430" i="9"/>
  <c r="BO431" i="9"/>
  <c r="BO432" i="9"/>
  <c r="BO433" i="9"/>
  <c r="BO434" i="9"/>
  <c r="BO435" i="9"/>
  <c r="BO436" i="9"/>
  <c r="BO437" i="9"/>
  <c r="BO438" i="9"/>
  <c r="BO439" i="9"/>
  <c r="BO440" i="9"/>
  <c r="BO441" i="9"/>
  <c r="BO442" i="9"/>
  <c r="BO443" i="9"/>
  <c r="BO444" i="9"/>
  <c r="BO445" i="9"/>
  <c r="BO446" i="9"/>
  <c r="BO447" i="9"/>
  <c r="BO448" i="9"/>
  <c r="BO449" i="9"/>
  <c r="BO450" i="9"/>
  <c r="BO451" i="9"/>
  <c r="BO452" i="9"/>
  <c r="BO453" i="9"/>
  <c r="BO454" i="9"/>
  <c r="BO455" i="9"/>
  <c r="BO456" i="9"/>
  <c r="BO457" i="9"/>
  <c r="BO458" i="9"/>
  <c r="BO459" i="9"/>
  <c r="BO460" i="9"/>
  <c r="BO461" i="9"/>
  <c r="BO462" i="9"/>
  <c r="BO463" i="9"/>
  <c r="BO464" i="9"/>
  <c r="BO465" i="9"/>
  <c r="BO466" i="9"/>
  <c r="BO467" i="9"/>
  <c r="BO468" i="9"/>
  <c r="BO469" i="9"/>
  <c r="BO470" i="9"/>
  <c r="BO471" i="9"/>
  <c r="BO472" i="9"/>
  <c r="BO473" i="9"/>
  <c r="BO474" i="9"/>
  <c r="BO475" i="9"/>
  <c r="BO476" i="9"/>
  <c r="BO477" i="9"/>
  <c r="BO478" i="9"/>
  <c r="BO479" i="9"/>
  <c r="BO480" i="9"/>
  <c r="BO481" i="9"/>
  <c r="BO482" i="9"/>
  <c r="BO483" i="9"/>
  <c r="BO484" i="9"/>
  <c r="BO485" i="9"/>
  <c r="BO486" i="9"/>
  <c r="BO487" i="9"/>
  <c r="BO488" i="9"/>
  <c r="BO489" i="9"/>
  <c r="BO490" i="9"/>
  <c r="BO491" i="9"/>
  <c r="BO492" i="9"/>
  <c r="BO493" i="9"/>
  <c r="BO494" i="9"/>
  <c r="BO495" i="9"/>
  <c r="BO496" i="9"/>
  <c r="BO497" i="9"/>
  <c r="BO498" i="9"/>
  <c r="BO499" i="9"/>
  <c r="BO500" i="9"/>
  <c r="BO501" i="9"/>
  <c r="BO502" i="9"/>
  <c r="BO503" i="9"/>
  <c r="BO504" i="9"/>
  <c r="BO505" i="9"/>
  <c r="BO506" i="9"/>
  <c r="BO507" i="9"/>
  <c r="BO508" i="9"/>
  <c r="BO509" i="9"/>
  <c r="BO510" i="9"/>
  <c r="BO511" i="9"/>
  <c r="BO512" i="9"/>
  <c r="BO513" i="9"/>
  <c r="BO514" i="9"/>
  <c r="BO515" i="9"/>
  <c r="BO516" i="9"/>
  <c r="BO517" i="9"/>
  <c r="BO518" i="9"/>
  <c r="BO519" i="9"/>
  <c r="BO520" i="9"/>
  <c r="BO521" i="9"/>
  <c r="BO522" i="9"/>
  <c r="BO523" i="9"/>
  <c r="BO524" i="9"/>
  <c r="BO525" i="9"/>
  <c r="BO526" i="9"/>
  <c r="BO527" i="9"/>
  <c r="BO528" i="9"/>
  <c r="BO529" i="9"/>
  <c r="BO530" i="9"/>
  <c r="BO531" i="9"/>
  <c r="BO532" i="9"/>
  <c r="BO533" i="9"/>
  <c r="BO534" i="9"/>
  <c r="BO535" i="9"/>
  <c r="BO536" i="9"/>
  <c r="BO537" i="9"/>
  <c r="BO538" i="9"/>
  <c r="BO539" i="9"/>
  <c r="BO540" i="9"/>
  <c r="BO541" i="9"/>
  <c r="BO542" i="9"/>
  <c r="BO543" i="9"/>
  <c r="BO544" i="9"/>
  <c r="BO545" i="9"/>
  <c r="BO546" i="9"/>
  <c r="BO547" i="9"/>
  <c r="BO548" i="9"/>
  <c r="BO549" i="9"/>
  <c r="BO550" i="9"/>
  <c r="BO551" i="9"/>
  <c r="BO552" i="9"/>
  <c r="BO553" i="9"/>
  <c r="BO554" i="9"/>
  <c r="BO555" i="9"/>
  <c r="BO556" i="9"/>
  <c r="BO557" i="9"/>
  <c r="BO558" i="9"/>
  <c r="BO559" i="9"/>
  <c r="BO560" i="9"/>
  <c r="BO561" i="9"/>
  <c r="BO562" i="9"/>
  <c r="BO563" i="9"/>
  <c r="BO564" i="9"/>
  <c r="BO24" i="9"/>
  <c r="BO23" i="9"/>
  <c r="BO22" i="9"/>
  <c r="BO21" i="9"/>
  <c r="BO20" i="9"/>
  <c r="BO19" i="9"/>
  <c r="BO18" i="9"/>
  <c r="BO17" i="9"/>
  <c r="BO16" i="9"/>
  <c r="BO15" i="9"/>
  <c r="BO14" i="9"/>
  <c r="BO13" i="9"/>
  <c r="BO12" i="9"/>
  <c r="BO11" i="9"/>
  <c r="BO10" i="9"/>
  <c r="BO9" i="9"/>
  <c r="BO8" i="9"/>
  <c r="BO7" i="9"/>
  <c r="BO6" i="9"/>
  <c r="BO5" i="9"/>
  <c r="A31" i="30"/>
  <c r="BJ266" i="9"/>
  <c r="BJ267" i="9"/>
  <c r="BJ268" i="9"/>
  <c r="BJ269" i="9"/>
  <c r="BJ270" i="9"/>
  <c r="BJ271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F21" i="30"/>
  <c r="A21" i="30" s="1"/>
  <c r="BJ75" i="9" s="1"/>
  <c r="F22" i="30"/>
  <c r="A22" i="30" s="1"/>
  <c r="BJ96" i="9" s="1"/>
  <c r="F23" i="30"/>
  <c r="A23" i="30" s="1"/>
  <c r="BJ214" i="9" s="1"/>
  <c r="F24" i="30"/>
  <c r="A24" i="30" s="1"/>
  <c r="BJ318" i="9" s="1"/>
  <c r="F25" i="30"/>
  <c r="A25" i="30" s="1"/>
  <c r="BJ352" i="9" s="1"/>
  <c r="A26" i="30"/>
  <c r="BJ371" i="9" s="1"/>
  <c r="A27" i="30"/>
  <c r="BJ435" i="9" s="1"/>
  <c r="A28" i="30"/>
  <c r="BJ457" i="9" s="1"/>
  <c r="A34" i="30"/>
  <c r="F20" i="30"/>
  <c r="A20" i="30" s="1"/>
  <c r="BJ14" i="9" s="1"/>
  <c r="A29" i="30"/>
  <c r="BJ476" i="9" s="1"/>
  <c r="A30" i="30"/>
  <c r="BJ494" i="9" s="1"/>
  <c r="A32" i="30"/>
  <c r="BJ556" i="9" s="1"/>
  <c r="A33" i="30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225" i="9"/>
  <c r="BJ226" i="9"/>
  <c r="BJ227" i="9"/>
  <c r="BJ228" i="9"/>
  <c r="BJ229" i="9"/>
  <c r="BJ230" i="9"/>
  <c r="BJ231" i="9"/>
  <c r="BJ232" i="9"/>
  <c r="BJ233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5" i="9"/>
  <c r="BJ256" i="9"/>
  <c r="BJ257" i="9"/>
  <c r="BJ258" i="9"/>
  <c r="BJ259" i="9"/>
  <c r="BJ260" i="9"/>
  <c r="BJ261" i="9"/>
  <c r="BJ262" i="9"/>
  <c r="BJ263" i="9"/>
  <c r="BJ264" i="9"/>
  <c r="BJ265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2" i="9"/>
  <c r="BJ333" i="9"/>
  <c r="BJ334" i="9"/>
  <c r="BJ335" i="9"/>
  <c r="BJ336" i="9"/>
  <c r="BJ337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1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0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1" i="9"/>
  <c r="BJ412" i="9"/>
  <c r="BJ413" i="9"/>
  <c r="BJ414" i="9"/>
  <c r="BJ415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6" i="9"/>
  <c r="BJ437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6" i="9"/>
  <c r="BJ458" i="9"/>
  <c r="BJ459" i="9"/>
  <c r="BJ460" i="9"/>
  <c r="BJ461" i="9"/>
  <c r="BJ462" i="9"/>
  <c r="BJ463" i="9"/>
  <c r="BJ464" i="9"/>
  <c r="BJ465" i="9"/>
  <c r="BJ466" i="9"/>
  <c r="BJ467" i="9"/>
  <c r="BJ468" i="9"/>
  <c r="BJ469" i="9"/>
  <c r="BJ470" i="9"/>
  <c r="BJ471" i="9"/>
  <c r="BJ472" i="9"/>
  <c r="BJ473" i="9"/>
  <c r="BJ474" i="9"/>
  <c r="BJ475" i="9"/>
  <c r="BJ477" i="9"/>
  <c r="BJ478" i="9"/>
  <c r="BJ479" i="9"/>
  <c r="BJ480" i="9"/>
  <c r="BJ481" i="9"/>
  <c r="BJ482" i="9"/>
  <c r="BJ483" i="9"/>
  <c r="BJ484" i="9"/>
  <c r="BJ486" i="9"/>
  <c r="BJ487" i="9"/>
  <c r="BJ488" i="9"/>
  <c r="BJ489" i="9"/>
  <c r="BJ490" i="9"/>
  <c r="BJ491" i="9"/>
  <c r="BJ492" i="9"/>
  <c r="BJ493" i="9"/>
  <c r="BJ495" i="9"/>
  <c r="BJ496" i="9"/>
  <c r="BJ497" i="9"/>
  <c r="BJ498" i="9"/>
  <c r="BJ499" i="9"/>
  <c r="BJ500" i="9"/>
  <c r="BJ501" i="9"/>
  <c r="BJ502" i="9"/>
  <c r="BJ503" i="9"/>
  <c r="BJ504" i="9"/>
  <c r="BJ506" i="9"/>
  <c r="BJ507" i="9"/>
  <c r="BJ508" i="9"/>
  <c r="BJ509" i="9"/>
  <c r="BJ510" i="9"/>
  <c r="BJ511" i="9"/>
  <c r="BJ512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6" i="9"/>
  <c r="BJ527" i="9"/>
  <c r="BJ528" i="9"/>
  <c r="BJ529" i="9"/>
  <c r="BJ530" i="9"/>
  <c r="BJ531" i="9"/>
  <c r="BJ533" i="9"/>
  <c r="BJ534" i="9"/>
  <c r="BJ535" i="9"/>
  <c r="BJ536" i="9"/>
  <c r="BJ537" i="9"/>
  <c r="BJ538" i="9"/>
  <c r="BJ539" i="9"/>
  <c r="BJ540" i="9"/>
  <c r="BJ541" i="9"/>
  <c r="BJ542" i="9"/>
  <c r="BJ543" i="9"/>
  <c r="BJ544" i="9"/>
  <c r="BJ546" i="9"/>
  <c r="BJ547" i="9"/>
  <c r="BJ548" i="9"/>
  <c r="BJ549" i="9"/>
  <c r="BJ550" i="9"/>
  <c r="BJ551" i="9"/>
  <c r="BJ552" i="9"/>
  <c r="BJ553" i="9"/>
  <c r="BJ554" i="9"/>
  <c r="BJ555" i="9"/>
  <c r="BJ557" i="9"/>
  <c r="BJ558" i="9"/>
  <c r="BJ559" i="9"/>
  <c r="BJ560" i="9"/>
  <c r="BJ561" i="9"/>
  <c r="BJ562" i="9"/>
  <c r="BJ563" i="9"/>
  <c r="BJ564" i="9"/>
  <c r="BJ24" i="9"/>
  <c r="BJ23" i="9"/>
  <c r="BJ22" i="9"/>
  <c r="BJ21" i="9"/>
  <c r="BJ20" i="9"/>
  <c r="BJ19" i="9"/>
  <c r="BJ18" i="9"/>
  <c r="BJ17" i="9"/>
  <c r="BJ16" i="9"/>
  <c r="BJ15" i="9"/>
  <c r="BJ13" i="9"/>
  <c r="BJ12" i="9"/>
  <c r="BJ11" i="9"/>
  <c r="BJ10" i="9"/>
  <c r="BJ9" i="9"/>
  <c r="BJ8" i="9"/>
  <c r="BJ7" i="9"/>
  <c r="BJ6" i="9"/>
  <c r="BJ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6" i="9"/>
  <c r="BE67" i="9"/>
  <c r="BE68" i="9"/>
  <c r="BE69" i="9"/>
  <c r="BE70" i="9"/>
  <c r="BE71" i="9"/>
  <c r="BE72" i="9"/>
  <c r="BE73" i="9"/>
  <c r="BE74" i="9"/>
  <c r="BE75" i="9"/>
  <c r="BE76" i="9"/>
  <c r="BE77" i="9"/>
  <c r="BE78" i="9"/>
  <c r="BE79" i="9"/>
  <c r="BE80" i="9"/>
  <c r="BE81" i="9"/>
  <c r="BE82" i="9"/>
  <c r="BE83" i="9"/>
  <c r="BE84" i="9"/>
  <c r="BE86" i="9"/>
  <c r="BE87" i="9"/>
  <c r="BE88" i="9"/>
  <c r="BE89" i="9"/>
  <c r="BE90" i="9"/>
  <c r="BE91" i="9"/>
  <c r="BE92" i="9"/>
  <c r="BE93" i="9"/>
  <c r="BE94" i="9"/>
  <c r="BE95" i="9"/>
  <c r="BE96" i="9"/>
  <c r="BE97" i="9"/>
  <c r="BE98" i="9"/>
  <c r="BE99" i="9"/>
  <c r="BE100" i="9"/>
  <c r="BE101" i="9"/>
  <c r="BE102" i="9"/>
  <c r="BE103" i="9"/>
  <c r="BE104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226" i="9"/>
  <c r="BE227" i="9"/>
  <c r="BE228" i="9"/>
  <c r="BE229" i="9"/>
  <c r="BE230" i="9"/>
  <c r="BE231" i="9"/>
  <c r="BE232" i="9"/>
  <c r="BE233" i="9"/>
  <c r="BE234" i="9"/>
  <c r="BE235" i="9"/>
  <c r="BE236" i="9"/>
  <c r="BE237" i="9"/>
  <c r="BE238" i="9"/>
  <c r="BE239" i="9"/>
  <c r="BE240" i="9"/>
  <c r="BE241" i="9"/>
  <c r="BE242" i="9"/>
  <c r="BE243" i="9"/>
  <c r="BE244" i="9"/>
  <c r="BE246" i="9"/>
  <c r="BE247" i="9"/>
  <c r="BE248" i="9"/>
  <c r="BE249" i="9"/>
  <c r="BE250" i="9"/>
  <c r="BE251" i="9"/>
  <c r="BE252" i="9"/>
  <c r="BE253" i="9"/>
  <c r="BE254" i="9"/>
  <c r="BE255" i="9"/>
  <c r="BE256" i="9"/>
  <c r="BE257" i="9"/>
  <c r="BE258" i="9"/>
  <c r="BE259" i="9"/>
  <c r="BE260" i="9"/>
  <c r="BE261" i="9"/>
  <c r="BE262" i="9"/>
  <c r="BE263" i="9"/>
  <c r="BE264" i="9"/>
  <c r="BE266" i="9"/>
  <c r="BE267" i="9"/>
  <c r="BE268" i="9"/>
  <c r="BE269" i="9"/>
  <c r="BE270" i="9"/>
  <c r="BE271" i="9"/>
  <c r="BE272" i="9"/>
  <c r="BE273" i="9"/>
  <c r="BE274" i="9"/>
  <c r="BE275" i="9"/>
  <c r="BE276" i="9"/>
  <c r="BE277" i="9"/>
  <c r="BE278" i="9"/>
  <c r="BE279" i="9"/>
  <c r="BE280" i="9"/>
  <c r="BE281" i="9"/>
  <c r="BE282" i="9"/>
  <c r="BE283" i="9"/>
  <c r="BE284" i="9"/>
  <c r="BE306" i="9"/>
  <c r="BE307" i="9"/>
  <c r="BE308" i="9"/>
  <c r="BE309" i="9"/>
  <c r="BE310" i="9"/>
  <c r="BE311" i="9"/>
  <c r="BE312" i="9"/>
  <c r="BE313" i="9"/>
  <c r="BE314" i="9"/>
  <c r="BE315" i="9"/>
  <c r="BE316" i="9"/>
  <c r="BE317" i="9"/>
  <c r="BE318" i="9"/>
  <c r="BE319" i="9"/>
  <c r="BE320" i="9"/>
  <c r="BE321" i="9"/>
  <c r="BE322" i="9"/>
  <c r="BE323" i="9"/>
  <c r="BE324" i="9"/>
  <c r="BE326" i="9"/>
  <c r="BE327" i="9"/>
  <c r="BE328" i="9"/>
  <c r="BE329" i="9"/>
  <c r="BE330" i="9"/>
  <c r="BE331" i="9"/>
  <c r="BE332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6" i="9"/>
  <c r="BE347" i="9"/>
  <c r="BE348" i="9"/>
  <c r="BE349" i="9"/>
  <c r="BE350" i="9"/>
  <c r="BE351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6" i="9"/>
  <c r="BE367" i="9"/>
  <c r="BE368" i="9"/>
  <c r="BE369" i="9"/>
  <c r="BE370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6" i="9"/>
  <c r="BE387" i="9"/>
  <c r="BE388" i="9"/>
  <c r="BE389" i="9"/>
  <c r="BE390" i="9"/>
  <c r="BE391" i="9"/>
  <c r="BE392" i="9"/>
  <c r="BE393" i="9"/>
  <c r="BE394" i="9"/>
  <c r="BE395" i="9"/>
  <c r="BE396" i="9"/>
  <c r="BE397" i="9"/>
  <c r="BE398" i="9"/>
  <c r="BE399" i="9"/>
  <c r="BE400" i="9"/>
  <c r="BE401" i="9"/>
  <c r="BE402" i="9"/>
  <c r="BE403" i="9"/>
  <c r="BE404" i="9"/>
  <c r="BE406" i="9"/>
  <c r="BE407" i="9"/>
  <c r="BE408" i="9"/>
  <c r="BE409" i="9"/>
  <c r="BE410" i="9"/>
  <c r="BE411" i="9"/>
  <c r="BE412" i="9"/>
  <c r="BE413" i="9"/>
  <c r="BE414" i="9"/>
  <c r="BE415" i="9"/>
  <c r="BE416" i="9"/>
  <c r="BE417" i="9"/>
  <c r="BE418" i="9"/>
  <c r="BE419" i="9"/>
  <c r="BE420" i="9"/>
  <c r="BE421" i="9"/>
  <c r="BE422" i="9"/>
  <c r="BE423" i="9"/>
  <c r="BE424" i="9"/>
  <c r="BE426" i="9"/>
  <c r="BE427" i="9"/>
  <c r="BE428" i="9"/>
  <c r="BE429" i="9"/>
  <c r="BE430" i="9"/>
  <c r="BE431" i="9"/>
  <c r="BE432" i="9"/>
  <c r="BE433" i="9"/>
  <c r="BE434" i="9"/>
  <c r="BE435" i="9"/>
  <c r="BE436" i="9"/>
  <c r="BE437" i="9"/>
  <c r="BE438" i="9"/>
  <c r="BE439" i="9"/>
  <c r="BE440" i="9"/>
  <c r="BE441" i="9"/>
  <c r="BE442" i="9"/>
  <c r="BE443" i="9"/>
  <c r="BE444" i="9"/>
  <c r="BE446" i="9"/>
  <c r="BE447" i="9"/>
  <c r="BE448" i="9"/>
  <c r="BE449" i="9"/>
  <c r="BE450" i="9"/>
  <c r="BE451" i="9"/>
  <c r="BE452" i="9"/>
  <c r="BE453" i="9"/>
  <c r="BE454" i="9"/>
  <c r="BE455" i="9"/>
  <c r="BE456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4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2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2" i="9"/>
  <c r="BE513" i="9"/>
  <c r="BE514" i="9"/>
  <c r="BE515" i="9"/>
  <c r="BE516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0" i="9"/>
  <c r="BE531" i="9"/>
  <c r="BE532" i="9"/>
  <c r="BE533" i="9"/>
  <c r="BE534" i="9"/>
  <c r="BE535" i="9"/>
  <c r="BE536" i="9"/>
  <c r="BE537" i="9"/>
  <c r="BE538" i="9"/>
  <c r="BE539" i="9"/>
  <c r="BE540" i="9"/>
  <c r="BE541" i="9"/>
  <c r="BE542" i="9"/>
  <c r="BE543" i="9"/>
  <c r="BE544" i="9"/>
  <c r="BE546" i="9"/>
  <c r="BE547" i="9"/>
  <c r="BE548" i="9"/>
  <c r="BE549" i="9"/>
  <c r="BE550" i="9"/>
  <c r="BE551" i="9"/>
  <c r="BE552" i="9"/>
  <c r="BE553" i="9"/>
  <c r="BE554" i="9"/>
  <c r="BE555" i="9"/>
  <c r="BE556" i="9"/>
  <c r="BE557" i="9"/>
  <c r="BE558" i="9"/>
  <c r="BE559" i="9"/>
  <c r="BE560" i="9"/>
  <c r="BE561" i="9"/>
  <c r="BE562" i="9"/>
  <c r="BE563" i="9"/>
  <c r="BE564" i="9"/>
  <c r="BE24" i="9"/>
  <c r="BE23" i="9"/>
  <c r="BE22" i="9"/>
  <c r="BE21" i="9"/>
  <c r="BE20" i="9"/>
  <c r="BE19" i="9"/>
  <c r="BE18" i="9"/>
  <c r="BE17" i="9"/>
  <c r="BE16" i="9"/>
  <c r="BE15" i="9"/>
  <c r="BE14" i="9"/>
  <c r="BE13" i="9"/>
  <c r="BE12" i="9"/>
  <c r="BE11" i="9"/>
  <c r="BE10" i="9"/>
  <c r="BE9" i="9"/>
  <c r="BE8" i="9"/>
  <c r="BE7" i="9"/>
  <c r="BE6" i="9"/>
  <c r="F8" i="30"/>
  <c r="A8" i="30" s="1"/>
  <c r="AZ10" i="9" s="1"/>
  <c r="AZ125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5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245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305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325" i="9"/>
  <c r="AZ326" i="9"/>
  <c r="AZ327" i="9"/>
  <c r="AZ328" i="9"/>
  <c r="AZ329" i="9"/>
  <c r="AZ330" i="9"/>
  <c r="AZ331" i="9"/>
  <c r="AZ332" i="9"/>
  <c r="AZ333" i="9"/>
  <c r="AZ334" i="9"/>
  <c r="AZ335" i="9"/>
  <c r="AZ336" i="9"/>
  <c r="AZ337" i="9"/>
  <c r="AZ338" i="9"/>
  <c r="AZ339" i="9"/>
  <c r="AZ340" i="9"/>
  <c r="AZ341" i="9"/>
  <c r="AZ342" i="9"/>
  <c r="AZ343" i="9"/>
  <c r="AZ344" i="9"/>
  <c r="AZ445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5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5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5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AZ545" i="9"/>
  <c r="AZ546" i="9"/>
  <c r="AZ547" i="9"/>
  <c r="AZ548" i="9"/>
  <c r="AZ549" i="9"/>
  <c r="AZ550" i="9"/>
  <c r="AZ551" i="9"/>
  <c r="AZ552" i="9"/>
  <c r="AZ553" i="9"/>
  <c r="AZ554" i="9"/>
  <c r="AZ555" i="9"/>
  <c r="AZ556" i="9"/>
  <c r="AZ557" i="9"/>
  <c r="AZ558" i="9"/>
  <c r="AZ559" i="9"/>
  <c r="AZ560" i="9"/>
  <c r="AZ561" i="9"/>
  <c r="AZ562" i="9"/>
  <c r="AZ563" i="9"/>
  <c r="AZ564" i="9"/>
  <c r="BQ84" i="9"/>
  <c r="AQ84" i="9"/>
  <c r="AO84" i="9"/>
  <c r="AM84" i="9"/>
  <c r="F84" i="9"/>
  <c r="C84" i="9"/>
  <c r="BQ83" i="9"/>
  <c r="AQ83" i="9"/>
  <c r="AO83" i="9"/>
  <c r="AM83" i="9"/>
  <c r="F83" i="9"/>
  <c r="C83" i="9"/>
  <c r="BQ82" i="9"/>
  <c r="AS82" i="9" s="1"/>
  <c r="AQ82" i="9"/>
  <c r="AO82" i="9"/>
  <c r="AM82" i="9"/>
  <c r="F82" i="9"/>
  <c r="C82" i="9"/>
  <c r="BQ81" i="9"/>
  <c r="AQ81" i="9"/>
  <c r="AO81" i="9"/>
  <c r="AM81" i="9"/>
  <c r="F81" i="9"/>
  <c r="C81" i="9"/>
  <c r="BQ80" i="9"/>
  <c r="AS80" i="9" s="1"/>
  <c r="AQ80" i="9"/>
  <c r="AO80" i="9"/>
  <c r="AM80" i="9"/>
  <c r="F80" i="9"/>
  <c r="C80" i="9"/>
  <c r="BQ79" i="9"/>
  <c r="AQ79" i="9"/>
  <c r="AO79" i="9"/>
  <c r="AM79" i="9"/>
  <c r="F79" i="9"/>
  <c r="C79" i="9"/>
  <c r="BQ78" i="9"/>
  <c r="AS78" i="9" s="1"/>
  <c r="AQ78" i="9"/>
  <c r="AO78" i="9"/>
  <c r="AM78" i="9"/>
  <c r="F78" i="9"/>
  <c r="C78" i="9"/>
  <c r="BQ77" i="9"/>
  <c r="AQ77" i="9"/>
  <c r="AO77" i="9"/>
  <c r="AM77" i="9"/>
  <c r="F77" i="9"/>
  <c r="C77" i="9"/>
  <c r="BQ76" i="9"/>
  <c r="AQ76" i="9"/>
  <c r="AO76" i="9"/>
  <c r="AM76" i="9"/>
  <c r="F76" i="9"/>
  <c r="C76" i="9"/>
  <c r="BQ75" i="9"/>
  <c r="AQ75" i="9"/>
  <c r="AO75" i="9"/>
  <c r="AM75" i="9"/>
  <c r="F75" i="9"/>
  <c r="C75" i="9"/>
  <c r="BQ74" i="9"/>
  <c r="AQ74" i="9"/>
  <c r="AO74" i="9"/>
  <c r="AM74" i="9"/>
  <c r="F74" i="9"/>
  <c r="C74" i="9"/>
  <c r="BQ73" i="9"/>
  <c r="AS73" i="9" s="1"/>
  <c r="AQ73" i="9"/>
  <c r="AO73" i="9"/>
  <c r="AM73" i="9"/>
  <c r="F73" i="9"/>
  <c r="C73" i="9"/>
  <c r="BQ72" i="9"/>
  <c r="AQ72" i="9"/>
  <c r="AO72" i="9"/>
  <c r="AM72" i="9"/>
  <c r="F72" i="9"/>
  <c r="C72" i="9"/>
  <c r="BQ71" i="9"/>
  <c r="AQ71" i="9"/>
  <c r="AO71" i="9"/>
  <c r="AM71" i="9"/>
  <c r="F71" i="9"/>
  <c r="C71" i="9"/>
  <c r="BQ70" i="9"/>
  <c r="AS70" i="9" s="1"/>
  <c r="AQ70" i="9"/>
  <c r="AO70" i="9"/>
  <c r="AM70" i="9"/>
  <c r="F70" i="9"/>
  <c r="C70" i="9"/>
  <c r="BQ69" i="9"/>
  <c r="AQ69" i="9"/>
  <c r="AO69" i="9"/>
  <c r="AM69" i="9"/>
  <c r="F69" i="9"/>
  <c r="C69" i="9"/>
  <c r="BQ68" i="9"/>
  <c r="AS68" i="9" s="1"/>
  <c r="AQ68" i="9"/>
  <c r="AO68" i="9"/>
  <c r="AM68" i="9"/>
  <c r="F68" i="9"/>
  <c r="C68" i="9"/>
  <c r="BQ67" i="9"/>
  <c r="AQ67" i="9"/>
  <c r="AO67" i="9"/>
  <c r="AM67" i="9"/>
  <c r="F67" i="9"/>
  <c r="C67" i="9"/>
  <c r="BQ66" i="9"/>
  <c r="AS66" i="9" s="1"/>
  <c r="AQ66" i="9"/>
  <c r="AO66" i="9"/>
  <c r="AM66" i="9"/>
  <c r="F66" i="9"/>
  <c r="C66" i="9"/>
  <c r="BQ65" i="9"/>
  <c r="AS65" i="9" s="1"/>
  <c r="AQ65" i="9"/>
  <c r="AO65" i="9"/>
  <c r="AM65" i="9"/>
  <c r="F65" i="9"/>
  <c r="C65" i="9"/>
  <c r="AQ564" i="9"/>
  <c r="AQ563" i="9"/>
  <c r="AQ562" i="9"/>
  <c r="AQ561" i="9"/>
  <c r="AQ560" i="9"/>
  <c r="AQ559" i="9"/>
  <c r="AQ558" i="9"/>
  <c r="AQ557" i="9"/>
  <c r="AQ556" i="9"/>
  <c r="AQ555" i="9"/>
  <c r="AQ554" i="9"/>
  <c r="AQ553" i="9"/>
  <c r="AQ552" i="9"/>
  <c r="AQ551" i="9"/>
  <c r="AQ550" i="9"/>
  <c r="AQ549" i="9"/>
  <c r="AQ548" i="9"/>
  <c r="AQ547" i="9"/>
  <c r="AQ546" i="9"/>
  <c r="AQ545" i="9"/>
  <c r="AQ544" i="9"/>
  <c r="AQ543" i="9"/>
  <c r="AQ542" i="9"/>
  <c r="AQ541" i="9"/>
  <c r="AQ540" i="9"/>
  <c r="AQ539" i="9"/>
  <c r="AQ538" i="9"/>
  <c r="AQ537" i="9"/>
  <c r="AQ536" i="9"/>
  <c r="AQ535" i="9"/>
  <c r="AQ534" i="9"/>
  <c r="AQ533" i="9"/>
  <c r="AQ532" i="9"/>
  <c r="AQ531" i="9"/>
  <c r="AQ530" i="9"/>
  <c r="AQ529" i="9"/>
  <c r="AQ528" i="9"/>
  <c r="AQ527" i="9"/>
  <c r="AQ526" i="9"/>
  <c r="AQ525" i="9"/>
  <c r="AQ524" i="9"/>
  <c r="AQ523" i="9"/>
  <c r="AQ522" i="9"/>
  <c r="AQ521" i="9"/>
  <c r="AQ520" i="9"/>
  <c r="AQ519" i="9"/>
  <c r="AQ518" i="9"/>
  <c r="AQ517" i="9"/>
  <c r="AQ516" i="9"/>
  <c r="AQ515" i="9"/>
  <c r="AQ514" i="9"/>
  <c r="AQ513" i="9"/>
  <c r="AQ512" i="9"/>
  <c r="AQ511" i="9"/>
  <c r="AQ510" i="9"/>
  <c r="AQ509" i="9"/>
  <c r="AQ508" i="9"/>
  <c r="AQ507" i="9"/>
  <c r="AQ506" i="9"/>
  <c r="AQ505" i="9"/>
  <c r="AQ504" i="9"/>
  <c r="AQ503" i="9"/>
  <c r="AQ502" i="9"/>
  <c r="AQ501" i="9"/>
  <c r="AQ500" i="9"/>
  <c r="AQ499" i="9"/>
  <c r="AQ498" i="9"/>
  <c r="AQ497" i="9"/>
  <c r="AQ496" i="9"/>
  <c r="AQ495" i="9"/>
  <c r="AQ494" i="9"/>
  <c r="AQ493" i="9"/>
  <c r="AQ492" i="9"/>
  <c r="AQ491" i="9"/>
  <c r="AQ490" i="9"/>
  <c r="AQ489" i="9"/>
  <c r="AQ488" i="9"/>
  <c r="AQ487" i="9"/>
  <c r="AQ486" i="9"/>
  <c r="AQ485" i="9"/>
  <c r="AQ484" i="9"/>
  <c r="AQ483" i="9"/>
  <c r="AQ482" i="9"/>
  <c r="AQ481" i="9"/>
  <c r="AQ480" i="9"/>
  <c r="AQ479" i="9"/>
  <c r="AQ478" i="9"/>
  <c r="AQ477" i="9"/>
  <c r="AQ476" i="9"/>
  <c r="AQ475" i="9"/>
  <c r="AQ474" i="9"/>
  <c r="AQ473" i="9"/>
  <c r="AQ472" i="9"/>
  <c r="AQ471" i="9"/>
  <c r="AQ470" i="9"/>
  <c r="AQ469" i="9"/>
  <c r="AQ468" i="9"/>
  <c r="AQ467" i="9"/>
  <c r="AQ466" i="9"/>
  <c r="AQ465" i="9"/>
  <c r="AQ464" i="9"/>
  <c r="AQ463" i="9"/>
  <c r="AQ462" i="9"/>
  <c r="AQ461" i="9"/>
  <c r="AQ460" i="9"/>
  <c r="AQ459" i="9"/>
  <c r="AQ458" i="9"/>
  <c r="AQ457" i="9"/>
  <c r="AQ456" i="9"/>
  <c r="AQ455" i="9"/>
  <c r="AQ454" i="9"/>
  <c r="AQ453" i="9"/>
  <c r="AQ452" i="9"/>
  <c r="AQ451" i="9"/>
  <c r="AQ450" i="9"/>
  <c r="AQ449" i="9"/>
  <c r="AQ448" i="9"/>
  <c r="AQ447" i="9"/>
  <c r="AQ446" i="9"/>
  <c r="AQ445" i="9"/>
  <c r="AQ444" i="9"/>
  <c r="AQ443" i="9"/>
  <c r="AQ442" i="9"/>
  <c r="AQ441" i="9"/>
  <c r="AQ440" i="9"/>
  <c r="AQ439" i="9"/>
  <c r="AQ438" i="9"/>
  <c r="AQ437" i="9"/>
  <c r="AQ436" i="9"/>
  <c r="AQ435" i="9"/>
  <c r="AQ434" i="9"/>
  <c r="AQ433" i="9"/>
  <c r="AQ432" i="9"/>
  <c r="AQ431" i="9"/>
  <c r="AQ430" i="9"/>
  <c r="AQ429" i="9"/>
  <c r="AQ428" i="9"/>
  <c r="AQ427" i="9"/>
  <c r="AQ426" i="9"/>
  <c r="AQ425" i="9"/>
  <c r="AQ424" i="9"/>
  <c r="AQ423" i="9"/>
  <c r="AQ422" i="9"/>
  <c r="AQ421" i="9"/>
  <c r="AQ420" i="9"/>
  <c r="AQ419" i="9"/>
  <c r="AQ418" i="9"/>
  <c r="AQ417" i="9"/>
  <c r="AQ416" i="9"/>
  <c r="AQ415" i="9"/>
  <c r="AQ414" i="9"/>
  <c r="AQ413" i="9"/>
  <c r="AQ412" i="9"/>
  <c r="AQ411" i="9"/>
  <c r="AQ410" i="9"/>
  <c r="AQ409" i="9"/>
  <c r="AQ408" i="9"/>
  <c r="AQ407" i="9"/>
  <c r="AQ406" i="9"/>
  <c r="AQ405" i="9"/>
  <c r="AQ404" i="9"/>
  <c r="AQ403" i="9"/>
  <c r="AQ402" i="9"/>
  <c r="AQ401" i="9"/>
  <c r="AQ400" i="9"/>
  <c r="AQ399" i="9"/>
  <c r="AQ398" i="9"/>
  <c r="AQ397" i="9"/>
  <c r="AQ396" i="9"/>
  <c r="AQ395" i="9"/>
  <c r="AQ394" i="9"/>
  <c r="AQ393" i="9"/>
  <c r="AQ392" i="9"/>
  <c r="AQ391" i="9"/>
  <c r="AQ390" i="9"/>
  <c r="AQ389" i="9"/>
  <c r="AQ388" i="9"/>
  <c r="AQ387" i="9"/>
  <c r="AQ386" i="9"/>
  <c r="AQ385" i="9"/>
  <c r="AQ384" i="9"/>
  <c r="AQ383" i="9"/>
  <c r="AQ382" i="9"/>
  <c r="AQ381" i="9"/>
  <c r="AQ380" i="9"/>
  <c r="AQ379" i="9"/>
  <c r="AQ378" i="9"/>
  <c r="AQ377" i="9"/>
  <c r="AQ376" i="9"/>
  <c r="AQ375" i="9"/>
  <c r="AQ374" i="9"/>
  <c r="AQ373" i="9"/>
  <c r="AQ372" i="9"/>
  <c r="AQ371" i="9"/>
  <c r="AQ370" i="9"/>
  <c r="AQ369" i="9"/>
  <c r="AQ368" i="9"/>
  <c r="AQ367" i="9"/>
  <c r="AQ366" i="9"/>
  <c r="AQ365" i="9"/>
  <c r="AQ364" i="9"/>
  <c r="AQ363" i="9"/>
  <c r="AQ362" i="9"/>
  <c r="AQ361" i="9"/>
  <c r="AQ360" i="9"/>
  <c r="AQ359" i="9"/>
  <c r="AQ358" i="9"/>
  <c r="AQ357" i="9"/>
  <c r="AQ356" i="9"/>
  <c r="AQ355" i="9"/>
  <c r="AQ354" i="9"/>
  <c r="AQ353" i="9"/>
  <c r="AQ352" i="9"/>
  <c r="AQ351" i="9"/>
  <c r="AQ350" i="9"/>
  <c r="AQ349" i="9"/>
  <c r="AQ348" i="9"/>
  <c r="AQ347" i="9"/>
  <c r="AQ346" i="9"/>
  <c r="AQ345" i="9"/>
  <c r="AQ344" i="9"/>
  <c r="AQ343" i="9"/>
  <c r="AQ342" i="9"/>
  <c r="AQ341" i="9"/>
  <c r="AQ340" i="9"/>
  <c r="AQ339" i="9"/>
  <c r="AQ338" i="9"/>
  <c r="AQ337" i="9"/>
  <c r="AQ336" i="9"/>
  <c r="AQ335" i="9"/>
  <c r="AQ334" i="9"/>
  <c r="AQ333" i="9"/>
  <c r="AQ332" i="9"/>
  <c r="AQ331" i="9"/>
  <c r="AQ330" i="9"/>
  <c r="AQ329" i="9"/>
  <c r="AQ328" i="9"/>
  <c r="AQ327" i="9"/>
  <c r="AQ326" i="9"/>
  <c r="AQ325" i="9"/>
  <c r="AQ324" i="9"/>
  <c r="AQ323" i="9"/>
  <c r="AQ322" i="9"/>
  <c r="AQ321" i="9"/>
  <c r="AQ320" i="9"/>
  <c r="AQ319" i="9"/>
  <c r="AQ318" i="9"/>
  <c r="AQ317" i="9"/>
  <c r="AQ316" i="9"/>
  <c r="AQ315" i="9"/>
  <c r="AQ314" i="9"/>
  <c r="AQ313" i="9"/>
  <c r="AQ312" i="9"/>
  <c r="AQ311" i="9"/>
  <c r="AQ310" i="9"/>
  <c r="AQ309" i="9"/>
  <c r="AQ308" i="9"/>
  <c r="AQ307" i="9"/>
  <c r="AQ306" i="9"/>
  <c r="AQ305" i="9"/>
  <c r="AQ284" i="9"/>
  <c r="AQ283" i="9"/>
  <c r="AQ282" i="9"/>
  <c r="AQ281" i="9"/>
  <c r="AQ280" i="9"/>
  <c r="AQ279" i="9"/>
  <c r="AQ278" i="9"/>
  <c r="AQ277" i="9"/>
  <c r="AQ276" i="9"/>
  <c r="AQ275" i="9"/>
  <c r="AQ274" i="9"/>
  <c r="AQ273" i="9"/>
  <c r="AQ272" i="9"/>
  <c r="AQ271" i="9"/>
  <c r="AQ270" i="9"/>
  <c r="AQ269" i="9"/>
  <c r="AQ268" i="9"/>
  <c r="AQ267" i="9"/>
  <c r="AQ266" i="9"/>
  <c r="AQ265" i="9"/>
  <c r="AQ264" i="9"/>
  <c r="AQ263" i="9"/>
  <c r="AQ262" i="9"/>
  <c r="AQ261" i="9"/>
  <c r="AQ260" i="9"/>
  <c r="AQ259" i="9"/>
  <c r="AQ258" i="9"/>
  <c r="AQ257" i="9"/>
  <c r="AQ256" i="9"/>
  <c r="AQ255" i="9"/>
  <c r="AQ254" i="9"/>
  <c r="AQ253" i="9"/>
  <c r="AQ252" i="9"/>
  <c r="AQ251" i="9"/>
  <c r="AQ250" i="9"/>
  <c r="AQ249" i="9"/>
  <c r="AQ248" i="9"/>
  <c r="AQ247" i="9"/>
  <c r="AQ246" i="9"/>
  <c r="AQ245" i="9"/>
  <c r="AQ244" i="9"/>
  <c r="AQ243" i="9"/>
  <c r="AQ242" i="9"/>
  <c r="AQ241" i="9"/>
  <c r="AQ240" i="9"/>
  <c r="AQ239" i="9"/>
  <c r="AQ238" i="9"/>
  <c r="AQ237" i="9"/>
  <c r="AQ236" i="9"/>
  <c r="AQ235" i="9"/>
  <c r="AQ234" i="9"/>
  <c r="AQ233" i="9"/>
  <c r="AQ232" i="9"/>
  <c r="AQ231" i="9"/>
  <c r="AQ230" i="9"/>
  <c r="AQ229" i="9"/>
  <c r="AQ228" i="9"/>
  <c r="AQ227" i="9"/>
  <c r="AQ226" i="9"/>
  <c r="AQ225" i="9"/>
  <c r="AQ184" i="9"/>
  <c r="AQ183" i="9"/>
  <c r="AQ182" i="9"/>
  <c r="AQ181" i="9"/>
  <c r="AQ180" i="9"/>
  <c r="AQ179" i="9"/>
  <c r="AQ178" i="9"/>
  <c r="AQ177" i="9"/>
  <c r="AQ176" i="9"/>
  <c r="AQ175" i="9"/>
  <c r="AQ174" i="9"/>
  <c r="AQ173" i="9"/>
  <c r="AQ172" i="9"/>
  <c r="AQ171" i="9"/>
  <c r="AQ170" i="9"/>
  <c r="AQ169" i="9"/>
  <c r="AQ168" i="9"/>
  <c r="AQ167" i="9"/>
  <c r="AQ166" i="9"/>
  <c r="AQ165" i="9"/>
  <c r="AQ164" i="9"/>
  <c r="AQ163" i="9"/>
  <c r="AQ162" i="9"/>
  <c r="AQ161" i="9"/>
  <c r="AQ160" i="9"/>
  <c r="AQ159" i="9"/>
  <c r="AQ158" i="9"/>
  <c r="AQ157" i="9"/>
  <c r="AQ156" i="9"/>
  <c r="AQ155" i="9"/>
  <c r="AQ154" i="9"/>
  <c r="AQ153" i="9"/>
  <c r="AQ152" i="9"/>
  <c r="AQ151" i="9"/>
  <c r="AQ150" i="9"/>
  <c r="AQ149" i="9"/>
  <c r="AQ148" i="9"/>
  <c r="AQ147" i="9"/>
  <c r="AQ146" i="9"/>
  <c r="AQ145" i="9"/>
  <c r="AQ144" i="9"/>
  <c r="AQ143" i="9"/>
  <c r="AQ142" i="9"/>
  <c r="AQ141" i="9"/>
  <c r="AQ140" i="9"/>
  <c r="AQ139" i="9"/>
  <c r="AQ138" i="9"/>
  <c r="AQ137" i="9"/>
  <c r="AQ136" i="9"/>
  <c r="AQ135" i="9"/>
  <c r="AQ134" i="9"/>
  <c r="AQ133" i="9"/>
  <c r="AQ132" i="9"/>
  <c r="AQ131" i="9"/>
  <c r="AQ130" i="9"/>
  <c r="AQ129" i="9"/>
  <c r="AQ128" i="9"/>
  <c r="AQ127" i="9"/>
  <c r="AQ126" i="9"/>
  <c r="AQ125" i="9"/>
  <c r="AQ124" i="9"/>
  <c r="AQ123" i="9"/>
  <c r="AQ122" i="9"/>
  <c r="AQ121" i="9"/>
  <c r="AQ120" i="9"/>
  <c r="AQ119" i="9"/>
  <c r="AQ118" i="9"/>
  <c r="AQ117" i="9"/>
  <c r="AQ116" i="9"/>
  <c r="AQ115" i="9"/>
  <c r="AQ114" i="9"/>
  <c r="AQ113" i="9"/>
  <c r="AQ112" i="9"/>
  <c r="AQ111" i="9"/>
  <c r="AQ110" i="9"/>
  <c r="AQ109" i="9"/>
  <c r="AQ108" i="9"/>
  <c r="AQ107" i="9"/>
  <c r="AQ106" i="9"/>
  <c r="AQ105" i="9"/>
  <c r="AQ104" i="9"/>
  <c r="AQ103" i="9"/>
  <c r="AQ102" i="9"/>
  <c r="AQ101" i="9"/>
  <c r="AQ100" i="9"/>
  <c r="AQ99" i="9"/>
  <c r="AQ98" i="9"/>
  <c r="AQ97" i="9"/>
  <c r="AQ96" i="9"/>
  <c r="AQ95" i="9"/>
  <c r="AQ94" i="9"/>
  <c r="AQ93" i="9"/>
  <c r="AQ92" i="9"/>
  <c r="AQ91" i="9"/>
  <c r="AQ90" i="9"/>
  <c r="AQ89" i="9"/>
  <c r="AQ88" i="9"/>
  <c r="AQ87" i="9"/>
  <c r="AQ86" i="9"/>
  <c r="AQ85" i="9"/>
  <c r="AQ64" i="9"/>
  <c r="AQ63" i="9"/>
  <c r="AQ62" i="9"/>
  <c r="AQ61" i="9"/>
  <c r="AQ60" i="9"/>
  <c r="AQ59" i="9"/>
  <c r="AQ58" i="9"/>
  <c r="AQ57" i="9"/>
  <c r="AQ56" i="9"/>
  <c r="AQ55" i="9"/>
  <c r="AQ54" i="9"/>
  <c r="AQ53" i="9"/>
  <c r="AQ52" i="9"/>
  <c r="AQ51" i="9"/>
  <c r="AQ50" i="9"/>
  <c r="AQ49" i="9"/>
  <c r="AQ48" i="9"/>
  <c r="AQ47" i="9"/>
  <c r="AQ46" i="9"/>
  <c r="AQ45" i="9"/>
  <c r="AQ44" i="9"/>
  <c r="AQ43" i="9"/>
  <c r="AQ42" i="9"/>
  <c r="AQ41" i="9"/>
  <c r="AQ40" i="9"/>
  <c r="AQ39" i="9"/>
  <c r="AQ38" i="9"/>
  <c r="AQ37" i="9"/>
  <c r="AQ36" i="9"/>
  <c r="AQ35" i="9"/>
  <c r="AQ34" i="9"/>
  <c r="AQ33" i="9"/>
  <c r="AQ32" i="9"/>
  <c r="AQ31" i="9"/>
  <c r="AQ30" i="9"/>
  <c r="AQ29" i="9"/>
  <c r="AQ28" i="9"/>
  <c r="AQ27" i="9"/>
  <c r="AQ26" i="9"/>
  <c r="AQ25" i="9"/>
  <c r="AQ24" i="9"/>
  <c r="AQ23" i="9"/>
  <c r="AQ22" i="9"/>
  <c r="AQ21" i="9"/>
  <c r="AQ20" i="9"/>
  <c r="AQ19" i="9"/>
  <c r="AQ18" i="9"/>
  <c r="AQ17" i="9"/>
  <c r="AQ16" i="9"/>
  <c r="AQ15" i="9"/>
  <c r="AQ14" i="9"/>
  <c r="AQ13" i="9"/>
  <c r="AQ12" i="9"/>
  <c r="AQ11" i="9"/>
  <c r="AQ10" i="9"/>
  <c r="AQ9" i="9"/>
  <c r="AQ8" i="9"/>
  <c r="AQ7" i="9"/>
  <c r="AQ6" i="9"/>
  <c r="AQ5" i="9"/>
  <c r="AO25" i="9"/>
  <c r="AO26" i="9"/>
  <c r="AO27" i="9"/>
  <c r="AO28" i="9"/>
  <c r="AO29" i="9"/>
  <c r="AO30" i="9"/>
  <c r="AO31" i="9"/>
  <c r="AO32" i="9"/>
  <c r="AO33" i="9"/>
  <c r="AO34" i="9"/>
  <c r="AO35" i="9"/>
  <c r="AO36" i="9"/>
  <c r="AO37" i="9"/>
  <c r="AO38" i="9"/>
  <c r="AO39" i="9"/>
  <c r="AO40" i="9"/>
  <c r="AO41" i="9"/>
  <c r="AO42" i="9"/>
  <c r="AO43" i="9"/>
  <c r="AO44" i="9"/>
  <c r="AO45" i="9"/>
  <c r="AO46" i="9"/>
  <c r="AO47" i="9"/>
  <c r="AO48" i="9"/>
  <c r="AO49" i="9"/>
  <c r="AO50" i="9"/>
  <c r="AO51" i="9"/>
  <c r="AO52" i="9"/>
  <c r="AO53" i="9"/>
  <c r="AO54" i="9"/>
  <c r="AO55" i="9"/>
  <c r="AO56" i="9"/>
  <c r="AO57" i="9"/>
  <c r="AO58" i="9"/>
  <c r="AO59" i="9"/>
  <c r="AO60" i="9"/>
  <c r="AO61" i="9"/>
  <c r="AO62" i="9"/>
  <c r="AO63" i="9"/>
  <c r="AO64" i="9"/>
  <c r="AO85" i="9"/>
  <c r="AO86" i="9"/>
  <c r="AO87" i="9"/>
  <c r="AO88" i="9"/>
  <c r="AO89" i="9"/>
  <c r="AO90" i="9"/>
  <c r="AO91" i="9"/>
  <c r="AO92" i="9"/>
  <c r="AO93" i="9"/>
  <c r="AO94" i="9"/>
  <c r="AO95" i="9"/>
  <c r="AO96" i="9"/>
  <c r="AO97" i="9"/>
  <c r="AO98" i="9"/>
  <c r="AO99" i="9"/>
  <c r="AO100" i="9"/>
  <c r="AO101" i="9"/>
  <c r="AO102" i="9"/>
  <c r="AO103" i="9"/>
  <c r="AO104" i="9"/>
  <c r="AO105" i="9"/>
  <c r="AO106" i="9"/>
  <c r="AO107" i="9"/>
  <c r="AO108" i="9"/>
  <c r="AO109" i="9"/>
  <c r="AO110" i="9"/>
  <c r="AO111" i="9"/>
  <c r="AO112" i="9"/>
  <c r="AO113" i="9"/>
  <c r="AO114" i="9"/>
  <c r="AO115" i="9"/>
  <c r="AO116" i="9"/>
  <c r="AO117" i="9"/>
  <c r="AO118" i="9"/>
  <c r="AO119" i="9"/>
  <c r="AO120" i="9"/>
  <c r="AO121" i="9"/>
  <c r="AO122" i="9"/>
  <c r="AO123" i="9"/>
  <c r="AO124" i="9"/>
  <c r="AO125" i="9"/>
  <c r="AO126" i="9"/>
  <c r="AO127" i="9"/>
  <c r="AO128" i="9"/>
  <c r="AO129" i="9"/>
  <c r="AO130" i="9"/>
  <c r="AO131" i="9"/>
  <c r="AO132" i="9"/>
  <c r="AO133" i="9"/>
  <c r="AO134" i="9"/>
  <c r="AO135" i="9"/>
  <c r="AO136" i="9"/>
  <c r="AO137" i="9"/>
  <c r="AO138" i="9"/>
  <c r="AO139" i="9"/>
  <c r="AO140" i="9"/>
  <c r="AO141" i="9"/>
  <c r="AO142" i="9"/>
  <c r="AO143" i="9"/>
  <c r="AO144" i="9"/>
  <c r="AO145" i="9"/>
  <c r="AO146" i="9"/>
  <c r="AO147" i="9"/>
  <c r="AO148" i="9"/>
  <c r="AO149" i="9"/>
  <c r="AO150" i="9"/>
  <c r="AO151" i="9"/>
  <c r="AO152" i="9"/>
  <c r="AO153" i="9"/>
  <c r="AO154" i="9"/>
  <c r="AO155" i="9"/>
  <c r="AO156" i="9"/>
  <c r="AO157" i="9"/>
  <c r="AO158" i="9"/>
  <c r="AO159" i="9"/>
  <c r="AO160" i="9"/>
  <c r="AO161" i="9"/>
  <c r="AO162" i="9"/>
  <c r="AO163" i="9"/>
  <c r="AO164" i="9"/>
  <c r="AO165" i="9"/>
  <c r="AO166" i="9"/>
  <c r="AO167" i="9"/>
  <c r="AO168" i="9"/>
  <c r="AO169" i="9"/>
  <c r="AO170" i="9"/>
  <c r="AO171" i="9"/>
  <c r="AO172" i="9"/>
  <c r="AO173" i="9"/>
  <c r="AO174" i="9"/>
  <c r="AO175" i="9"/>
  <c r="AO176" i="9"/>
  <c r="AO177" i="9"/>
  <c r="AO178" i="9"/>
  <c r="AO179" i="9"/>
  <c r="AO180" i="9"/>
  <c r="AO181" i="9"/>
  <c r="AO182" i="9"/>
  <c r="AO183" i="9"/>
  <c r="AO184" i="9"/>
  <c r="AO225" i="9"/>
  <c r="AO226" i="9"/>
  <c r="AO227" i="9"/>
  <c r="AO228" i="9"/>
  <c r="AO229" i="9"/>
  <c r="AO230" i="9"/>
  <c r="AO231" i="9"/>
  <c r="AO232" i="9"/>
  <c r="AO233" i="9"/>
  <c r="AO234" i="9"/>
  <c r="AO235" i="9"/>
  <c r="AO236" i="9"/>
  <c r="AO237" i="9"/>
  <c r="AO238" i="9"/>
  <c r="AO239" i="9"/>
  <c r="AO240" i="9"/>
  <c r="AO241" i="9"/>
  <c r="AO242" i="9"/>
  <c r="AO243" i="9"/>
  <c r="AO244" i="9"/>
  <c r="AO245" i="9"/>
  <c r="AO246" i="9"/>
  <c r="AO247" i="9"/>
  <c r="AO248" i="9"/>
  <c r="AO249" i="9"/>
  <c r="AO250" i="9"/>
  <c r="AO251" i="9"/>
  <c r="AO252" i="9"/>
  <c r="AO253" i="9"/>
  <c r="AO254" i="9"/>
  <c r="AO255" i="9"/>
  <c r="AO256" i="9"/>
  <c r="AO257" i="9"/>
  <c r="AO258" i="9"/>
  <c r="AO259" i="9"/>
  <c r="AO260" i="9"/>
  <c r="AO261" i="9"/>
  <c r="AO262" i="9"/>
  <c r="AO263" i="9"/>
  <c r="AO264" i="9"/>
  <c r="AO265" i="9"/>
  <c r="AO266" i="9"/>
  <c r="AO267" i="9"/>
  <c r="AO268" i="9"/>
  <c r="AO269" i="9"/>
  <c r="AO270" i="9"/>
  <c r="AO271" i="9"/>
  <c r="AO272" i="9"/>
  <c r="AO273" i="9"/>
  <c r="AO274" i="9"/>
  <c r="AO275" i="9"/>
  <c r="AO276" i="9"/>
  <c r="AO277" i="9"/>
  <c r="AO278" i="9"/>
  <c r="AO279" i="9"/>
  <c r="AO280" i="9"/>
  <c r="AO281" i="9"/>
  <c r="AO282" i="9"/>
  <c r="AO283" i="9"/>
  <c r="AO284" i="9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AO505" i="9"/>
  <c r="AO506" i="9"/>
  <c r="AO507" i="9"/>
  <c r="AO508" i="9"/>
  <c r="AO509" i="9"/>
  <c r="AO510" i="9"/>
  <c r="AO511" i="9"/>
  <c r="AO512" i="9"/>
  <c r="AO513" i="9"/>
  <c r="AO514" i="9"/>
  <c r="AO515" i="9"/>
  <c r="AO516" i="9"/>
  <c r="AO517" i="9"/>
  <c r="AO518" i="9"/>
  <c r="AO519" i="9"/>
  <c r="AO520" i="9"/>
  <c r="AO521" i="9"/>
  <c r="AO522" i="9"/>
  <c r="AO523" i="9"/>
  <c r="AO524" i="9"/>
  <c r="AO525" i="9"/>
  <c r="AO526" i="9"/>
  <c r="AO527" i="9"/>
  <c r="AO528" i="9"/>
  <c r="AO529" i="9"/>
  <c r="AO530" i="9"/>
  <c r="AO531" i="9"/>
  <c r="AO532" i="9"/>
  <c r="AO533" i="9"/>
  <c r="AO534" i="9"/>
  <c r="AO535" i="9"/>
  <c r="AO536" i="9"/>
  <c r="AO537" i="9"/>
  <c r="AO538" i="9"/>
  <c r="AO539" i="9"/>
  <c r="AO540" i="9"/>
  <c r="AO541" i="9"/>
  <c r="AO542" i="9"/>
  <c r="AO543" i="9"/>
  <c r="AO544" i="9"/>
  <c r="AO545" i="9"/>
  <c r="AO546" i="9"/>
  <c r="AO547" i="9"/>
  <c r="AO548" i="9"/>
  <c r="AO549" i="9"/>
  <c r="AO550" i="9"/>
  <c r="AO551" i="9"/>
  <c r="AO552" i="9"/>
  <c r="AO553" i="9"/>
  <c r="AO554" i="9"/>
  <c r="AO555" i="9"/>
  <c r="AO556" i="9"/>
  <c r="AO557" i="9"/>
  <c r="AO558" i="9"/>
  <c r="AO559" i="9"/>
  <c r="AO560" i="9"/>
  <c r="AO561" i="9"/>
  <c r="AO562" i="9"/>
  <c r="AO563" i="9"/>
  <c r="AO564" i="9"/>
  <c r="AO6" i="9"/>
  <c r="AO7" i="9"/>
  <c r="AO8" i="9"/>
  <c r="AO9" i="9"/>
  <c r="AO10" i="9"/>
  <c r="AO11" i="9"/>
  <c r="AO12" i="9"/>
  <c r="AO13" i="9"/>
  <c r="AO14" i="9"/>
  <c r="AO15" i="9"/>
  <c r="AO16" i="9"/>
  <c r="AO17" i="9"/>
  <c r="AO18" i="9"/>
  <c r="AO19" i="9"/>
  <c r="AO20" i="9"/>
  <c r="AO21" i="9"/>
  <c r="AO22" i="9"/>
  <c r="AO23" i="9"/>
  <c r="AO24" i="9"/>
  <c r="AO5" i="9"/>
  <c r="AA65" i="9" l="1"/>
  <c r="AA73" i="9"/>
  <c r="AA81" i="9"/>
  <c r="AA66" i="9"/>
  <c r="AA74" i="9"/>
  <c r="AA82" i="9"/>
  <c r="AA67" i="9"/>
  <c r="AA75" i="9"/>
  <c r="AA83" i="9"/>
  <c r="AA68" i="9"/>
  <c r="AA76" i="9"/>
  <c r="AA84" i="9"/>
  <c r="AA70" i="9"/>
  <c r="AA79" i="9"/>
  <c r="AA72" i="9"/>
  <c r="AA69" i="9"/>
  <c r="AA77" i="9"/>
  <c r="AA78" i="9"/>
  <c r="AA71" i="9"/>
  <c r="AA80" i="9"/>
  <c r="BJ234" i="9"/>
  <c r="BJ194" i="9"/>
  <c r="A77" i="9"/>
  <c r="AS72" i="9"/>
  <c r="A68" i="9"/>
  <c r="A76" i="9"/>
  <c r="BJ410" i="9"/>
  <c r="A84" i="9"/>
  <c r="AS77" i="9"/>
  <c r="A74" i="9"/>
  <c r="A75" i="9"/>
  <c r="A79" i="9"/>
  <c r="AS71" i="9"/>
  <c r="AS84" i="9"/>
  <c r="A71" i="9"/>
  <c r="A70" i="9"/>
  <c r="AS81" i="9"/>
  <c r="AS69" i="9"/>
  <c r="AS75" i="9"/>
  <c r="AS76" i="9"/>
  <c r="A78" i="9"/>
  <c r="A82" i="9"/>
  <c r="AS74" i="9"/>
  <c r="AS83" i="9"/>
  <c r="AS67" i="9"/>
  <c r="A69" i="9"/>
  <c r="AS79" i="9"/>
  <c r="A66" i="9"/>
  <c r="A72" i="9"/>
  <c r="A83" i="9"/>
  <c r="A67" i="9"/>
  <c r="A80" i="9"/>
  <c r="AZ32" i="9"/>
  <c r="AZ31" i="9"/>
  <c r="AZ42" i="9"/>
  <c r="AZ50" i="9"/>
  <c r="AZ58" i="9"/>
  <c r="AZ386" i="9"/>
  <c r="AZ394" i="9"/>
  <c r="AZ402" i="9"/>
  <c r="AZ19" i="9"/>
  <c r="AZ11" i="9"/>
  <c r="AZ35" i="9"/>
  <c r="AZ52" i="9"/>
  <c r="AZ396" i="9"/>
  <c r="AZ17" i="9"/>
  <c r="AZ36" i="9"/>
  <c r="AZ53" i="9"/>
  <c r="AZ389" i="9"/>
  <c r="AZ24" i="9"/>
  <c r="AZ8" i="9"/>
  <c r="AZ37" i="9"/>
  <c r="AZ54" i="9"/>
  <c r="AZ398" i="9"/>
  <c r="AZ23" i="9"/>
  <c r="AZ7" i="9"/>
  <c r="AZ49" i="9"/>
  <c r="AZ393" i="9"/>
  <c r="AZ12" i="9"/>
  <c r="AZ33" i="9"/>
  <c r="AZ43" i="9"/>
  <c r="AZ51" i="9"/>
  <c r="AZ59" i="9"/>
  <c r="AZ387" i="9"/>
  <c r="AZ395" i="9"/>
  <c r="AZ403" i="9"/>
  <c r="AZ18" i="9"/>
  <c r="AZ44" i="9"/>
  <c r="AZ60" i="9"/>
  <c r="AZ388" i="9"/>
  <c r="AZ404" i="9"/>
  <c r="AZ9" i="9"/>
  <c r="AZ25" i="9"/>
  <c r="AZ45" i="9"/>
  <c r="AZ61" i="9"/>
  <c r="AZ397" i="9"/>
  <c r="AZ16" i="9"/>
  <c r="AZ27" i="9"/>
  <c r="AZ46" i="9"/>
  <c r="AZ62" i="9"/>
  <c r="AZ390" i="9"/>
  <c r="AZ15" i="9"/>
  <c r="AZ30" i="9"/>
  <c r="AZ57" i="9"/>
  <c r="AZ401" i="9"/>
  <c r="AZ20" i="9"/>
  <c r="AZ28" i="9"/>
  <c r="AZ38" i="9"/>
  <c r="AZ47" i="9"/>
  <c r="AZ55" i="9"/>
  <c r="AZ63" i="9"/>
  <c r="AZ391" i="9"/>
  <c r="AZ399" i="9"/>
  <c r="AZ22" i="9"/>
  <c r="AZ14" i="9"/>
  <c r="AZ6" i="9"/>
  <c r="AZ29" i="9"/>
  <c r="AZ39" i="9"/>
  <c r="AZ48" i="9"/>
  <c r="AZ56" i="9"/>
  <c r="AZ64" i="9"/>
  <c r="AZ392" i="9"/>
  <c r="AZ400" i="9"/>
  <c r="AZ21" i="9"/>
  <c r="AZ13" i="9"/>
  <c r="AZ5" i="9"/>
  <c r="AZ41" i="9"/>
  <c r="AZ385" i="9"/>
  <c r="BJ532" i="9"/>
  <c r="BJ272" i="9"/>
  <c r="BJ338" i="9"/>
  <c r="BJ254" i="9"/>
  <c r="AZ34" i="9"/>
  <c r="AZ26" i="9"/>
  <c r="AZ40" i="9"/>
  <c r="A65" i="9"/>
  <c r="A73" i="9"/>
  <c r="A81" i="9"/>
  <c r="F6" i="30"/>
  <c r="F7" i="30"/>
  <c r="F9" i="30"/>
  <c r="F10" i="30"/>
  <c r="A10" i="30" s="1"/>
  <c r="F11" i="30"/>
  <c r="A11" i="30" s="1"/>
  <c r="AZ438" i="9"/>
  <c r="F12" i="30"/>
  <c r="A12" i="30" s="1"/>
  <c r="F13" i="30"/>
  <c r="A13" i="30" s="1"/>
  <c r="F14" i="30"/>
  <c r="A14" i="30" s="1"/>
  <c r="F16" i="30"/>
  <c r="A16" i="30" s="1"/>
  <c r="F17" i="30"/>
  <c r="A17" i="30" s="1"/>
  <c r="F18" i="30"/>
  <c r="A18" i="30" s="1"/>
  <c r="F19" i="30"/>
  <c r="A19" i="30" s="1"/>
  <c r="BJ545" i="9" s="1"/>
  <c r="A38" i="30"/>
  <c r="A39" i="30"/>
  <c r="A41" i="30"/>
  <c r="A43" i="30"/>
  <c r="A51" i="30"/>
  <c r="A52" i="30"/>
  <c r="A53" i="30"/>
  <c r="A54" i="30"/>
  <c r="A55" i="30"/>
  <c r="A56" i="30"/>
  <c r="F5" i="30"/>
  <c r="A40" i="30"/>
  <c r="A42" i="30"/>
  <c r="A50" i="30"/>
  <c r="AM564" i="9"/>
  <c r="AM563" i="9"/>
  <c r="AM562" i="9"/>
  <c r="AM561" i="9"/>
  <c r="AM560" i="9"/>
  <c r="AM559" i="9"/>
  <c r="AM558" i="9"/>
  <c r="AM557" i="9"/>
  <c r="AM556" i="9"/>
  <c r="AM555" i="9"/>
  <c r="AM554" i="9"/>
  <c r="AM553" i="9"/>
  <c r="AM552" i="9"/>
  <c r="AM551" i="9"/>
  <c r="AM550" i="9"/>
  <c r="AM549" i="9"/>
  <c r="AM548" i="9"/>
  <c r="AM547" i="9"/>
  <c r="AM546" i="9"/>
  <c r="AM545" i="9"/>
  <c r="AM544" i="9"/>
  <c r="AM543" i="9"/>
  <c r="AM542" i="9"/>
  <c r="AM541" i="9"/>
  <c r="AM540" i="9"/>
  <c r="AM539" i="9"/>
  <c r="AM538" i="9"/>
  <c r="AM537" i="9"/>
  <c r="AM536" i="9"/>
  <c r="AM535" i="9"/>
  <c r="AM534" i="9"/>
  <c r="AM533" i="9"/>
  <c r="AM532" i="9"/>
  <c r="AM531" i="9"/>
  <c r="AM530" i="9"/>
  <c r="AM529" i="9"/>
  <c r="AM528" i="9"/>
  <c r="AM527" i="9"/>
  <c r="AM526" i="9"/>
  <c r="AM525" i="9"/>
  <c r="AM524" i="9"/>
  <c r="AM523" i="9"/>
  <c r="AM522" i="9"/>
  <c r="AM521" i="9"/>
  <c r="AM520" i="9"/>
  <c r="AM519" i="9"/>
  <c r="AM518" i="9"/>
  <c r="AM517" i="9"/>
  <c r="AM516" i="9"/>
  <c r="AM515" i="9"/>
  <c r="AM514" i="9"/>
  <c r="AM513" i="9"/>
  <c r="AM512" i="9"/>
  <c r="AM511" i="9"/>
  <c r="AM510" i="9"/>
  <c r="AM509" i="9"/>
  <c r="AM508" i="9"/>
  <c r="AM507" i="9"/>
  <c r="AM506" i="9"/>
  <c r="AM505" i="9"/>
  <c r="AM504" i="9"/>
  <c r="AM503" i="9"/>
  <c r="AM502" i="9"/>
  <c r="AM501" i="9"/>
  <c r="AM500" i="9"/>
  <c r="AM499" i="9"/>
  <c r="AM498" i="9"/>
  <c r="AM497" i="9"/>
  <c r="AM496" i="9"/>
  <c r="AM495" i="9"/>
  <c r="AM494" i="9"/>
  <c r="AM493" i="9"/>
  <c r="AM492" i="9"/>
  <c r="AM491" i="9"/>
  <c r="AM490" i="9"/>
  <c r="AM489" i="9"/>
  <c r="AM488" i="9"/>
  <c r="AM487" i="9"/>
  <c r="AM486" i="9"/>
  <c r="AM485" i="9"/>
  <c r="AM484" i="9"/>
  <c r="AM483" i="9"/>
  <c r="AM482" i="9"/>
  <c r="AM481" i="9"/>
  <c r="AM480" i="9"/>
  <c r="AM479" i="9"/>
  <c r="AM478" i="9"/>
  <c r="AM477" i="9"/>
  <c r="AM476" i="9"/>
  <c r="AM475" i="9"/>
  <c r="AM474" i="9"/>
  <c r="AM473" i="9"/>
  <c r="AM472" i="9"/>
  <c r="AM471" i="9"/>
  <c r="AM470" i="9"/>
  <c r="AM469" i="9"/>
  <c r="AM468" i="9"/>
  <c r="AM467" i="9"/>
  <c r="AM466" i="9"/>
  <c r="AM465" i="9"/>
  <c r="AM464" i="9"/>
  <c r="AM463" i="9"/>
  <c r="AM462" i="9"/>
  <c r="AM461" i="9"/>
  <c r="AM460" i="9"/>
  <c r="AM459" i="9"/>
  <c r="AM458" i="9"/>
  <c r="AM457" i="9"/>
  <c r="AM456" i="9"/>
  <c r="AM455" i="9"/>
  <c r="AM454" i="9"/>
  <c r="AM453" i="9"/>
  <c r="AM452" i="9"/>
  <c r="AM451" i="9"/>
  <c r="AM450" i="9"/>
  <c r="AM449" i="9"/>
  <c r="AM448" i="9"/>
  <c r="AM447" i="9"/>
  <c r="AM446" i="9"/>
  <c r="AM445" i="9"/>
  <c r="AM444" i="9"/>
  <c r="AM443" i="9"/>
  <c r="AM442" i="9"/>
  <c r="AM441" i="9"/>
  <c r="AM440" i="9"/>
  <c r="AM439" i="9"/>
  <c r="AM438" i="9"/>
  <c r="AM437" i="9"/>
  <c r="AM436" i="9"/>
  <c r="AM435" i="9"/>
  <c r="AM434" i="9"/>
  <c r="AM433" i="9"/>
  <c r="AM432" i="9"/>
  <c r="AM431" i="9"/>
  <c r="AM430" i="9"/>
  <c r="AM429" i="9"/>
  <c r="AM428" i="9"/>
  <c r="AM427" i="9"/>
  <c r="AM426" i="9"/>
  <c r="AM425" i="9"/>
  <c r="AM424" i="9"/>
  <c r="AM423" i="9"/>
  <c r="AM422" i="9"/>
  <c r="AM421" i="9"/>
  <c r="AM420" i="9"/>
  <c r="AM419" i="9"/>
  <c r="AM418" i="9"/>
  <c r="AM417" i="9"/>
  <c r="AM416" i="9"/>
  <c r="AM415" i="9"/>
  <c r="AM414" i="9"/>
  <c r="AM413" i="9"/>
  <c r="AM412" i="9"/>
  <c r="AM411" i="9"/>
  <c r="AM410" i="9"/>
  <c r="AM409" i="9"/>
  <c r="AM408" i="9"/>
  <c r="AM407" i="9"/>
  <c r="AM406" i="9"/>
  <c r="AM405" i="9"/>
  <c r="AM404" i="9"/>
  <c r="AM403" i="9"/>
  <c r="AM402" i="9"/>
  <c r="AM401" i="9"/>
  <c r="AM400" i="9"/>
  <c r="AM399" i="9"/>
  <c r="AM398" i="9"/>
  <c r="AM397" i="9"/>
  <c r="AM396" i="9"/>
  <c r="AM395" i="9"/>
  <c r="AM394" i="9"/>
  <c r="AM393" i="9"/>
  <c r="AM392" i="9"/>
  <c r="AM391" i="9"/>
  <c r="AM390" i="9"/>
  <c r="AM389" i="9"/>
  <c r="AM388" i="9"/>
  <c r="AM387" i="9"/>
  <c r="AM386" i="9"/>
  <c r="AM385" i="9"/>
  <c r="AM384" i="9"/>
  <c r="AM383" i="9"/>
  <c r="AM382" i="9"/>
  <c r="AM381" i="9"/>
  <c r="AM380" i="9"/>
  <c r="AM379" i="9"/>
  <c r="AM378" i="9"/>
  <c r="AM377" i="9"/>
  <c r="AM376" i="9"/>
  <c r="AM375" i="9"/>
  <c r="AM374" i="9"/>
  <c r="AM373" i="9"/>
  <c r="AM372" i="9"/>
  <c r="AM371" i="9"/>
  <c r="AM370" i="9"/>
  <c r="AM369" i="9"/>
  <c r="AM368" i="9"/>
  <c r="AM367" i="9"/>
  <c r="AM366" i="9"/>
  <c r="AM365" i="9"/>
  <c r="AM364" i="9"/>
  <c r="AM363" i="9"/>
  <c r="AM362" i="9"/>
  <c r="AM361" i="9"/>
  <c r="AM360" i="9"/>
  <c r="AM359" i="9"/>
  <c r="AM358" i="9"/>
  <c r="AM357" i="9"/>
  <c r="AM356" i="9"/>
  <c r="AM355" i="9"/>
  <c r="AM354" i="9"/>
  <c r="AM353" i="9"/>
  <c r="AM352" i="9"/>
  <c r="AM351" i="9"/>
  <c r="AM350" i="9"/>
  <c r="AM349" i="9"/>
  <c r="AM348" i="9"/>
  <c r="AM347" i="9"/>
  <c r="AM346" i="9"/>
  <c r="AM345" i="9"/>
  <c r="AM344" i="9"/>
  <c r="AM343" i="9"/>
  <c r="AM342" i="9"/>
  <c r="AM341" i="9"/>
  <c r="AM340" i="9"/>
  <c r="AM339" i="9"/>
  <c r="AM338" i="9"/>
  <c r="AM337" i="9"/>
  <c r="AM336" i="9"/>
  <c r="AM335" i="9"/>
  <c r="AM334" i="9"/>
  <c r="AM333" i="9"/>
  <c r="AM332" i="9"/>
  <c r="AM331" i="9"/>
  <c r="AM330" i="9"/>
  <c r="AM329" i="9"/>
  <c r="AM328" i="9"/>
  <c r="AM327" i="9"/>
  <c r="AM326" i="9"/>
  <c r="AM325" i="9"/>
  <c r="AM324" i="9"/>
  <c r="AM323" i="9"/>
  <c r="AM322" i="9"/>
  <c r="AM321" i="9"/>
  <c r="AM320" i="9"/>
  <c r="AM319" i="9"/>
  <c r="AM318" i="9"/>
  <c r="AM317" i="9"/>
  <c r="AM316" i="9"/>
  <c r="AM315" i="9"/>
  <c r="AM314" i="9"/>
  <c r="AM313" i="9"/>
  <c r="AM312" i="9"/>
  <c r="AM311" i="9"/>
  <c r="AM310" i="9"/>
  <c r="AM309" i="9"/>
  <c r="AM308" i="9"/>
  <c r="AM307" i="9"/>
  <c r="AM306" i="9"/>
  <c r="AM305" i="9"/>
  <c r="BE185" i="9" l="1"/>
  <c r="BE205" i="9"/>
  <c r="X437" i="9"/>
  <c r="X429" i="9"/>
  <c r="AA389" i="9"/>
  <c r="AA397" i="9"/>
  <c r="X443" i="9"/>
  <c r="X427" i="9"/>
  <c r="AA399" i="9"/>
  <c r="AA385" i="9"/>
  <c r="AA401" i="9"/>
  <c r="X432" i="9"/>
  <c r="AA394" i="9"/>
  <c r="AA395" i="9"/>
  <c r="X430" i="9"/>
  <c r="AA388" i="9"/>
  <c r="X444" i="9"/>
  <c r="X436" i="9"/>
  <c r="X428" i="9"/>
  <c r="AA390" i="9"/>
  <c r="AA398" i="9"/>
  <c r="X435" i="9"/>
  <c r="AA391" i="9"/>
  <c r="AA402" i="9"/>
  <c r="X439" i="9"/>
  <c r="AA387" i="9"/>
  <c r="AA396" i="9"/>
  <c r="X442" i="9"/>
  <c r="X434" i="9"/>
  <c r="X426" i="9"/>
  <c r="AA392" i="9"/>
  <c r="AA400" i="9"/>
  <c r="X441" i="9"/>
  <c r="X433" i="9"/>
  <c r="X425" i="9"/>
  <c r="AA393" i="9"/>
  <c r="X440" i="9"/>
  <c r="AA386" i="9"/>
  <c r="X431" i="9"/>
  <c r="AA403" i="9"/>
  <c r="X438" i="9"/>
  <c r="AA404" i="9"/>
  <c r="AZ223" i="9"/>
  <c r="AZ224" i="9"/>
  <c r="AA405" i="9"/>
  <c r="AA413" i="9"/>
  <c r="AA421" i="9"/>
  <c r="AA407" i="9"/>
  <c r="AA423" i="9"/>
  <c r="AA409" i="9"/>
  <c r="AA410" i="9"/>
  <c r="AA419" i="9"/>
  <c r="AA420" i="9"/>
  <c r="AA406" i="9"/>
  <c r="AA414" i="9"/>
  <c r="AA422" i="9"/>
  <c r="AA415" i="9"/>
  <c r="AA408" i="9"/>
  <c r="AA416" i="9"/>
  <c r="AA424" i="9"/>
  <c r="AA417" i="9"/>
  <c r="AA418" i="9"/>
  <c r="AA411" i="9"/>
  <c r="AA412" i="9"/>
  <c r="AA429" i="9"/>
  <c r="AA437" i="9"/>
  <c r="AA440" i="9"/>
  <c r="AA425" i="9"/>
  <c r="AA426" i="9"/>
  <c r="AA435" i="9"/>
  <c r="AA428" i="9"/>
  <c r="AA430" i="9"/>
  <c r="AA438" i="9"/>
  <c r="AA432" i="9"/>
  <c r="AA441" i="9"/>
  <c r="AA434" i="9"/>
  <c r="AA444" i="9"/>
  <c r="AA431" i="9"/>
  <c r="AA439" i="9"/>
  <c r="AA433" i="9"/>
  <c r="AA442" i="9"/>
  <c r="AA427" i="9"/>
  <c r="AA443" i="9"/>
  <c r="AA436" i="9"/>
  <c r="AZ220" i="9"/>
  <c r="AU223" i="9"/>
  <c r="AZ217" i="9"/>
  <c r="AU224" i="9"/>
  <c r="AZ216" i="9"/>
  <c r="AZ221" i="9"/>
  <c r="AZ218" i="9"/>
  <c r="AZ219" i="9"/>
  <c r="AZ222" i="9"/>
  <c r="AA378" i="9"/>
  <c r="AA371" i="9"/>
  <c r="AA379" i="9"/>
  <c r="AA382" i="9"/>
  <c r="AA383" i="9"/>
  <c r="AA377" i="9"/>
  <c r="AA370" i="9"/>
  <c r="AA372" i="9"/>
  <c r="AA380" i="9"/>
  <c r="AA374" i="9"/>
  <c r="AA367" i="9"/>
  <c r="AA376" i="9"/>
  <c r="AA369" i="9"/>
  <c r="AA365" i="9"/>
  <c r="AA373" i="9"/>
  <c r="AA381" i="9"/>
  <c r="AA366" i="9"/>
  <c r="AA375" i="9"/>
  <c r="AA368" i="9"/>
  <c r="AA384" i="9"/>
  <c r="AA349" i="9"/>
  <c r="AA357" i="9"/>
  <c r="AA351" i="9"/>
  <c r="AA352" i="9"/>
  <c r="AA353" i="9"/>
  <c r="AA346" i="9"/>
  <c r="AA363" i="9"/>
  <c r="AA348" i="9"/>
  <c r="AA350" i="9"/>
  <c r="AA358" i="9"/>
  <c r="AA359" i="9"/>
  <c r="AA360" i="9"/>
  <c r="AA345" i="9"/>
  <c r="AA362" i="9"/>
  <c r="AA355" i="9"/>
  <c r="AA364" i="9"/>
  <c r="AA361" i="9"/>
  <c r="AA354" i="9"/>
  <c r="AA347" i="9"/>
  <c r="AA356" i="9"/>
  <c r="AA89" i="9"/>
  <c r="AA97" i="9"/>
  <c r="AA102" i="9"/>
  <c r="AA95" i="9"/>
  <c r="AA88" i="9"/>
  <c r="AA90" i="9"/>
  <c r="AA98" i="9"/>
  <c r="AA91" i="9"/>
  <c r="AA99" i="9"/>
  <c r="AA94" i="9"/>
  <c r="AA103" i="9"/>
  <c r="AA96" i="9"/>
  <c r="AA92" i="9"/>
  <c r="AA100" i="9"/>
  <c r="AA85" i="9"/>
  <c r="AA93" i="9"/>
  <c r="AA101" i="9"/>
  <c r="AA86" i="9"/>
  <c r="AA87" i="9"/>
  <c r="AA104" i="9"/>
  <c r="X101" i="9"/>
  <c r="X93" i="9"/>
  <c r="X85" i="9"/>
  <c r="AA109" i="9"/>
  <c r="AA117" i="9"/>
  <c r="X91" i="9"/>
  <c r="AA119" i="9"/>
  <c r="AA106" i="9"/>
  <c r="X95" i="9"/>
  <c r="X86" i="9"/>
  <c r="X100" i="9"/>
  <c r="X92" i="9"/>
  <c r="AA110" i="9"/>
  <c r="AA118" i="9"/>
  <c r="X99" i="9"/>
  <c r="AA111" i="9"/>
  <c r="X88" i="9"/>
  <c r="X87" i="9"/>
  <c r="AA107" i="9"/>
  <c r="X94" i="9"/>
  <c r="AA108" i="9"/>
  <c r="X98" i="9"/>
  <c r="X90" i="9"/>
  <c r="AA112" i="9"/>
  <c r="AA120" i="9"/>
  <c r="X97" i="9"/>
  <c r="AA105" i="9"/>
  <c r="AA121" i="9"/>
  <c r="X104" i="9"/>
  <c r="AA122" i="9"/>
  <c r="X103" i="9"/>
  <c r="AA115" i="9"/>
  <c r="AA116" i="9"/>
  <c r="X89" i="9"/>
  <c r="AA113" i="9"/>
  <c r="X96" i="9"/>
  <c r="AA114" i="9"/>
  <c r="AA123" i="9"/>
  <c r="X102" i="9"/>
  <c r="AA124" i="9"/>
  <c r="AU222" i="9"/>
  <c r="AU217" i="9"/>
  <c r="AU212" i="9"/>
  <c r="AU206" i="9"/>
  <c r="AU219" i="9"/>
  <c r="AU213" i="9"/>
  <c r="AU208" i="9"/>
  <c r="AU209" i="9"/>
  <c r="AU221" i="9"/>
  <c r="AU211" i="9"/>
  <c r="AU218" i="9"/>
  <c r="AU207" i="9"/>
  <c r="AU215" i="9"/>
  <c r="AU210" i="9"/>
  <c r="AU205" i="9"/>
  <c r="AU216" i="9"/>
  <c r="AU220" i="9"/>
  <c r="AU214" i="9"/>
  <c r="X377" i="9"/>
  <c r="X369" i="9"/>
  <c r="X374" i="9"/>
  <c r="X373" i="9"/>
  <c r="X370" i="9"/>
  <c r="X384" i="9"/>
  <c r="X376" i="9"/>
  <c r="X368" i="9"/>
  <c r="X366" i="9"/>
  <c r="X381" i="9"/>
  <c r="X372" i="9"/>
  <c r="X379" i="9"/>
  <c r="X378" i="9"/>
  <c r="X383" i="9"/>
  <c r="X375" i="9"/>
  <c r="X367" i="9"/>
  <c r="X382" i="9"/>
  <c r="X365" i="9"/>
  <c r="X380" i="9"/>
  <c r="X371" i="9"/>
  <c r="X361" i="9"/>
  <c r="X353" i="9"/>
  <c r="X345" i="9"/>
  <c r="X359" i="9"/>
  <c r="X348" i="9"/>
  <c r="X363" i="9"/>
  <c r="X362" i="9"/>
  <c r="X360" i="9"/>
  <c r="X352" i="9"/>
  <c r="X351" i="9"/>
  <c r="X356" i="9"/>
  <c r="X347" i="9"/>
  <c r="X354" i="9"/>
  <c r="X358" i="9"/>
  <c r="X350" i="9"/>
  <c r="X357" i="9"/>
  <c r="X349" i="9"/>
  <c r="X364" i="9"/>
  <c r="X355" i="9"/>
  <c r="X346" i="9"/>
  <c r="X121" i="9"/>
  <c r="X113" i="9"/>
  <c r="X105" i="9"/>
  <c r="X118" i="9"/>
  <c r="X120" i="9"/>
  <c r="X112" i="9"/>
  <c r="X117" i="9"/>
  <c r="X106" i="9"/>
  <c r="X119" i="9"/>
  <c r="X111" i="9"/>
  <c r="X110" i="9"/>
  <c r="X109" i="9"/>
  <c r="X114" i="9"/>
  <c r="X124" i="9"/>
  <c r="X116" i="9"/>
  <c r="X108" i="9"/>
  <c r="X123" i="9"/>
  <c r="X115" i="9"/>
  <c r="X107" i="9"/>
  <c r="X122" i="9"/>
  <c r="X421" i="9"/>
  <c r="X413" i="9"/>
  <c r="X405" i="9"/>
  <c r="X419" i="9"/>
  <c r="X408" i="9"/>
  <c r="X407" i="9"/>
  <c r="X414" i="9"/>
  <c r="X420" i="9"/>
  <c r="X412" i="9"/>
  <c r="X411" i="9"/>
  <c r="X416" i="9"/>
  <c r="X415" i="9"/>
  <c r="X418" i="9"/>
  <c r="X410" i="9"/>
  <c r="X417" i="9"/>
  <c r="X409" i="9"/>
  <c r="X424" i="9"/>
  <c r="X423" i="9"/>
  <c r="X422" i="9"/>
  <c r="X406" i="9"/>
  <c r="AA170" i="9"/>
  <c r="AA178" i="9"/>
  <c r="AA181" i="9"/>
  <c r="AA182" i="9"/>
  <c r="AA183" i="9"/>
  <c r="AA168" i="9"/>
  <c r="AA169" i="9"/>
  <c r="AA171" i="9"/>
  <c r="AA179" i="9"/>
  <c r="AA165" i="9"/>
  <c r="AA174" i="9"/>
  <c r="AA175" i="9"/>
  <c r="AA184" i="9"/>
  <c r="AA177" i="9"/>
  <c r="AA172" i="9"/>
  <c r="AA180" i="9"/>
  <c r="AA173" i="9"/>
  <c r="AA166" i="9"/>
  <c r="AA167" i="9"/>
  <c r="AA176" i="9"/>
  <c r="AZ197" i="9"/>
  <c r="AU203" i="9"/>
  <c r="AZ201" i="9"/>
  <c r="AZ199" i="9"/>
  <c r="AZ202" i="9"/>
  <c r="AZ200" i="9"/>
  <c r="AZ198" i="9"/>
  <c r="AZ196" i="9"/>
  <c r="AU204" i="9"/>
  <c r="AU195" i="9"/>
  <c r="AU187" i="9"/>
  <c r="AU201" i="9"/>
  <c r="AU193" i="9"/>
  <c r="AU185" i="9"/>
  <c r="AU200" i="9"/>
  <c r="AU198" i="9"/>
  <c r="AU196" i="9"/>
  <c r="AU190" i="9"/>
  <c r="AU188" i="9"/>
  <c r="AU202" i="9"/>
  <c r="AU194" i="9"/>
  <c r="AU186" i="9"/>
  <c r="AU197" i="9"/>
  <c r="AU189" i="9"/>
  <c r="AU199" i="9"/>
  <c r="AU191" i="9"/>
  <c r="AU192" i="9"/>
  <c r="AZ203" i="9"/>
  <c r="AZ204" i="9"/>
  <c r="AZ79" i="9"/>
  <c r="AZ81" i="9"/>
  <c r="AZ80" i="9"/>
  <c r="AZ82" i="9"/>
  <c r="AZ83" i="9"/>
  <c r="AZ84" i="9"/>
  <c r="AZ78" i="9"/>
  <c r="AU399" i="9"/>
  <c r="AU401" i="9"/>
  <c r="AU403" i="9"/>
  <c r="AU400" i="9"/>
  <c r="AU404" i="9"/>
  <c r="AU402" i="9"/>
  <c r="AZ103" i="9"/>
  <c r="AZ119" i="9"/>
  <c r="AZ241" i="9"/>
  <c r="AZ283" i="9"/>
  <c r="AZ102" i="9"/>
  <c r="AZ104" i="9"/>
  <c r="AZ120" i="9"/>
  <c r="AZ240" i="9"/>
  <c r="AZ121" i="9"/>
  <c r="AZ99" i="9"/>
  <c r="AZ100" i="9"/>
  <c r="AZ244" i="9"/>
  <c r="AZ284" i="9"/>
  <c r="AZ122" i="9"/>
  <c r="AZ242" i="9"/>
  <c r="AZ282" i="9"/>
  <c r="AZ123" i="9"/>
  <c r="AZ243" i="9"/>
  <c r="AZ124" i="9"/>
  <c r="AZ101" i="9"/>
  <c r="BE45" i="9"/>
  <c r="BE85" i="9"/>
  <c r="BE125" i="9"/>
  <c r="BE165" i="9"/>
  <c r="BE245" i="9"/>
  <c r="BE305" i="9"/>
  <c r="BE345" i="9"/>
  <c r="BE385" i="9"/>
  <c r="BE405" i="9"/>
  <c r="BE445" i="9"/>
  <c r="BE485" i="9"/>
  <c r="BE525" i="9"/>
  <c r="BE5" i="9"/>
  <c r="BE25" i="9"/>
  <c r="BE65" i="9"/>
  <c r="BE105" i="9"/>
  <c r="BE145" i="9"/>
  <c r="BE225" i="9"/>
  <c r="BE265" i="9"/>
  <c r="BE325" i="9"/>
  <c r="BE365" i="9"/>
  <c r="BE425" i="9"/>
  <c r="BE465" i="9"/>
  <c r="BE505" i="9"/>
  <c r="BE545" i="9"/>
  <c r="AZ87" i="9"/>
  <c r="AZ95" i="9"/>
  <c r="AZ111" i="9"/>
  <c r="AZ231" i="9"/>
  <c r="AZ239" i="9"/>
  <c r="AZ271" i="9"/>
  <c r="AZ279" i="9"/>
  <c r="AZ113" i="9"/>
  <c r="AZ225" i="9"/>
  <c r="AZ273" i="9"/>
  <c r="AZ91" i="9"/>
  <c r="AZ107" i="9"/>
  <c r="AZ115" i="9"/>
  <c r="AZ227" i="9"/>
  <c r="AZ267" i="9"/>
  <c r="AZ92" i="9"/>
  <c r="AZ108" i="9"/>
  <c r="AZ116" i="9"/>
  <c r="AZ236" i="9"/>
  <c r="AZ276" i="9"/>
  <c r="AZ93" i="9"/>
  <c r="AZ117" i="9"/>
  <c r="AZ229" i="9"/>
  <c r="AZ86" i="9"/>
  <c r="AZ278" i="9"/>
  <c r="AZ88" i="9"/>
  <c r="AZ96" i="9"/>
  <c r="AZ112" i="9"/>
  <c r="AZ232" i="9"/>
  <c r="AZ272" i="9"/>
  <c r="AZ280" i="9"/>
  <c r="AZ89" i="9"/>
  <c r="AZ97" i="9"/>
  <c r="AZ105" i="9"/>
  <c r="AZ233" i="9"/>
  <c r="AZ265" i="9"/>
  <c r="AZ281" i="9"/>
  <c r="AZ235" i="9"/>
  <c r="AZ275" i="9"/>
  <c r="AZ85" i="9"/>
  <c r="AZ109" i="9"/>
  <c r="AZ277" i="9"/>
  <c r="AZ94" i="9"/>
  <c r="AZ110" i="9"/>
  <c r="AZ230" i="9"/>
  <c r="AZ90" i="9"/>
  <c r="AZ98" i="9"/>
  <c r="AZ106" i="9"/>
  <c r="AZ114" i="9"/>
  <c r="AZ226" i="9"/>
  <c r="AZ234" i="9"/>
  <c r="AZ266" i="9"/>
  <c r="AZ274" i="9"/>
  <c r="AZ228" i="9"/>
  <c r="AZ268" i="9"/>
  <c r="AZ237" i="9"/>
  <c r="AZ269" i="9"/>
  <c r="AZ118" i="9"/>
  <c r="AZ238" i="9"/>
  <c r="AZ270" i="9"/>
  <c r="BJ505" i="9"/>
  <c r="BJ485" i="9"/>
  <c r="BJ525" i="9"/>
  <c r="AZ71" i="9"/>
  <c r="AZ65" i="9"/>
  <c r="AZ67" i="9"/>
  <c r="AZ68" i="9"/>
  <c r="AZ77" i="9"/>
  <c r="AZ72" i="9"/>
  <c r="AZ73" i="9"/>
  <c r="AZ75" i="9"/>
  <c r="AZ76" i="9"/>
  <c r="AZ70" i="9"/>
  <c r="AZ66" i="9"/>
  <c r="AZ74" i="9"/>
  <c r="AZ69" i="9"/>
  <c r="AZ349" i="9"/>
  <c r="AZ357" i="9"/>
  <c r="AZ365" i="9"/>
  <c r="AZ373" i="9"/>
  <c r="AZ381" i="9"/>
  <c r="AZ409" i="9"/>
  <c r="AZ417" i="9"/>
  <c r="AZ350" i="9"/>
  <c r="AZ358" i="9"/>
  <c r="AZ366" i="9"/>
  <c r="AZ374" i="9"/>
  <c r="AZ382" i="9"/>
  <c r="AZ410" i="9"/>
  <c r="AZ418" i="9"/>
  <c r="AZ351" i="9"/>
  <c r="AZ359" i="9"/>
  <c r="AZ367" i="9"/>
  <c r="AZ375" i="9"/>
  <c r="AZ383" i="9"/>
  <c r="AZ411" i="9"/>
  <c r="AZ419" i="9"/>
  <c r="AZ352" i="9"/>
  <c r="AZ360" i="9"/>
  <c r="AZ368" i="9"/>
  <c r="AZ376" i="9"/>
  <c r="AZ384" i="9"/>
  <c r="AZ412" i="9"/>
  <c r="AZ420" i="9"/>
  <c r="AZ345" i="9"/>
  <c r="AZ353" i="9"/>
  <c r="AZ361" i="9"/>
  <c r="AZ369" i="9"/>
  <c r="AZ377" i="9"/>
  <c r="AZ405" i="9"/>
  <c r="AZ413" i="9"/>
  <c r="AZ421" i="9"/>
  <c r="AZ346" i="9"/>
  <c r="AZ354" i="9"/>
  <c r="AZ362" i="9"/>
  <c r="AZ370" i="9"/>
  <c r="AZ378" i="9"/>
  <c r="AZ406" i="9"/>
  <c r="AZ414" i="9"/>
  <c r="AZ422" i="9"/>
  <c r="AZ347" i="9"/>
  <c r="AZ355" i="9"/>
  <c r="AZ363" i="9"/>
  <c r="AZ371" i="9"/>
  <c r="AZ379" i="9"/>
  <c r="AZ407" i="9"/>
  <c r="AZ415" i="9"/>
  <c r="AZ423" i="9"/>
  <c r="AZ380" i="9"/>
  <c r="AZ408" i="9"/>
  <c r="AZ416" i="9"/>
  <c r="AZ424" i="9"/>
  <c r="AZ348" i="9"/>
  <c r="AZ356" i="9"/>
  <c r="AZ364" i="9"/>
  <c r="AZ372" i="9"/>
  <c r="AZ425" i="9"/>
  <c r="AZ433" i="9"/>
  <c r="AZ441" i="9"/>
  <c r="AZ426" i="9"/>
  <c r="AZ434" i="9"/>
  <c r="AZ442" i="9"/>
  <c r="AZ427" i="9"/>
  <c r="AZ435" i="9"/>
  <c r="AZ443" i="9"/>
  <c r="AZ428" i="9"/>
  <c r="AZ436" i="9"/>
  <c r="AZ444" i="9"/>
  <c r="AZ429" i="9"/>
  <c r="AZ437" i="9"/>
  <c r="AZ430" i="9"/>
  <c r="AZ431" i="9"/>
  <c r="AZ439" i="9"/>
  <c r="AZ432" i="9"/>
  <c r="AZ440" i="9"/>
  <c r="AU135" i="9"/>
  <c r="AU143" i="9"/>
  <c r="AU347" i="9"/>
  <c r="AU355" i="9"/>
  <c r="AU363" i="9"/>
  <c r="AU455" i="9"/>
  <c r="AU463" i="9"/>
  <c r="AU358" i="9"/>
  <c r="AU136" i="9"/>
  <c r="AU144" i="9"/>
  <c r="AU348" i="9"/>
  <c r="AU356" i="9"/>
  <c r="AU364" i="9"/>
  <c r="AU456" i="9"/>
  <c r="AU464" i="9"/>
  <c r="AU350" i="9"/>
  <c r="AU137" i="9"/>
  <c r="AU349" i="9"/>
  <c r="AU357" i="9"/>
  <c r="AU457" i="9"/>
  <c r="AU138" i="9"/>
  <c r="AU458" i="9"/>
  <c r="AU139" i="9"/>
  <c r="AU351" i="9"/>
  <c r="AU359" i="9"/>
  <c r="AU459" i="9"/>
  <c r="AU360" i="9"/>
  <c r="AU462" i="9"/>
  <c r="AU452" i="9"/>
  <c r="AU346" i="9"/>
  <c r="AU453" i="9"/>
  <c r="AU354" i="9"/>
  <c r="AU361" i="9"/>
  <c r="AU362" i="9"/>
  <c r="AU345" i="9"/>
  <c r="AU140" i="9"/>
  <c r="AU141" i="9"/>
  <c r="AU352" i="9"/>
  <c r="AU454" i="9"/>
  <c r="AU142" i="9"/>
  <c r="AU353" i="9"/>
  <c r="AU460" i="9"/>
  <c r="AU461" i="9"/>
  <c r="AU151" i="9"/>
  <c r="AU159" i="9"/>
  <c r="AU167" i="9"/>
  <c r="AU175" i="9"/>
  <c r="AU183" i="9"/>
  <c r="AU231" i="9"/>
  <c r="AU239" i="9"/>
  <c r="AU247" i="9"/>
  <c r="AU255" i="9"/>
  <c r="AU263" i="9"/>
  <c r="AU271" i="9"/>
  <c r="AU279" i="9"/>
  <c r="AU307" i="9"/>
  <c r="AU315" i="9"/>
  <c r="AU323" i="9"/>
  <c r="AU331" i="9"/>
  <c r="AU339" i="9"/>
  <c r="AU471" i="9"/>
  <c r="AU479" i="9"/>
  <c r="AU487" i="9"/>
  <c r="AU495" i="9"/>
  <c r="AU503" i="9"/>
  <c r="AU511" i="9"/>
  <c r="AU519" i="9"/>
  <c r="AU527" i="9"/>
  <c r="AU535" i="9"/>
  <c r="AU543" i="9"/>
  <c r="AU551" i="9"/>
  <c r="AU559" i="9"/>
  <c r="AU154" i="9"/>
  <c r="AU178" i="9"/>
  <c r="AU242" i="9"/>
  <c r="AU266" i="9"/>
  <c r="AU310" i="9"/>
  <c r="AU334" i="9"/>
  <c r="AU474" i="9"/>
  <c r="AU498" i="9"/>
  <c r="AU522" i="9"/>
  <c r="AU546" i="9"/>
  <c r="AU152" i="9"/>
  <c r="AU160" i="9"/>
  <c r="AU168" i="9"/>
  <c r="AU176" i="9"/>
  <c r="AU184" i="9"/>
  <c r="AU232" i="9"/>
  <c r="AU240" i="9"/>
  <c r="AU248" i="9"/>
  <c r="AU256" i="9"/>
  <c r="AU264" i="9"/>
  <c r="AU272" i="9"/>
  <c r="AU280" i="9"/>
  <c r="AU308" i="9"/>
  <c r="AU316" i="9"/>
  <c r="AU324" i="9"/>
  <c r="AU332" i="9"/>
  <c r="AU340" i="9"/>
  <c r="AU472" i="9"/>
  <c r="AU480" i="9"/>
  <c r="AU488" i="9"/>
  <c r="AU496" i="9"/>
  <c r="AU504" i="9"/>
  <c r="AU512" i="9"/>
  <c r="AU520" i="9"/>
  <c r="AU528" i="9"/>
  <c r="AU536" i="9"/>
  <c r="AU544" i="9"/>
  <c r="AU552" i="9"/>
  <c r="AU560" i="9"/>
  <c r="AU146" i="9"/>
  <c r="AU170" i="9"/>
  <c r="AU234" i="9"/>
  <c r="AU258" i="9"/>
  <c r="AU282" i="9"/>
  <c r="AU326" i="9"/>
  <c r="AU466" i="9"/>
  <c r="AU482" i="9"/>
  <c r="AU506" i="9"/>
  <c r="AU530" i="9"/>
  <c r="AU554" i="9"/>
  <c r="AU145" i="9"/>
  <c r="AU153" i="9"/>
  <c r="AU161" i="9"/>
  <c r="AU169" i="9"/>
  <c r="AU177" i="9"/>
  <c r="AU225" i="9"/>
  <c r="AU233" i="9"/>
  <c r="AU241" i="9"/>
  <c r="AU249" i="9"/>
  <c r="AU257" i="9"/>
  <c r="AU265" i="9"/>
  <c r="AU273" i="9"/>
  <c r="AU281" i="9"/>
  <c r="AU309" i="9"/>
  <c r="AU317" i="9"/>
  <c r="AU325" i="9"/>
  <c r="AU333" i="9"/>
  <c r="AU341" i="9"/>
  <c r="AU465" i="9"/>
  <c r="AU473" i="9"/>
  <c r="AU481" i="9"/>
  <c r="AU489" i="9"/>
  <c r="AU497" i="9"/>
  <c r="AU505" i="9"/>
  <c r="AU513" i="9"/>
  <c r="AU521" i="9"/>
  <c r="AU529" i="9"/>
  <c r="AU537" i="9"/>
  <c r="AU545" i="9"/>
  <c r="AU553" i="9"/>
  <c r="AU561" i="9"/>
  <c r="AU162" i="9"/>
  <c r="AU226" i="9"/>
  <c r="AU250" i="9"/>
  <c r="AU274" i="9"/>
  <c r="AU318" i="9"/>
  <c r="AU342" i="9"/>
  <c r="AU490" i="9"/>
  <c r="AU514" i="9"/>
  <c r="AU538" i="9"/>
  <c r="AU147" i="9"/>
  <c r="AU155" i="9"/>
  <c r="AU163" i="9"/>
  <c r="AU171" i="9"/>
  <c r="AU179" i="9"/>
  <c r="AU227" i="9"/>
  <c r="AU235" i="9"/>
  <c r="AU243" i="9"/>
  <c r="AU251" i="9"/>
  <c r="AU259" i="9"/>
  <c r="AU267" i="9"/>
  <c r="AU275" i="9"/>
  <c r="AU283" i="9"/>
  <c r="AU311" i="9"/>
  <c r="AU319" i="9"/>
  <c r="AU327" i="9"/>
  <c r="AU335" i="9"/>
  <c r="AU343" i="9"/>
  <c r="AU467" i="9"/>
  <c r="AU475" i="9"/>
  <c r="AU483" i="9"/>
  <c r="AU491" i="9"/>
  <c r="AU499" i="9"/>
  <c r="AU507" i="9"/>
  <c r="AU515" i="9"/>
  <c r="AU523" i="9"/>
  <c r="AU531" i="9"/>
  <c r="AU539" i="9"/>
  <c r="AU547" i="9"/>
  <c r="AU555" i="9"/>
  <c r="AU563" i="9"/>
  <c r="AU149" i="9"/>
  <c r="AU172" i="9"/>
  <c r="AU230" i="9"/>
  <c r="AU253" i="9"/>
  <c r="AU276" i="9"/>
  <c r="AU314" i="9"/>
  <c r="AU337" i="9"/>
  <c r="AU485" i="9"/>
  <c r="AU508" i="9"/>
  <c r="AU526" i="9"/>
  <c r="AU549" i="9"/>
  <c r="AU238" i="9"/>
  <c r="AU322" i="9"/>
  <c r="AU534" i="9"/>
  <c r="AU158" i="9"/>
  <c r="AU262" i="9"/>
  <c r="AU517" i="9"/>
  <c r="AU525" i="9"/>
  <c r="AU150" i="9"/>
  <c r="AU173" i="9"/>
  <c r="AU236" i="9"/>
  <c r="AU254" i="9"/>
  <c r="AU277" i="9"/>
  <c r="AU320" i="9"/>
  <c r="AU338" i="9"/>
  <c r="AU468" i="9"/>
  <c r="AU486" i="9"/>
  <c r="AU509" i="9"/>
  <c r="AU532" i="9"/>
  <c r="AU550" i="9"/>
  <c r="AU180" i="9"/>
  <c r="AU284" i="9"/>
  <c r="AU493" i="9"/>
  <c r="AU557" i="9"/>
  <c r="AU181" i="9"/>
  <c r="AU305" i="9"/>
  <c r="AU494" i="9"/>
  <c r="AU558" i="9"/>
  <c r="AU336" i="9"/>
  <c r="AU502" i="9"/>
  <c r="AU156" i="9"/>
  <c r="AU174" i="9"/>
  <c r="AU237" i="9"/>
  <c r="AU260" i="9"/>
  <c r="AU278" i="9"/>
  <c r="AU321" i="9"/>
  <c r="AU344" i="9"/>
  <c r="AU469" i="9"/>
  <c r="AU492" i="9"/>
  <c r="AU510" i="9"/>
  <c r="AU533" i="9"/>
  <c r="AU556" i="9"/>
  <c r="AU157" i="9"/>
  <c r="AU261" i="9"/>
  <c r="AU470" i="9"/>
  <c r="AU516" i="9"/>
  <c r="AU244" i="9"/>
  <c r="AU328" i="9"/>
  <c r="AU476" i="9"/>
  <c r="AU540" i="9"/>
  <c r="AU484" i="9"/>
  <c r="AU164" i="9"/>
  <c r="AU182" i="9"/>
  <c r="AU245" i="9"/>
  <c r="AU268" i="9"/>
  <c r="AU306" i="9"/>
  <c r="AU329" i="9"/>
  <c r="AU477" i="9"/>
  <c r="AU500" i="9"/>
  <c r="AU518" i="9"/>
  <c r="AU541" i="9"/>
  <c r="AU562" i="9"/>
  <c r="AU165" i="9"/>
  <c r="AU228" i="9"/>
  <c r="AU246" i="9"/>
  <c r="AU269" i="9"/>
  <c r="AU312" i="9"/>
  <c r="AU330" i="9"/>
  <c r="AU478" i="9"/>
  <c r="AU501" i="9"/>
  <c r="AU524" i="9"/>
  <c r="AU542" i="9"/>
  <c r="AU564" i="9"/>
  <c r="AU148" i="9"/>
  <c r="AU166" i="9"/>
  <c r="AU229" i="9"/>
  <c r="AU252" i="9"/>
  <c r="AU270" i="9"/>
  <c r="AU313" i="9"/>
  <c r="AU548" i="9"/>
  <c r="AU87" i="9"/>
  <c r="AU95" i="9"/>
  <c r="AU103" i="9"/>
  <c r="AU111" i="9"/>
  <c r="AU119" i="9"/>
  <c r="AU431" i="9"/>
  <c r="AU439" i="9"/>
  <c r="AU106" i="9"/>
  <c r="AU426" i="9"/>
  <c r="AU88" i="9"/>
  <c r="AU96" i="9"/>
  <c r="AU104" i="9"/>
  <c r="AU112" i="9"/>
  <c r="AU120" i="9"/>
  <c r="AU432" i="9"/>
  <c r="AU440" i="9"/>
  <c r="AU98" i="9"/>
  <c r="AU122" i="9"/>
  <c r="AU442" i="9"/>
  <c r="AU89" i="9"/>
  <c r="AU97" i="9"/>
  <c r="AU105" i="9"/>
  <c r="AU113" i="9"/>
  <c r="AU121" i="9"/>
  <c r="AU425" i="9"/>
  <c r="AU433" i="9"/>
  <c r="AU441" i="9"/>
  <c r="AU90" i="9"/>
  <c r="AU114" i="9"/>
  <c r="AU434" i="9"/>
  <c r="AU91" i="9"/>
  <c r="AU99" i="9"/>
  <c r="AU107" i="9"/>
  <c r="AU115" i="9"/>
  <c r="AU123" i="9"/>
  <c r="AU427" i="9"/>
  <c r="AU435" i="9"/>
  <c r="AU443" i="9"/>
  <c r="AU85" i="9"/>
  <c r="AU108" i="9"/>
  <c r="AU444" i="9"/>
  <c r="AU94" i="9"/>
  <c r="AU86" i="9"/>
  <c r="AU109" i="9"/>
  <c r="AU116" i="9"/>
  <c r="AU117" i="9"/>
  <c r="AU430" i="9"/>
  <c r="AU92" i="9"/>
  <c r="AU110" i="9"/>
  <c r="AU428" i="9"/>
  <c r="AU93" i="9"/>
  <c r="AU429" i="9"/>
  <c r="AU100" i="9"/>
  <c r="AU118" i="9"/>
  <c r="AU436" i="9"/>
  <c r="AU101" i="9"/>
  <c r="AU124" i="9"/>
  <c r="AU437" i="9"/>
  <c r="AU102" i="9"/>
  <c r="AU438" i="9"/>
  <c r="AU371" i="9"/>
  <c r="AU379" i="9"/>
  <c r="AU407" i="9"/>
  <c r="AU415" i="9"/>
  <c r="AU423" i="9"/>
  <c r="AU447" i="9"/>
  <c r="AU450" i="9"/>
  <c r="AU372" i="9"/>
  <c r="AU380" i="9"/>
  <c r="AU408" i="9"/>
  <c r="AU416" i="9"/>
  <c r="AU424" i="9"/>
  <c r="AU448" i="9"/>
  <c r="AU374" i="9"/>
  <c r="AU365" i="9"/>
  <c r="AU373" i="9"/>
  <c r="AU381" i="9"/>
  <c r="AU409" i="9"/>
  <c r="AU417" i="9"/>
  <c r="AU449" i="9"/>
  <c r="AU366" i="9"/>
  <c r="AU382" i="9"/>
  <c r="AU410" i="9"/>
  <c r="AU418" i="9"/>
  <c r="AU367" i="9"/>
  <c r="AU375" i="9"/>
  <c r="AU383" i="9"/>
  <c r="AU411" i="9"/>
  <c r="AU419" i="9"/>
  <c r="AU451" i="9"/>
  <c r="AU378" i="9"/>
  <c r="AU421" i="9"/>
  <c r="AU384" i="9"/>
  <c r="AU422" i="9"/>
  <c r="AU445" i="9"/>
  <c r="AU368" i="9"/>
  <c r="AU369" i="9"/>
  <c r="AU405" i="9"/>
  <c r="AU446" i="9"/>
  <c r="AU406" i="9"/>
  <c r="AU412" i="9"/>
  <c r="AU377" i="9"/>
  <c r="AU370" i="9"/>
  <c r="AU413" i="9"/>
  <c r="AU376" i="9"/>
  <c r="AU414" i="9"/>
  <c r="AU420" i="9"/>
  <c r="C305" i="9"/>
  <c r="F305" i="9"/>
  <c r="C306" i="9"/>
  <c r="F306" i="9"/>
  <c r="C307" i="9"/>
  <c r="F307" i="9"/>
  <c r="C308" i="9"/>
  <c r="F308" i="9"/>
  <c r="C309" i="9"/>
  <c r="F309" i="9"/>
  <c r="C310" i="9"/>
  <c r="F310" i="9"/>
  <c r="C311" i="9"/>
  <c r="F311" i="9"/>
  <c r="C312" i="9"/>
  <c r="F312" i="9"/>
  <c r="C313" i="9"/>
  <c r="F313" i="9"/>
  <c r="C314" i="9"/>
  <c r="F314" i="9"/>
  <c r="C315" i="9"/>
  <c r="F315" i="9"/>
  <c r="C316" i="9"/>
  <c r="F316" i="9"/>
  <c r="C317" i="9"/>
  <c r="F317" i="9"/>
  <c r="C318" i="9"/>
  <c r="F318" i="9"/>
  <c r="C319" i="9"/>
  <c r="F319" i="9"/>
  <c r="C320" i="9"/>
  <c r="F320" i="9"/>
  <c r="C321" i="9"/>
  <c r="F321" i="9"/>
  <c r="C322" i="9"/>
  <c r="F322" i="9"/>
  <c r="C323" i="9"/>
  <c r="F323" i="9"/>
  <c r="C324" i="9"/>
  <c r="F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BQ264" i="9"/>
  <c r="AM264" i="9"/>
  <c r="F264" i="9"/>
  <c r="C264" i="9"/>
  <c r="BQ263" i="9"/>
  <c r="AM263" i="9"/>
  <c r="F263" i="9"/>
  <c r="C263" i="9"/>
  <c r="BQ262" i="9"/>
  <c r="AM262" i="9"/>
  <c r="F262" i="9"/>
  <c r="C262" i="9"/>
  <c r="BQ261" i="9"/>
  <c r="AM261" i="9"/>
  <c r="F261" i="9"/>
  <c r="C261" i="9"/>
  <c r="BQ260" i="9"/>
  <c r="AM260" i="9"/>
  <c r="F260" i="9"/>
  <c r="C260" i="9"/>
  <c r="BQ259" i="9"/>
  <c r="AM259" i="9"/>
  <c r="F259" i="9"/>
  <c r="C259" i="9"/>
  <c r="BQ258" i="9"/>
  <c r="AM258" i="9"/>
  <c r="F258" i="9"/>
  <c r="C258" i="9"/>
  <c r="BQ257" i="9"/>
  <c r="AM257" i="9"/>
  <c r="F257" i="9"/>
  <c r="C257" i="9"/>
  <c r="BQ256" i="9"/>
  <c r="AM256" i="9"/>
  <c r="F256" i="9"/>
  <c r="C256" i="9"/>
  <c r="BQ255" i="9"/>
  <c r="AM255" i="9"/>
  <c r="F255" i="9"/>
  <c r="C255" i="9"/>
  <c r="BQ254" i="9"/>
  <c r="AM254" i="9"/>
  <c r="F254" i="9"/>
  <c r="C254" i="9"/>
  <c r="BQ253" i="9"/>
  <c r="AM253" i="9"/>
  <c r="F253" i="9"/>
  <c r="C253" i="9"/>
  <c r="BQ252" i="9"/>
  <c r="AM252" i="9"/>
  <c r="F252" i="9"/>
  <c r="C252" i="9"/>
  <c r="BQ251" i="9"/>
  <c r="AM251" i="9"/>
  <c r="F251" i="9"/>
  <c r="C251" i="9"/>
  <c r="BQ250" i="9"/>
  <c r="AM250" i="9"/>
  <c r="F250" i="9"/>
  <c r="C250" i="9"/>
  <c r="BQ249" i="9"/>
  <c r="AM249" i="9"/>
  <c r="F249" i="9"/>
  <c r="C249" i="9"/>
  <c r="BQ248" i="9"/>
  <c r="AM248" i="9"/>
  <c r="F248" i="9"/>
  <c r="C248" i="9"/>
  <c r="BQ247" i="9"/>
  <c r="AM247" i="9"/>
  <c r="F247" i="9"/>
  <c r="C247" i="9"/>
  <c r="BQ246" i="9"/>
  <c r="AM246" i="9"/>
  <c r="F246" i="9"/>
  <c r="C246" i="9"/>
  <c r="BQ245" i="9"/>
  <c r="AM245" i="9"/>
  <c r="F245" i="9"/>
  <c r="C245" i="9"/>
  <c r="A338" i="9" l="1"/>
  <c r="AS262" i="9"/>
  <c r="AS246" i="9"/>
  <c r="AS254" i="9"/>
  <c r="AS260" i="9"/>
  <c r="A445" i="9"/>
  <c r="A429" i="9"/>
  <c r="A385" i="9"/>
  <c r="AS245" i="9"/>
  <c r="AS253" i="9"/>
  <c r="AS261" i="9"/>
  <c r="AS248" i="9"/>
  <c r="AS252" i="9"/>
  <c r="AS258" i="9"/>
  <c r="AS247" i="9"/>
  <c r="AS251" i="9"/>
  <c r="AS257" i="9"/>
  <c r="AS263" i="9"/>
  <c r="AS250" i="9"/>
  <c r="AS256" i="9"/>
  <c r="AS264" i="9"/>
  <c r="A493" i="9"/>
  <c r="AS249" i="9"/>
  <c r="AS255" i="9"/>
  <c r="AS259" i="9"/>
  <c r="A509" i="9"/>
  <c r="A320" i="9"/>
  <c r="A557" i="9"/>
  <c r="A337" i="9"/>
  <c r="A510" i="9"/>
  <c r="A533" i="9"/>
  <c r="A401" i="9"/>
  <c r="A379" i="9"/>
  <c r="A405" i="9"/>
  <c r="A361" i="9"/>
  <c r="A446" i="9"/>
  <c r="A469" i="9"/>
  <c r="A321" i="9"/>
  <c r="A317" i="9"/>
  <c r="A313" i="9"/>
  <c r="A309" i="9"/>
  <c r="A305" i="9"/>
  <c r="A463" i="9"/>
  <c r="A423" i="9"/>
  <c r="A339" i="9"/>
  <c r="A550" i="9"/>
  <c r="A486" i="9"/>
  <c r="A402" i="9"/>
  <c r="A378" i="9"/>
  <c r="A362" i="9"/>
  <c r="A316" i="9"/>
  <c r="A549" i="9"/>
  <c r="A541" i="9"/>
  <c r="A525" i="9"/>
  <c r="A517" i="9"/>
  <c r="A501" i="9"/>
  <c r="A485" i="9"/>
  <c r="A477" i="9"/>
  <c r="A461" i="9"/>
  <c r="A453" i="9"/>
  <c r="A437" i="9"/>
  <c r="A421" i="9"/>
  <c r="A413" i="9"/>
  <c r="A393" i="9"/>
  <c r="A377" i="9"/>
  <c r="A369" i="9"/>
  <c r="A353" i="9"/>
  <c r="A345" i="9"/>
  <c r="A329" i="9"/>
  <c r="A551" i="9"/>
  <c r="A527" i="9"/>
  <c r="A487" i="9"/>
  <c r="A355" i="9"/>
  <c r="A422" i="9"/>
  <c r="A544" i="9"/>
  <c r="A520" i="9"/>
  <c r="A496" i="9"/>
  <c r="A480" i="9"/>
  <c r="A464" i="9"/>
  <c r="A440" i="9"/>
  <c r="A416" i="9"/>
  <c r="A404" i="9"/>
  <c r="A380" i="9"/>
  <c r="A364" i="9"/>
  <c r="A340" i="9"/>
  <c r="A519" i="9"/>
  <c r="A495" i="9"/>
  <c r="A471" i="9"/>
  <c r="A447" i="9"/>
  <c r="A407" i="9"/>
  <c r="A403" i="9"/>
  <c r="A347" i="9"/>
  <c r="A558" i="9"/>
  <c r="A542" i="9"/>
  <c r="A534" i="9"/>
  <c r="A526" i="9"/>
  <c r="A518" i="9"/>
  <c r="A502" i="9"/>
  <c r="A494" i="9"/>
  <c r="A478" i="9"/>
  <c r="A470" i="9"/>
  <c r="A462" i="9"/>
  <c r="A454" i="9"/>
  <c r="A438" i="9"/>
  <c r="A430" i="9"/>
  <c r="A414" i="9"/>
  <c r="A406" i="9"/>
  <c r="A394" i="9"/>
  <c r="A386" i="9"/>
  <c r="A370" i="9"/>
  <c r="A354" i="9"/>
  <c r="A346" i="9"/>
  <c r="A330" i="9"/>
  <c r="A324" i="9"/>
  <c r="A312" i="9"/>
  <c r="A308" i="9"/>
  <c r="A560" i="9"/>
  <c r="A536" i="9"/>
  <c r="A512" i="9"/>
  <c r="A488" i="9"/>
  <c r="A456" i="9"/>
  <c r="A424" i="9"/>
  <c r="A408" i="9"/>
  <c r="A396" i="9"/>
  <c r="A372" i="9"/>
  <c r="A348" i="9"/>
  <c r="A543" i="9"/>
  <c r="A503" i="9"/>
  <c r="A479" i="9"/>
  <c r="A439" i="9"/>
  <c r="A415" i="9"/>
  <c r="A395" i="9"/>
  <c r="A363" i="9"/>
  <c r="A331" i="9"/>
  <c r="A552" i="9"/>
  <c r="A528" i="9"/>
  <c r="A504" i="9"/>
  <c r="A472" i="9"/>
  <c r="A448" i="9"/>
  <c r="A432" i="9"/>
  <c r="A388" i="9"/>
  <c r="A356" i="9"/>
  <c r="A332" i="9"/>
  <c r="A559" i="9"/>
  <c r="A535" i="9"/>
  <c r="A511" i="9"/>
  <c r="A455" i="9"/>
  <c r="A431" i="9"/>
  <c r="A387" i="9"/>
  <c r="A371" i="9"/>
  <c r="A564" i="9"/>
  <c r="A556" i="9"/>
  <c r="A548" i="9"/>
  <c r="A540" i="9"/>
  <c r="A532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0" i="9"/>
  <c r="A392" i="9"/>
  <c r="A384" i="9"/>
  <c r="A376" i="9"/>
  <c r="A368" i="9"/>
  <c r="A360" i="9"/>
  <c r="A352" i="9"/>
  <c r="A344" i="9"/>
  <c r="A336" i="9"/>
  <c r="A328" i="9"/>
  <c r="A323" i="9"/>
  <c r="A319" i="9"/>
  <c r="A315" i="9"/>
  <c r="A311" i="9"/>
  <c r="A307" i="9"/>
  <c r="A322" i="9"/>
  <c r="A314" i="9"/>
  <c r="A306" i="9"/>
  <c r="A561" i="9"/>
  <c r="A553" i="9"/>
  <c r="A545" i="9"/>
  <c r="A537" i="9"/>
  <c r="A529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397" i="9"/>
  <c r="A389" i="9"/>
  <c r="A381" i="9"/>
  <c r="A373" i="9"/>
  <c r="A365" i="9"/>
  <c r="A357" i="9"/>
  <c r="A349" i="9"/>
  <c r="A341" i="9"/>
  <c r="A333" i="9"/>
  <c r="A325" i="9"/>
  <c r="A555" i="9"/>
  <c r="A531" i="9"/>
  <c r="A507" i="9"/>
  <c r="A483" i="9"/>
  <c r="A443" i="9"/>
  <c r="A419" i="9"/>
  <c r="A399" i="9"/>
  <c r="A375" i="9"/>
  <c r="A351" i="9"/>
  <c r="A327" i="9"/>
  <c r="A546" i="9"/>
  <c r="A522" i="9"/>
  <c r="A498" i="9"/>
  <c r="A474" i="9"/>
  <c r="A450" i="9"/>
  <c r="A426" i="9"/>
  <c r="A382" i="9"/>
  <c r="A350" i="9"/>
  <c r="A334" i="9"/>
  <c r="A563" i="9"/>
  <c r="A547" i="9"/>
  <c r="A523" i="9"/>
  <c r="A491" i="9"/>
  <c r="A475" i="9"/>
  <c r="A459" i="9"/>
  <c r="A427" i="9"/>
  <c r="A391" i="9"/>
  <c r="A367" i="9"/>
  <c r="A343" i="9"/>
  <c r="A562" i="9"/>
  <c r="A530" i="9"/>
  <c r="A514" i="9"/>
  <c r="A490" i="9"/>
  <c r="A466" i="9"/>
  <c r="A442" i="9"/>
  <c r="A418" i="9"/>
  <c r="A390" i="9"/>
  <c r="A366" i="9"/>
  <c r="A358" i="9"/>
  <c r="A326" i="9"/>
  <c r="A310" i="9"/>
  <c r="A539" i="9"/>
  <c r="A515" i="9"/>
  <c r="A499" i="9"/>
  <c r="A467" i="9"/>
  <c r="A451" i="9"/>
  <c r="A435" i="9"/>
  <c r="A411" i="9"/>
  <c r="A383" i="9"/>
  <c r="A359" i="9"/>
  <c r="A335" i="9"/>
  <c r="A554" i="9"/>
  <c r="A538" i="9"/>
  <c r="A506" i="9"/>
  <c r="A482" i="9"/>
  <c r="A458" i="9"/>
  <c r="A434" i="9"/>
  <c r="A410" i="9"/>
  <c r="A398" i="9"/>
  <c r="A374" i="9"/>
  <c r="A342" i="9"/>
  <c r="A31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 l="1"/>
  <c r="F21" i="9"/>
  <c r="AM21" i="9"/>
  <c r="BQ21" i="9"/>
  <c r="C22" i="9"/>
  <c r="F22" i="9"/>
  <c r="AM22" i="9"/>
  <c r="BQ22" i="9"/>
  <c r="C23" i="9"/>
  <c r="F23" i="9"/>
  <c r="AM23" i="9"/>
  <c r="BQ23" i="9"/>
  <c r="C24" i="9"/>
  <c r="F24" i="9"/>
  <c r="AM24" i="9"/>
  <c r="BQ24" i="9"/>
  <c r="AS23" i="9" l="1"/>
  <c r="AS24" i="9"/>
  <c r="AS22" i="9"/>
  <c r="AS21" i="9"/>
  <c r="A22" i="9"/>
  <c r="A21" i="9"/>
  <c r="A23" i="9"/>
  <c r="A24" i="9"/>
  <c r="A9" i="30" l="1"/>
  <c r="A7" i="30"/>
  <c r="A6" i="30"/>
  <c r="A5" i="30"/>
  <c r="BQ284" i="9"/>
  <c r="AM284" i="9"/>
  <c r="F284" i="9"/>
  <c r="C284" i="9"/>
  <c r="BQ283" i="9"/>
  <c r="AM283" i="9"/>
  <c r="F283" i="9"/>
  <c r="C283" i="9"/>
  <c r="BQ282" i="9"/>
  <c r="AM282" i="9"/>
  <c r="F282" i="9"/>
  <c r="C282" i="9"/>
  <c r="BQ281" i="9"/>
  <c r="AM281" i="9"/>
  <c r="F281" i="9"/>
  <c r="C281" i="9"/>
  <c r="BQ280" i="9"/>
  <c r="AM280" i="9"/>
  <c r="F280" i="9"/>
  <c r="C280" i="9"/>
  <c r="BQ279" i="9"/>
  <c r="AM279" i="9"/>
  <c r="F279" i="9"/>
  <c r="C279" i="9"/>
  <c r="BQ278" i="9"/>
  <c r="AM278" i="9"/>
  <c r="F278" i="9"/>
  <c r="C278" i="9"/>
  <c r="BQ277" i="9"/>
  <c r="AM277" i="9"/>
  <c r="F277" i="9"/>
  <c r="C277" i="9"/>
  <c r="BQ276" i="9"/>
  <c r="AM276" i="9"/>
  <c r="F276" i="9"/>
  <c r="C276" i="9"/>
  <c r="BQ275" i="9"/>
  <c r="AM275" i="9"/>
  <c r="F275" i="9"/>
  <c r="C275" i="9"/>
  <c r="BQ274" i="9"/>
  <c r="AM274" i="9"/>
  <c r="F274" i="9"/>
  <c r="C274" i="9"/>
  <c r="BQ273" i="9"/>
  <c r="AM273" i="9"/>
  <c r="F273" i="9"/>
  <c r="C273" i="9"/>
  <c r="BQ272" i="9"/>
  <c r="AM272" i="9"/>
  <c r="F272" i="9"/>
  <c r="C272" i="9"/>
  <c r="BQ271" i="9"/>
  <c r="AM271" i="9"/>
  <c r="F271" i="9"/>
  <c r="C271" i="9"/>
  <c r="BQ270" i="9"/>
  <c r="AM270" i="9"/>
  <c r="F270" i="9"/>
  <c r="C270" i="9"/>
  <c r="BQ269" i="9"/>
  <c r="AM269" i="9"/>
  <c r="F269" i="9"/>
  <c r="C269" i="9"/>
  <c r="BQ268" i="9"/>
  <c r="AM268" i="9"/>
  <c r="F268" i="9"/>
  <c r="C268" i="9"/>
  <c r="BQ267" i="9"/>
  <c r="AM267" i="9"/>
  <c r="F267" i="9"/>
  <c r="C267" i="9"/>
  <c r="BQ266" i="9"/>
  <c r="AM266" i="9"/>
  <c r="F266" i="9"/>
  <c r="C266" i="9"/>
  <c r="BQ265" i="9"/>
  <c r="AM265" i="9"/>
  <c r="F265" i="9"/>
  <c r="C265" i="9"/>
  <c r="BQ244" i="9"/>
  <c r="AM244" i="9"/>
  <c r="F244" i="9"/>
  <c r="C244" i="9"/>
  <c r="BQ243" i="9"/>
  <c r="AM243" i="9"/>
  <c r="F243" i="9"/>
  <c r="C243" i="9"/>
  <c r="BQ242" i="9"/>
  <c r="AM242" i="9"/>
  <c r="F242" i="9"/>
  <c r="C242" i="9"/>
  <c r="BQ241" i="9"/>
  <c r="AM241" i="9"/>
  <c r="F241" i="9"/>
  <c r="C241" i="9"/>
  <c r="BQ240" i="9"/>
  <c r="AM240" i="9"/>
  <c r="F240" i="9"/>
  <c r="C240" i="9"/>
  <c r="BQ239" i="9"/>
  <c r="AM239" i="9"/>
  <c r="F239" i="9"/>
  <c r="C239" i="9"/>
  <c r="BQ238" i="9"/>
  <c r="AM238" i="9"/>
  <c r="F238" i="9"/>
  <c r="C238" i="9"/>
  <c r="BQ237" i="9"/>
  <c r="AM237" i="9"/>
  <c r="F237" i="9"/>
  <c r="C237" i="9"/>
  <c r="BQ236" i="9"/>
  <c r="AM236" i="9"/>
  <c r="F236" i="9"/>
  <c r="C236" i="9"/>
  <c r="BQ235" i="9"/>
  <c r="AM235" i="9"/>
  <c r="F235" i="9"/>
  <c r="C235" i="9"/>
  <c r="BQ234" i="9"/>
  <c r="AM234" i="9"/>
  <c r="F234" i="9"/>
  <c r="C234" i="9"/>
  <c r="BQ233" i="9"/>
  <c r="AM233" i="9"/>
  <c r="F233" i="9"/>
  <c r="C233" i="9"/>
  <c r="BQ232" i="9"/>
  <c r="AM232" i="9"/>
  <c r="F232" i="9"/>
  <c r="C232" i="9"/>
  <c r="BQ231" i="9"/>
  <c r="AM231" i="9"/>
  <c r="F231" i="9"/>
  <c r="C231" i="9"/>
  <c r="BQ230" i="9"/>
  <c r="AM230" i="9"/>
  <c r="F230" i="9"/>
  <c r="C230" i="9"/>
  <c r="BQ229" i="9"/>
  <c r="AM229" i="9"/>
  <c r="F229" i="9"/>
  <c r="C229" i="9"/>
  <c r="BQ228" i="9"/>
  <c r="AM228" i="9"/>
  <c r="F228" i="9"/>
  <c r="C228" i="9"/>
  <c r="BQ227" i="9"/>
  <c r="AM227" i="9"/>
  <c r="F227" i="9"/>
  <c r="C227" i="9"/>
  <c r="BQ226" i="9"/>
  <c r="AM226" i="9"/>
  <c r="F226" i="9"/>
  <c r="C226" i="9"/>
  <c r="BQ225" i="9"/>
  <c r="AM225" i="9"/>
  <c r="F225" i="9"/>
  <c r="C225" i="9"/>
  <c r="BQ184" i="9"/>
  <c r="AM184" i="9"/>
  <c r="F184" i="9"/>
  <c r="C184" i="9"/>
  <c r="BQ183" i="9"/>
  <c r="AM183" i="9"/>
  <c r="F183" i="9"/>
  <c r="C183" i="9"/>
  <c r="BQ182" i="9"/>
  <c r="AM182" i="9"/>
  <c r="F182" i="9"/>
  <c r="C182" i="9"/>
  <c r="BQ181" i="9"/>
  <c r="AM181" i="9"/>
  <c r="F181" i="9"/>
  <c r="C181" i="9"/>
  <c r="BQ180" i="9"/>
  <c r="AM180" i="9"/>
  <c r="F180" i="9"/>
  <c r="C180" i="9"/>
  <c r="BQ179" i="9"/>
  <c r="AM179" i="9"/>
  <c r="F179" i="9"/>
  <c r="C179" i="9"/>
  <c r="BQ178" i="9"/>
  <c r="AM178" i="9"/>
  <c r="F178" i="9"/>
  <c r="C178" i="9"/>
  <c r="BQ177" i="9"/>
  <c r="AM177" i="9"/>
  <c r="F177" i="9"/>
  <c r="C177" i="9"/>
  <c r="BQ176" i="9"/>
  <c r="AM176" i="9"/>
  <c r="F176" i="9"/>
  <c r="C176" i="9"/>
  <c r="BQ175" i="9"/>
  <c r="AM175" i="9"/>
  <c r="F175" i="9"/>
  <c r="C175" i="9"/>
  <c r="BQ174" i="9"/>
  <c r="AM174" i="9"/>
  <c r="F174" i="9"/>
  <c r="C174" i="9"/>
  <c r="BQ173" i="9"/>
  <c r="AM173" i="9"/>
  <c r="F173" i="9"/>
  <c r="C173" i="9"/>
  <c r="BQ172" i="9"/>
  <c r="AM172" i="9"/>
  <c r="F172" i="9"/>
  <c r="C172" i="9"/>
  <c r="BQ171" i="9"/>
  <c r="AM171" i="9"/>
  <c r="F171" i="9"/>
  <c r="C171" i="9"/>
  <c r="BQ170" i="9"/>
  <c r="AM170" i="9"/>
  <c r="F170" i="9"/>
  <c r="C170" i="9"/>
  <c r="BQ169" i="9"/>
  <c r="AM169" i="9"/>
  <c r="F169" i="9"/>
  <c r="C169" i="9"/>
  <c r="BQ168" i="9"/>
  <c r="AM168" i="9"/>
  <c r="F168" i="9"/>
  <c r="C168" i="9"/>
  <c r="BQ167" i="9"/>
  <c r="AM167" i="9"/>
  <c r="F167" i="9"/>
  <c r="C167" i="9"/>
  <c r="BQ166" i="9"/>
  <c r="AM166" i="9"/>
  <c r="F166" i="9"/>
  <c r="C166" i="9"/>
  <c r="BQ165" i="9"/>
  <c r="AM165" i="9"/>
  <c r="F165" i="9"/>
  <c r="C165" i="9"/>
  <c r="BQ164" i="9"/>
  <c r="AM164" i="9"/>
  <c r="F164" i="9"/>
  <c r="C164" i="9"/>
  <c r="BQ163" i="9"/>
  <c r="AM163" i="9"/>
  <c r="F163" i="9"/>
  <c r="C163" i="9"/>
  <c r="BQ162" i="9"/>
  <c r="AM162" i="9"/>
  <c r="F162" i="9"/>
  <c r="C162" i="9"/>
  <c r="BQ161" i="9"/>
  <c r="AM161" i="9"/>
  <c r="F161" i="9"/>
  <c r="C161" i="9"/>
  <c r="BQ160" i="9"/>
  <c r="AM160" i="9"/>
  <c r="F160" i="9"/>
  <c r="C160" i="9"/>
  <c r="BQ159" i="9"/>
  <c r="AM159" i="9"/>
  <c r="F159" i="9"/>
  <c r="C159" i="9"/>
  <c r="BQ158" i="9"/>
  <c r="AM158" i="9"/>
  <c r="F158" i="9"/>
  <c r="C158" i="9"/>
  <c r="BQ157" i="9"/>
  <c r="AM157" i="9"/>
  <c r="F157" i="9"/>
  <c r="C157" i="9"/>
  <c r="BQ156" i="9"/>
  <c r="AM156" i="9"/>
  <c r="F156" i="9"/>
  <c r="C156" i="9"/>
  <c r="BQ155" i="9"/>
  <c r="AM155" i="9"/>
  <c r="F155" i="9"/>
  <c r="C155" i="9"/>
  <c r="BQ154" i="9"/>
  <c r="AM154" i="9"/>
  <c r="F154" i="9"/>
  <c r="C154" i="9"/>
  <c r="BQ153" i="9"/>
  <c r="AM153" i="9"/>
  <c r="F153" i="9"/>
  <c r="C153" i="9"/>
  <c r="BQ152" i="9"/>
  <c r="AM152" i="9"/>
  <c r="F152" i="9"/>
  <c r="C152" i="9"/>
  <c r="BQ151" i="9"/>
  <c r="AM151" i="9"/>
  <c r="F151" i="9"/>
  <c r="C151" i="9"/>
  <c r="BQ150" i="9"/>
  <c r="AM150" i="9"/>
  <c r="F150" i="9"/>
  <c r="C150" i="9"/>
  <c r="BQ149" i="9"/>
  <c r="AM149" i="9"/>
  <c r="F149" i="9"/>
  <c r="C149" i="9"/>
  <c r="BQ148" i="9"/>
  <c r="AM148" i="9"/>
  <c r="F148" i="9"/>
  <c r="C148" i="9"/>
  <c r="BQ147" i="9"/>
  <c r="AM147" i="9"/>
  <c r="F147" i="9"/>
  <c r="C147" i="9"/>
  <c r="BQ146" i="9"/>
  <c r="AM146" i="9"/>
  <c r="F146" i="9"/>
  <c r="C146" i="9"/>
  <c r="BQ145" i="9"/>
  <c r="AM145" i="9"/>
  <c r="F145" i="9"/>
  <c r="C145" i="9"/>
  <c r="BQ144" i="9"/>
  <c r="AM144" i="9"/>
  <c r="F144" i="9"/>
  <c r="C144" i="9"/>
  <c r="BQ143" i="9"/>
  <c r="AM143" i="9"/>
  <c r="F143" i="9"/>
  <c r="C143" i="9"/>
  <c r="BQ142" i="9"/>
  <c r="AM142" i="9"/>
  <c r="F142" i="9"/>
  <c r="C142" i="9"/>
  <c r="BQ141" i="9"/>
  <c r="AM141" i="9"/>
  <c r="F141" i="9"/>
  <c r="C141" i="9"/>
  <c r="BQ140" i="9"/>
  <c r="AM140" i="9"/>
  <c r="F140" i="9"/>
  <c r="C140" i="9"/>
  <c r="BQ139" i="9"/>
  <c r="AM139" i="9"/>
  <c r="F139" i="9"/>
  <c r="C139" i="9"/>
  <c r="BQ138" i="9"/>
  <c r="AM138" i="9"/>
  <c r="F138" i="9"/>
  <c r="C138" i="9"/>
  <c r="BQ137" i="9"/>
  <c r="AM137" i="9"/>
  <c r="F137" i="9"/>
  <c r="C137" i="9"/>
  <c r="BQ136" i="9"/>
  <c r="AM136" i="9"/>
  <c r="F136" i="9"/>
  <c r="C136" i="9"/>
  <c r="BQ135" i="9"/>
  <c r="AM135" i="9"/>
  <c r="F135" i="9"/>
  <c r="C135" i="9"/>
  <c r="BQ134" i="9"/>
  <c r="AM134" i="9"/>
  <c r="F134" i="9"/>
  <c r="C134" i="9"/>
  <c r="BQ133" i="9"/>
  <c r="AM133" i="9"/>
  <c r="F133" i="9"/>
  <c r="C133" i="9"/>
  <c r="BQ132" i="9"/>
  <c r="AM132" i="9"/>
  <c r="F132" i="9"/>
  <c r="C132" i="9"/>
  <c r="BQ131" i="9"/>
  <c r="AM131" i="9"/>
  <c r="F131" i="9"/>
  <c r="C131" i="9"/>
  <c r="BQ130" i="9"/>
  <c r="AM130" i="9"/>
  <c r="F130" i="9"/>
  <c r="C130" i="9"/>
  <c r="BQ129" i="9"/>
  <c r="AM129" i="9"/>
  <c r="F129" i="9"/>
  <c r="C129" i="9"/>
  <c r="BQ128" i="9"/>
  <c r="AM128" i="9"/>
  <c r="F128" i="9"/>
  <c r="C128" i="9"/>
  <c r="BQ127" i="9"/>
  <c r="AM127" i="9"/>
  <c r="F127" i="9"/>
  <c r="C127" i="9"/>
  <c r="BQ126" i="9"/>
  <c r="AM126" i="9"/>
  <c r="F126" i="9"/>
  <c r="C126" i="9"/>
  <c r="BQ125" i="9"/>
  <c r="AM125" i="9"/>
  <c r="F125" i="9"/>
  <c r="C125" i="9"/>
  <c r="BQ124" i="9"/>
  <c r="AM124" i="9"/>
  <c r="F124" i="9"/>
  <c r="C124" i="9"/>
  <c r="BQ123" i="9"/>
  <c r="AM123" i="9"/>
  <c r="F123" i="9"/>
  <c r="C123" i="9"/>
  <c r="BQ122" i="9"/>
  <c r="AM122" i="9"/>
  <c r="F122" i="9"/>
  <c r="C122" i="9"/>
  <c r="BQ121" i="9"/>
  <c r="AM121" i="9"/>
  <c r="F121" i="9"/>
  <c r="C121" i="9"/>
  <c r="BQ120" i="9"/>
  <c r="AM120" i="9"/>
  <c r="F120" i="9"/>
  <c r="C120" i="9"/>
  <c r="BQ119" i="9"/>
  <c r="AM119" i="9"/>
  <c r="F119" i="9"/>
  <c r="C119" i="9"/>
  <c r="BQ118" i="9"/>
  <c r="AM118" i="9"/>
  <c r="F118" i="9"/>
  <c r="C118" i="9"/>
  <c r="BQ117" i="9"/>
  <c r="AM117" i="9"/>
  <c r="F117" i="9"/>
  <c r="C117" i="9"/>
  <c r="BQ116" i="9"/>
  <c r="AM116" i="9"/>
  <c r="F116" i="9"/>
  <c r="C116" i="9"/>
  <c r="BQ115" i="9"/>
  <c r="AM115" i="9"/>
  <c r="F115" i="9"/>
  <c r="C115" i="9"/>
  <c r="BQ114" i="9"/>
  <c r="AM114" i="9"/>
  <c r="F114" i="9"/>
  <c r="C114" i="9"/>
  <c r="BQ113" i="9"/>
  <c r="AM113" i="9"/>
  <c r="F113" i="9"/>
  <c r="C113" i="9"/>
  <c r="BQ112" i="9"/>
  <c r="AM112" i="9"/>
  <c r="F112" i="9"/>
  <c r="C112" i="9"/>
  <c r="BQ111" i="9"/>
  <c r="AM111" i="9"/>
  <c r="F111" i="9"/>
  <c r="C111" i="9"/>
  <c r="BQ110" i="9"/>
  <c r="AM110" i="9"/>
  <c r="F110" i="9"/>
  <c r="C110" i="9"/>
  <c r="BQ109" i="9"/>
  <c r="AJ109" i="9" s="1"/>
  <c r="AI109" i="9" s="1"/>
  <c r="AM109" i="9"/>
  <c r="F109" i="9"/>
  <c r="C109" i="9"/>
  <c r="BQ108" i="9"/>
  <c r="AJ108" i="9" s="1"/>
  <c r="AI108" i="9" s="1"/>
  <c r="AM108" i="9"/>
  <c r="F108" i="9"/>
  <c r="C108" i="9"/>
  <c r="BQ107" i="9"/>
  <c r="AJ107" i="9" s="1"/>
  <c r="AI107" i="9" s="1"/>
  <c r="AM107" i="9"/>
  <c r="F107" i="9"/>
  <c r="C107" i="9"/>
  <c r="BQ106" i="9"/>
  <c r="AJ106" i="9" s="1"/>
  <c r="AI106" i="9" s="1"/>
  <c r="AM106" i="9"/>
  <c r="F106" i="9"/>
  <c r="C106" i="9"/>
  <c r="BQ105" i="9"/>
  <c r="AM105" i="9"/>
  <c r="F105" i="9"/>
  <c r="C105" i="9"/>
  <c r="BQ104" i="9"/>
  <c r="AJ104" i="9" s="1"/>
  <c r="AI104" i="9" s="1"/>
  <c r="AM104" i="9"/>
  <c r="F104" i="9"/>
  <c r="C104" i="9"/>
  <c r="BQ103" i="9"/>
  <c r="AJ103" i="9" s="1"/>
  <c r="AI103" i="9" s="1"/>
  <c r="AM103" i="9"/>
  <c r="F103" i="9"/>
  <c r="C103" i="9"/>
  <c r="BQ102" i="9"/>
  <c r="AJ102" i="9" s="1"/>
  <c r="AI102" i="9" s="1"/>
  <c r="AM102" i="9"/>
  <c r="F102" i="9"/>
  <c r="C102" i="9"/>
  <c r="BQ101" i="9"/>
  <c r="AJ101" i="9" s="1"/>
  <c r="AI101" i="9" s="1"/>
  <c r="AM101" i="9"/>
  <c r="F101" i="9"/>
  <c r="C101" i="9"/>
  <c r="BQ100" i="9"/>
  <c r="AJ100" i="9" s="1"/>
  <c r="AI100" i="9" s="1"/>
  <c r="AM100" i="9"/>
  <c r="F100" i="9"/>
  <c r="C100" i="9"/>
  <c r="BQ99" i="9"/>
  <c r="AJ99" i="9" s="1"/>
  <c r="AI99" i="9" s="1"/>
  <c r="AM99" i="9"/>
  <c r="F99" i="9"/>
  <c r="C99" i="9"/>
  <c r="BQ98" i="9"/>
  <c r="AJ98" i="9" s="1"/>
  <c r="AI98" i="9" s="1"/>
  <c r="AM98" i="9"/>
  <c r="F98" i="9"/>
  <c r="C98" i="9"/>
  <c r="BQ97" i="9"/>
  <c r="AJ97" i="9" s="1"/>
  <c r="AI97" i="9" s="1"/>
  <c r="AM97" i="9"/>
  <c r="F97" i="9"/>
  <c r="C97" i="9"/>
  <c r="BQ96" i="9"/>
  <c r="AJ96" i="9" s="1"/>
  <c r="AI96" i="9" s="1"/>
  <c r="AM96" i="9"/>
  <c r="F96" i="9"/>
  <c r="C96" i="9"/>
  <c r="BQ95" i="9"/>
  <c r="AJ95" i="9" s="1"/>
  <c r="AI95" i="9" s="1"/>
  <c r="AM95" i="9"/>
  <c r="F95" i="9"/>
  <c r="C95" i="9"/>
  <c r="BQ94" i="9"/>
  <c r="AJ94" i="9" s="1"/>
  <c r="AI94" i="9" s="1"/>
  <c r="AM94" i="9"/>
  <c r="F94" i="9"/>
  <c r="C94" i="9"/>
  <c r="BQ93" i="9"/>
  <c r="AJ93" i="9" s="1"/>
  <c r="AI93" i="9" s="1"/>
  <c r="AM93" i="9"/>
  <c r="F93" i="9"/>
  <c r="C93" i="9"/>
  <c r="BQ92" i="9"/>
  <c r="AJ92" i="9" s="1"/>
  <c r="AI92" i="9" s="1"/>
  <c r="AM92" i="9"/>
  <c r="F92" i="9"/>
  <c r="C92" i="9"/>
  <c r="BQ91" i="9"/>
  <c r="AJ91" i="9" s="1"/>
  <c r="AI91" i="9" s="1"/>
  <c r="AM91" i="9"/>
  <c r="F91" i="9"/>
  <c r="C91" i="9"/>
  <c r="BQ90" i="9"/>
  <c r="AJ90" i="9" s="1"/>
  <c r="AI90" i="9" s="1"/>
  <c r="AM90" i="9"/>
  <c r="F90" i="9"/>
  <c r="C90" i="9"/>
  <c r="BQ89" i="9"/>
  <c r="AJ89" i="9" s="1"/>
  <c r="AI89" i="9" s="1"/>
  <c r="AM89" i="9"/>
  <c r="F89" i="9"/>
  <c r="C89" i="9"/>
  <c r="BQ88" i="9"/>
  <c r="AJ88" i="9" s="1"/>
  <c r="AI88" i="9" s="1"/>
  <c r="AM88" i="9"/>
  <c r="F88" i="9"/>
  <c r="C88" i="9"/>
  <c r="BQ87" i="9"/>
  <c r="AJ87" i="9" s="1"/>
  <c r="AI87" i="9" s="1"/>
  <c r="AM87" i="9"/>
  <c r="F87" i="9"/>
  <c r="C87" i="9"/>
  <c r="BQ86" i="9"/>
  <c r="AJ86" i="9" s="1"/>
  <c r="AI86" i="9" s="1"/>
  <c r="AM86" i="9"/>
  <c r="F86" i="9"/>
  <c r="C86" i="9"/>
  <c r="BQ85" i="9"/>
  <c r="AJ85" i="9" s="1"/>
  <c r="AI85" i="9" s="1"/>
  <c r="AM85" i="9"/>
  <c r="F85" i="9"/>
  <c r="C85" i="9"/>
  <c r="BQ64" i="9"/>
  <c r="AM64" i="9"/>
  <c r="F64" i="9"/>
  <c r="C64" i="9"/>
  <c r="BQ63" i="9"/>
  <c r="AM63" i="9"/>
  <c r="F63" i="9"/>
  <c r="C63" i="9"/>
  <c r="BQ62" i="9"/>
  <c r="AM62" i="9"/>
  <c r="F62" i="9"/>
  <c r="C62" i="9"/>
  <c r="BQ61" i="9"/>
  <c r="AM61" i="9"/>
  <c r="F61" i="9"/>
  <c r="C61" i="9"/>
  <c r="BQ60" i="9"/>
  <c r="AM60" i="9"/>
  <c r="F60" i="9"/>
  <c r="C60" i="9"/>
  <c r="BQ59" i="9"/>
  <c r="AM59" i="9"/>
  <c r="F59" i="9"/>
  <c r="C59" i="9"/>
  <c r="BQ58" i="9"/>
  <c r="AM58" i="9"/>
  <c r="F58" i="9"/>
  <c r="C58" i="9"/>
  <c r="BQ57" i="9"/>
  <c r="AM57" i="9"/>
  <c r="F57" i="9"/>
  <c r="C57" i="9"/>
  <c r="BQ56" i="9"/>
  <c r="AM56" i="9"/>
  <c r="F56" i="9"/>
  <c r="C56" i="9"/>
  <c r="BQ55" i="9"/>
  <c r="AM55" i="9"/>
  <c r="F55" i="9"/>
  <c r="C55" i="9"/>
  <c r="BQ54" i="9"/>
  <c r="AM54" i="9"/>
  <c r="F54" i="9"/>
  <c r="C54" i="9"/>
  <c r="BQ53" i="9"/>
  <c r="AM53" i="9"/>
  <c r="F53" i="9"/>
  <c r="C53" i="9"/>
  <c r="BQ52" i="9"/>
  <c r="AM52" i="9"/>
  <c r="F52" i="9"/>
  <c r="C52" i="9"/>
  <c r="BQ51" i="9"/>
  <c r="AM51" i="9"/>
  <c r="F51" i="9"/>
  <c r="C51" i="9"/>
  <c r="BQ50" i="9"/>
  <c r="AM50" i="9"/>
  <c r="F50" i="9"/>
  <c r="C50" i="9"/>
  <c r="BQ49" i="9"/>
  <c r="AM49" i="9"/>
  <c r="F49" i="9"/>
  <c r="C49" i="9"/>
  <c r="BQ48" i="9"/>
  <c r="AM48" i="9"/>
  <c r="F48" i="9"/>
  <c r="C48" i="9"/>
  <c r="BQ47" i="9"/>
  <c r="AM47" i="9"/>
  <c r="F47" i="9"/>
  <c r="C47" i="9"/>
  <c r="BQ46" i="9"/>
  <c r="AM46" i="9"/>
  <c r="F46" i="9"/>
  <c r="C46" i="9"/>
  <c r="BQ45" i="9"/>
  <c r="AM45" i="9"/>
  <c r="F45" i="9"/>
  <c r="C45" i="9"/>
  <c r="BQ44" i="9"/>
  <c r="AM44" i="9"/>
  <c r="F44" i="9"/>
  <c r="C44" i="9"/>
  <c r="BQ43" i="9"/>
  <c r="AM43" i="9"/>
  <c r="F43" i="9"/>
  <c r="C43" i="9"/>
  <c r="BQ42" i="9"/>
  <c r="AM42" i="9"/>
  <c r="F42" i="9"/>
  <c r="C42" i="9"/>
  <c r="BQ41" i="9"/>
  <c r="AM41" i="9"/>
  <c r="F41" i="9"/>
  <c r="C41" i="9"/>
  <c r="BQ40" i="9"/>
  <c r="AM40" i="9"/>
  <c r="F40" i="9"/>
  <c r="C40" i="9"/>
  <c r="BQ39" i="9"/>
  <c r="AM39" i="9"/>
  <c r="F39" i="9"/>
  <c r="C39" i="9"/>
  <c r="BQ38" i="9"/>
  <c r="AM38" i="9"/>
  <c r="F38" i="9"/>
  <c r="C38" i="9"/>
  <c r="BQ37" i="9"/>
  <c r="AM37" i="9"/>
  <c r="F37" i="9"/>
  <c r="C37" i="9"/>
  <c r="BQ36" i="9"/>
  <c r="AM36" i="9"/>
  <c r="F36" i="9"/>
  <c r="C36" i="9"/>
  <c r="BQ35" i="9"/>
  <c r="AM35" i="9"/>
  <c r="F35" i="9"/>
  <c r="C35" i="9"/>
  <c r="BQ34" i="9"/>
  <c r="AM34" i="9"/>
  <c r="F34" i="9"/>
  <c r="C34" i="9"/>
  <c r="BQ33" i="9"/>
  <c r="AM33" i="9"/>
  <c r="F33" i="9"/>
  <c r="C33" i="9"/>
  <c r="BQ32" i="9"/>
  <c r="AM32" i="9"/>
  <c r="F32" i="9"/>
  <c r="C32" i="9"/>
  <c r="BQ31" i="9"/>
  <c r="AM31" i="9"/>
  <c r="F31" i="9"/>
  <c r="C31" i="9"/>
  <c r="BQ30" i="9"/>
  <c r="AM30" i="9"/>
  <c r="F30" i="9"/>
  <c r="C30" i="9"/>
  <c r="BQ29" i="9"/>
  <c r="AM29" i="9"/>
  <c r="F29" i="9"/>
  <c r="C29" i="9"/>
  <c r="BQ28" i="9"/>
  <c r="AM28" i="9"/>
  <c r="F28" i="9"/>
  <c r="C28" i="9"/>
  <c r="BQ27" i="9"/>
  <c r="AM27" i="9"/>
  <c r="F27" i="9"/>
  <c r="C27" i="9"/>
  <c r="BQ26" i="9"/>
  <c r="AM26" i="9"/>
  <c r="F26" i="9"/>
  <c r="C26" i="9"/>
  <c r="BQ25" i="9"/>
  <c r="AM25" i="9"/>
  <c r="F25" i="9"/>
  <c r="C25" i="9"/>
  <c r="BQ20" i="9"/>
  <c r="AM20" i="9"/>
  <c r="F20" i="9"/>
  <c r="C20" i="9"/>
  <c r="BQ19" i="9"/>
  <c r="AM19" i="9"/>
  <c r="F19" i="9"/>
  <c r="C19" i="9"/>
  <c r="BQ18" i="9"/>
  <c r="AM18" i="9"/>
  <c r="F18" i="9"/>
  <c r="C18" i="9"/>
  <c r="BQ17" i="9"/>
  <c r="AM17" i="9"/>
  <c r="F17" i="9"/>
  <c r="C17" i="9"/>
  <c r="BQ16" i="9"/>
  <c r="AM16" i="9"/>
  <c r="F16" i="9"/>
  <c r="C16" i="9"/>
  <c r="BQ15" i="9"/>
  <c r="AM15" i="9"/>
  <c r="F15" i="9"/>
  <c r="C15" i="9"/>
  <c r="BQ14" i="9"/>
  <c r="AM14" i="9"/>
  <c r="F14" i="9"/>
  <c r="C14" i="9"/>
  <c r="BQ13" i="9"/>
  <c r="AM13" i="9"/>
  <c r="F13" i="9"/>
  <c r="C13" i="9"/>
  <c r="BQ12" i="9"/>
  <c r="AM12" i="9"/>
  <c r="F12" i="9"/>
  <c r="C12" i="9"/>
  <c r="BQ11" i="9"/>
  <c r="AM11" i="9"/>
  <c r="F11" i="9"/>
  <c r="C11" i="9"/>
  <c r="BQ10" i="9"/>
  <c r="AM10" i="9"/>
  <c r="F10" i="9"/>
  <c r="C10" i="9"/>
  <c r="BQ9" i="9"/>
  <c r="AM9" i="9"/>
  <c r="F9" i="9"/>
  <c r="C9" i="9"/>
  <c r="BQ8" i="9"/>
  <c r="AM8" i="9"/>
  <c r="F8" i="9"/>
  <c r="C8" i="9"/>
  <c r="BQ7" i="9"/>
  <c r="AM7" i="9"/>
  <c r="F7" i="9"/>
  <c r="C7" i="9"/>
  <c r="BQ6" i="9"/>
  <c r="AM6" i="9"/>
  <c r="F6" i="9"/>
  <c r="C6" i="9"/>
  <c r="BQ5" i="9"/>
  <c r="AM5" i="9"/>
  <c r="F5" i="9"/>
  <c r="C5" i="9"/>
  <c r="AK103" i="9" l="1"/>
  <c r="AK107" i="9"/>
  <c r="AK109" i="9"/>
  <c r="AK101" i="9"/>
  <c r="AK99" i="9"/>
  <c r="AK87" i="9"/>
  <c r="AK91" i="9"/>
  <c r="AK97" i="9"/>
  <c r="AK89" i="9"/>
  <c r="AK95" i="9"/>
  <c r="AK93" i="9"/>
  <c r="AK108" i="9"/>
  <c r="AK86" i="9"/>
  <c r="AK85" i="9"/>
  <c r="AK90" i="9"/>
  <c r="AK94" i="9"/>
  <c r="AK100" i="9"/>
  <c r="AK88" i="9"/>
  <c r="AK92" i="9"/>
  <c r="AK96" i="9"/>
  <c r="AK98" i="9"/>
  <c r="AK102" i="9"/>
  <c r="AK104" i="9"/>
  <c r="AJ110" i="9"/>
  <c r="AI110" i="9" s="1"/>
  <c r="AJ112" i="9"/>
  <c r="AI112" i="9" s="1"/>
  <c r="AJ114" i="9"/>
  <c r="AI114" i="9" s="1"/>
  <c r="AJ116" i="9"/>
  <c r="AI116" i="9" s="1"/>
  <c r="AJ118" i="9"/>
  <c r="AI118" i="9" s="1"/>
  <c r="AJ120" i="9"/>
  <c r="AI120" i="9" s="1"/>
  <c r="AJ122" i="9"/>
  <c r="AI122" i="9" s="1"/>
  <c r="AJ124" i="9"/>
  <c r="AI124" i="9" s="1"/>
  <c r="AJ136" i="9"/>
  <c r="AI136" i="9" s="1"/>
  <c r="AJ138" i="9"/>
  <c r="AI138" i="9" s="1"/>
  <c r="AJ140" i="9"/>
  <c r="AI140" i="9" s="1"/>
  <c r="AJ142" i="9"/>
  <c r="AI142" i="9" s="1"/>
  <c r="AJ144" i="9"/>
  <c r="AI144" i="9" s="1"/>
  <c r="AJ146" i="9"/>
  <c r="AI146" i="9" s="1"/>
  <c r="AJ148" i="9"/>
  <c r="AI148" i="9" s="1"/>
  <c r="AJ150" i="9"/>
  <c r="AI150" i="9" s="1"/>
  <c r="AJ152" i="9"/>
  <c r="AI152" i="9" s="1"/>
  <c r="AJ154" i="9"/>
  <c r="AI154" i="9" s="1"/>
  <c r="AJ156" i="9"/>
  <c r="AI156" i="9" s="1"/>
  <c r="AJ158" i="9"/>
  <c r="AI158" i="9" s="1"/>
  <c r="AJ160" i="9"/>
  <c r="AI160" i="9" s="1"/>
  <c r="AJ162" i="9"/>
  <c r="AI162" i="9" s="1"/>
  <c r="AJ164" i="9"/>
  <c r="AI164" i="9" s="1"/>
  <c r="AJ166" i="9"/>
  <c r="AI166" i="9" s="1"/>
  <c r="AJ168" i="9"/>
  <c r="AI168" i="9" s="1"/>
  <c r="AJ170" i="9"/>
  <c r="AI170" i="9" s="1"/>
  <c r="AJ172" i="9"/>
  <c r="AI172" i="9" s="1"/>
  <c r="AJ174" i="9"/>
  <c r="AI174" i="9" s="1"/>
  <c r="AJ176" i="9"/>
  <c r="AI176" i="9" s="1"/>
  <c r="AJ178" i="9"/>
  <c r="AI178" i="9" s="1"/>
  <c r="AJ180" i="9"/>
  <c r="AI180" i="9" s="1"/>
  <c r="AJ182" i="9"/>
  <c r="AI182" i="9" s="1"/>
  <c r="AJ184" i="9"/>
  <c r="AI184" i="9" s="1"/>
  <c r="AJ226" i="9"/>
  <c r="AI226" i="9" s="1"/>
  <c r="AJ228" i="9"/>
  <c r="AI228" i="9" s="1"/>
  <c r="AJ230" i="9"/>
  <c r="AI230" i="9" s="1"/>
  <c r="AJ232" i="9"/>
  <c r="AI232" i="9" s="1"/>
  <c r="AJ234" i="9"/>
  <c r="AI234" i="9" s="1"/>
  <c r="AJ236" i="9"/>
  <c r="AI236" i="9" s="1"/>
  <c r="AJ238" i="9"/>
  <c r="AI238" i="9" s="1"/>
  <c r="AJ240" i="9"/>
  <c r="AI240" i="9" s="1"/>
  <c r="AJ242" i="9"/>
  <c r="AI242" i="9" s="1"/>
  <c r="AJ244" i="9"/>
  <c r="AI244" i="9" s="1"/>
  <c r="AJ266" i="9"/>
  <c r="AI266" i="9" s="1"/>
  <c r="AJ268" i="9"/>
  <c r="AI268" i="9" s="1"/>
  <c r="AJ270" i="9"/>
  <c r="AI270" i="9" s="1"/>
  <c r="AJ272" i="9"/>
  <c r="AI272" i="9" s="1"/>
  <c r="AJ274" i="9"/>
  <c r="AI274" i="9" s="1"/>
  <c r="AJ276" i="9"/>
  <c r="AI276" i="9" s="1"/>
  <c r="AJ278" i="9"/>
  <c r="AI278" i="9" s="1"/>
  <c r="AJ280" i="9"/>
  <c r="AI280" i="9" s="1"/>
  <c r="AJ282" i="9"/>
  <c r="AI282" i="9" s="1"/>
  <c r="AJ284" i="9"/>
  <c r="AI284" i="9" s="1"/>
  <c r="AJ253" i="9"/>
  <c r="AJ403" i="9"/>
  <c r="AJ538" i="9"/>
  <c r="AJ189" i="9"/>
  <c r="AJ193" i="9"/>
  <c r="AJ491" i="9"/>
  <c r="AJ316" i="9"/>
  <c r="AJ259" i="9"/>
  <c r="AJ460" i="9"/>
  <c r="AJ483" i="9"/>
  <c r="AJ487" i="9"/>
  <c r="AJ404" i="9"/>
  <c r="AI404" i="9" s="1"/>
  <c r="AJ563" i="9"/>
  <c r="AJ216" i="9"/>
  <c r="AJ198" i="9"/>
  <c r="AJ505" i="9"/>
  <c r="AJ250" i="9"/>
  <c r="AJ421" i="9"/>
  <c r="AJ417" i="9"/>
  <c r="AJ362" i="9"/>
  <c r="AJ377" i="9"/>
  <c r="AJ203" i="9"/>
  <c r="AJ208" i="9"/>
  <c r="AJ510" i="9"/>
  <c r="AJ338" i="9"/>
  <c r="AJ347" i="9"/>
  <c r="AJ513" i="9"/>
  <c r="AJ562" i="9"/>
  <c r="AJ548" i="9"/>
  <c r="AJ346" i="9"/>
  <c r="AJ350" i="9"/>
  <c r="AJ336" i="9"/>
  <c r="AJ214" i="9"/>
  <c r="AJ326" i="9"/>
  <c r="AJ314" i="9"/>
  <c r="AJ410" i="9"/>
  <c r="AJ532" i="9"/>
  <c r="AJ552" i="9"/>
  <c r="AJ463" i="9"/>
  <c r="AJ444" i="9"/>
  <c r="AI444" i="9" s="1"/>
  <c r="AJ517" i="9"/>
  <c r="AJ340" i="9"/>
  <c r="AJ502" i="9"/>
  <c r="AJ197" i="9"/>
  <c r="AJ194" i="9"/>
  <c r="AJ217" i="9"/>
  <c r="AJ545" i="9"/>
  <c r="AJ322" i="9"/>
  <c r="AJ488" i="9"/>
  <c r="AJ472" i="9"/>
  <c r="AJ401" i="9"/>
  <c r="AJ553" i="9"/>
  <c r="AJ320" i="9"/>
  <c r="AJ560" i="9"/>
  <c r="AJ536" i="9"/>
  <c r="AJ356" i="9"/>
  <c r="AJ264" i="9"/>
  <c r="AI264" i="9" s="1"/>
  <c r="AJ325" i="9"/>
  <c r="AJ428" i="9"/>
  <c r="AJ383" i="9"/>
  <c r="AJ461" i="9"/>
  <c r="AJ408" i="9"/>
  <c r="AJ451" i="9"/>
  <c r="AJ441" i="9"/>
  <c r="AJ263" i="9"/>
  <c r="AJ448" i="9"/>
  <c r="AJ215" i="9"/>
  <c r="AJ520" i="9"/>
  <c r="AJ516" i="9"/>
  <c r="AJ367" i="9"/>
  <c r="AJ311" i="9"/>
  <c r="AJ498" i="9"/>
  <c r="AJ453" i="9"/>
  <c r="AJ212" i="9"/>
  <c r="AJ342" i="9"/>
  <c r="AJ456" i="9"/>
  <c r="AJ419" i="9"/>
  <c r="AJ561" i="9"/>
  <c r="AJ209" i="9"/>
  <c r="AJ261" i="9"/>
  <c r="AJ256" i="9"/>
  <c r="AJ251" i="9"/>
  <c r="AJ373" i="9"/>
  <c r="AJ416" i="9"/>
  <c r="AJ379" i="9"/>
  <c r="AJ382" i="9"/>
  <c r="AJ369" i="9"/>
  <c r="AJ370" i="9"/>
  <c r="AJ186" i="9"/>
  <c r="AJ306" i="9"/>
  <c r="AJ559" i="9"/>
  <c r="AJ535" i="9"/>
  <c r="AJ365" i="9"/>
  <c r="AJ402" i="9"/>
  <c r="AJ499" i="9"/>
  <c r="AJ252" i="9"/>
  <c r="AJ218" i="9"/>
  <c r="AJ546" i="9"/>
  <c r="AJ477" i="9"/>
  <c r="AJ384" i="9"/>
  <c r="AI384" i="9" s="1"/>
  <c r="AJ357" i="9"/>
  <c r="AJ475" i="9"/>
  <c r="AJ507" i="9"/>
  <c r="AJ564" i="9"/>
  <c r="AI564" i="9" s="1"/>
  <c r="AJ430" i="9"/>
  <c r="AJ332" i="9"/>
  <c r="AJ469" i="9"/>
  <c r="AJ478" i="9"/>
  <c r="AJ490" i="9"/>
  <c r="AJ462" i="9"/>
  <c r="AJ411" i="9"/>
  <c r="AJ438" i="9"/>
  <c r="AJ482" i="9"/>
  <c r="AJ187" i="9"/>
  <c r="AJ257" i="9"/>
  <c r="AJ324" i="9"/>
  <c r="AI324" i="9" s="1"/>
  <c r="AJ465" i="9"/>
  <c r="AJ199" i="9"/>
  <c r="AJ248" i="9"/>
  <c r="AJ258" i="9"/>
  <c r="AJ372" i="9"/>
  <c r="AJ436" i="9"/>
  <c r="AJ219" i="9"/>
  <c r="AJ434" i="9"/>
  <c r="AJ447" i="9"/>
  <c r="AJ329" i="9"/>
  <c r="AJ445" i="9"/>
  <c r="AJ554" i="9"/>
  <c r="AJ540" i="9"/>
  <c r="AJ331" i="9"/>
  <c r="AJ433" i="9"/>
  <c r="AJ557" i="9"/>
  <c r="AJ409" i="9"/>
  <c r="AJ412" i="9"/>
  <c r="AJ495" i="9"/>
  <c r="AJ414" i="9"/>
  <c r="AJ471" i="9"/>
  <c r="AJ481" i="9"/>
  <c r="AJ450" i="9"/>
  <c r="AJ539" i="9"/>
  <c r="AJ334" i="9"/>
  <c r="AJ524" i="9"/>
  <c r="AI524" i="9" s="1"/>
  <c r="AJ541" i="9"/>
  <c r="AJ458" i="9"/>
  <c r="AJ330" i="9"/>
  <c r="AJ221" i="9"/>
  <c r="AJ503" i="9"/>
  <c r="AJ305" i="9"/>
  <c r="AJ424" i="9"/>
  <c r="AI424" i="9" s="1"/>
  <c r="AJ406" i="9"/>
  <c r="AJ533" i="9"/>
  <c r="AJ480" i="9"/>
  <c r="AJ468" i="9"/>
  <c r="AJ307" i="9"/>
  <c r="AJ192" i="9"/>
  <c r="AJ543" i="9"/>
  <c r="AJ315" i="9"/>
  <c r="AJ449" i="9"/>
  <c r="AJ493" i="9"/>
  <c r="AJ207" i="9"/>
  <c r="AJ319" i="9"/>
  <c r="AJ470" i="9"/>
  <c r="AJ489" i="9"/>
  <c r="AJ464" i="9"/>
  <c r="AI464" i="9" s="1"/>
  <c r="AJ317" i="9"/>
  <c r="AJ518" i="9"/>
  <c r="AJ496" i="9"/>
  <c r="AJ260" i="9"/>
  <c r="AJ527" i="9"/>
  <c r="AJ484" i="9"/>
  <c r="AI484" i="9" s="1"/>
  <c r="AJ405" i="9"/>
  <c r="AJ425" i="9"/>
  <c r="AJ249" i="9"/>
  <c r="AJ254" i="9"/>
  <c r="AJ440" i="9"/>
  <c r="AJ185" i="9"/>
  <c r="AJ413" i="9"/>
  <c r="AJ427" i="9"/>
  <c r="AJ556" i="9"/>
  <c r="AJ486" i="9"/>
  <c r="AJ432" i="9"/>
  <c r="AJ511" i="9"/>
  <c r="AJ459" i="9"/>
  <c r="AJ355" i="9"/>
  <c r="AJ376" i="9"/>
  <c r="AJ526" i="9"/>
  <c r="AJ431" i="9"/>
  <c r="AJ381" i="9"/>
  <c r="AJ353" i="9"/>
  <c r="AJ374" i="9"/>
  <c r="AJ523" i="9"/>
  <c r="AJ188" i="9"/>
  <c r="AJ442" i="9"/>
  <c r="AJ318" i="9"/>
  <c r="AJ479" i="9"/>
  <c r="AJ542" i="9"/>
  <c r="AJ508" i="9"/>
  <c r="AJ206" i="9"/>
  <c r="AJ514" i="9"/>
  <c r="AJ344" i="9"/>
  <c r="AI344" i="9" s="1"/>
  <c r="AJ309" i="9"/>
  <c r="AJ211" i="9"/>
  <c r="AJ530" i="9"/>
  <c r="AJ321" i="9"/>
  <c r="AJ308" i="9"/>
  <c r="AJ531" i="9"/>
  <c r="AJ255" i="9"/>
  <c r="AJ191" i="9"/>
  <c r="AJ196" i="9"/>
  <c r="AJ349" i="9"/>
  <c r="AJ247" i="9"/>
  <c r="AJ361" i="9"/>
  <c r="AJ351" i="9"/>
  <c r="AJ426" i="9"/>
  <c r="AJ415" i="9"/>
  <c r="AJ220" i="9"/>
  <c r="AJ467" i="9"/>
  <c r="AJ549" i="9"/>
  <c r="AJ439" i="9"/>
  <c r="AJ323" i="9"/>
  <c r="AJ521" i="9"/>
  <c r="AJ200" i="9"/>
  <c r="AJ366" i="9"/>
  <c r="AJ515" i="9"/>
  <c r="AJ501" i="9"/>
  <c r="AJ380" i="9"/>
  <c r="AJ358" i="9"/>
  <c r="AJ437" i="9"/>
  <c r="AJ418" i="9"/>
  <c r="AJ420" i="9"/>
  <c r="AJ312" i="9"/>
  <c r="AJ537" i="9"/>
  <c r="AJ454" i="9"/>
  <c r="AJ333" i="9"/>
  <c r="AJ528" i="9"/>
  <c r="AJ352" i="9"/>
  <c r="AJ544" i="9"/>
  <c r="AI544" i="9" s="1"/>
  <c r="AJ348" i="9"/>
  <c r="AJ359" i="9"/>
  <c r="AJ343" i="9"/>
  <c r="AJ422" i="9"/>
  <c r="AJ371" i="9"/>
  <c r="AJ446" i="9"/>
  <c r="AJ327" i="9"/>
  <c r="AJ354" i="9"/>
  <c r="AJ224" i="9"/>
  <c r="AI224" i="9" s="1"/>
  <c r="AJ245" i="9"/>
  <c r="AJ443" i="9"/>
  <c r="AJ435" i="9"/>
  <c r="AJ202" i="9"/>
  <c r="AJ399" i="9"/>
  <c r="AJ375" i="9"/>
  <c r="AJ246" i="9"/>
  <c r="AJ492" i="9"/>
  <c r="AJ494" i="9"/>
  <c r="AJ504" i="9"/>
  <c r="AI504" i="9" s="1"/>
  <c r="AJ368" i="9"/>
  <c r="AJ476" i="9"/>
  <c r="AJ328" i="9"/>
  <c r="AJ378" i="9"/>
  <c r="AJ522" i="9"/>
  <c r="AJ223" i="9"/>
  <c r="AJ201" i="9"/>
  <c r="AJ363" i="9"/>
  <c r="AJ550" i="9"/>
  <c r="AJ339" i="9"/>
  <c r="AJ512" i="9"/>
  <c r="AJ400" i="9"/>
  <c r="AJ262" i="9"/>
  <c r="AJ525" i="9"/>
  <c r="AJ313" i="9"/>
  <c r="AJ210" i="9"/>
  <c r="AJ500" i="9"/>
  <c r="AJ213" i="9"/>
  <c r="AJ423" i="9"/>
  <c r="AJ497" i="9"/>
  <c r="AJ337" i="9"/>
  <c r="AJ534" i="9"/>
  <c r="AJ190" i="9"/>
  <c r="AJ360" i="9"/>
  <c r="AJ222" i="9"/>
  <c r="AJ345" i="9"/>
  <c r="AJ335" i="9"/>
  <c r="AJ509" i="9"/>
  <c r="AJ473" i="9"/>
  <c r="AJ555" i="9"/>
  <c r="AJ547" i="9"/>
  <c r="AJ195" i="9"/>
  <c r="AJ407" i="9"/>
  <c r="AJ429" i="9"/>
  <c r="AJ452" i="9"/>
  <c r="AJ519" i="9"/>
  <c r="AJ529" i="9"/>
  <c r="AJ466" i="9"/>
  <c r="AJ506" i="9"/>
  <c r="AJ474" i="9"/>
  <c r="AJ204" i="9"/>
  <c r="AI204" i="9" s="1"/>
  <c r="AJ205" i="9"/>
  <c r="AJ310" i="9"/>
  <c r="AJ341" i="9"/>
  <c r="AJ485" i="9"/>
  <c r="AJ558" i="9"/>
  <c r="AJ457" i="9"/>
  <c r="AJ551" i="9"/>
  <c r="AJ455" i="9"/>
  <c r="AJ364" i="9"/>
  <c r="AI364" i="9" s="1"/>
  <c r="AJ111" i="9"/>
  <c r="AI111" i="9" s="1"/>
  <c r="AJ113" i="9"/>
  <c r="AI113" i="9" s="1"/>
  <c r="AJ115" i="9"/>
  <c r="AI115" i="9" s="1"/>
  <c r="AJ117" i="9"/>
  <c r="AI117" i="9" s="1"/>
  <c r="AJ119" i="9"/>
  <c r="AI119" i="9" s="1"/>
  <c r="AJ121" i="9"/>
  <c r="AI121" i="9" s="1"/>
  <c r="AJ123" i="9"/>
  <c r="AI123" i="9" s="1"/>
  <c r="AJ135" i="9"/>
  <c r="AI135" i="9" s="1"/>
  <c r="AJ137" i="9"/>
  <c r="AI137" i="9" s="1"/>
  <c r="AJ139" i="9"/>
  <c r="AI139" i="9" s="1"/>
  <c r="AJ141" i="9"/>
  <c r="AI141" i="9" s="1"/>
  <c r="AJ143" i="9"/>
  <c r="AI143" i="9" s="1"/>
  <c r="AJ145" i="9"/>
  <c r="AI145" i="9" s="1"/>
  <c r="AJ147" i="9"/>
  <c r="AI147" i="9" s="1"/>
  <c r="AJ149" i="9"/>
  <c r="AI149" i="9" s="1"/>
  <c r="AJ151" i="9"/>
  <c r="AI151" i="9" s="1"/>
  <c r="AJ153" i="9"/>
  <c r="AI153" i="9" s="1"/>
  <c r="AJ155" i="9"/>
  <c r="AI155" i="9" s="1"/>
  <c r="AJ157" i="9"/>
  <c r="AI157" i="9" s="1"/>
  <c r="AJ159" i="9"/>
  <c r="AI159" i="9" s="1"/>
  <c r="AJ161" i="9"/>
  <c r="AI161" i="9" s="1"/>
  <c r="AJ163" i="9"/>
  <c r="AI163" i="9" s="1"/>
  <c r="AJ165" i="9"/>
  <c r="AI165" i="9" s="1"/>
  <c r="AJ167" i="9"/>
  <c r="AI167" i="9" s="1"/>
  <c r="AJ169" i="9"/>
  <c r="AI169" i="9" s="1"/>
  <c r="AJ171" i="9"/>
  <c r="AI171" i="9" s="1"/>
  <c r="AJ173" i="9"/>
  <c r="AI173" i="9" s="1"/>
  <c r="AJ175" i="9"/>
  <c r="AI175" i="9" s="1"/>
  <c r="AJ177" i="9"/>
  <c r="AI177" i="9" s="1"/>
  <c r="AJ179" i="9"/>
  <c r="AI179" i="9" s="1"/>
  <c r="AJ181" i="9"/>
  <c r="AI181" i="9" s="1"/>
  <c r="AJ183" i="9"/>
  <c r="AI183" i="9" s="1"/>
  <c r="AJ225" i="9"/>
  <c r="AI225" i="9" s="1"/>
  <c r="AJ227" i="9"/>
  <c r="AI227" i="9" s="1"/>
  <c r="AJ229" i="9"/>
  <c r="AI229" i="9" s="1"/>
  <c r="AJ231" i="9"/>
  <c r="AI231" i="9" s="1"/>
  <c r="AJ233" i="9"/>
  <c r="AI233" i="9" s="1"/>
  <c r="AJ235" i="9"/>
  <c r="AI235" i="9" s="1"/>
  <c r="AJ237" i="9"/>
  <c r="AI237" i="9" s="1"/>
  <c r="AJ239" i="9"/>
  <c r="AI239" i="9" s="1"/>
  <c r="AJ241" i="9"/>
  <c r="AI241" i="9" s="1"/>
  <c r="AJ243" i="9"/>
  <c r="AI243" i="9" s="1"/>
  <c r="AJ265" i="9"/>
  <c r="AI265" i="9" s="1"/>
  <c r="AJ267" i="9"/>
  <c r="AI267" i="9" s="1"/>
  <c r="AJ269" i="9"/>
  <c r="AI269" i="9" s="1"/>
  <c r="AJ271" i="9"/>
  <c r="AI271" i="9" s="1"/>
  <c r="AJ273" i="9"/>
  <c r="AI273" i="9" s="1"/>
  <c r="AJ275" i="9"/>
  <c r="AI275" i="9" s="1"/>
  <c r="AJ277" i="9"/>
  <c r="AI277" i="9" s="1"/>
  <c r="AJ279" i="9"/>
  <c r="AI279" i="9" s="1"/>
  <c r="AJ281" i="9"/>
  <c r="AI281" i="9" s="1"/>
  <c r="AJ283" i="9"/>
  <c r="AI283" i="9" s="1"/>
  <c r="AU126" i="9"/>
  <c r="AJ126" i="9" s="1"/>
  <c r="AU132" i="9"/>
  <c r="AJ132" i="9" s="1"/>
  <c r="AU127" i="9"/>
  <c r="AJ127" i="9" s="1"/>
  <c r="AU130" i="9"/>
  <c r="AJ130" i="9" s="1"/>
  <c r="AU133" i="9"/>
  <c r="AJ133" i="9" s="1"/>
  <c r="AI133" i="9" s="1"/>
  <c r="AU128" i="9"/>
  <c r="AJ128" i="9" s="1"/>
  <c r="AU131" i="9"/>
  <c r="AJ131" i="9" s="1"/>
  <c r="AI131" i="9" s="1"/>
  <c r="AU134" i="9"/>
  <c r="AJ134" i="9" s="1"/>
  <c r="AU129" i="9"/>
  <c r="AJ129" i="9" s="1"/>
  <c r="AU125" i="9"/>
  <c r="AJ125" i="9" s="1"/>
  <c r="AJ105" i="9"/>
  <c r="AI105" i="9" s="1"/>
  <c r="AA9" i="9"/>
  <c r="AA17" i="9"/>
  <c r="AA11" i="9"/>
  <c r="AA20" i="9"/>
  <c r="AA13" i="9"/>
  <c r="AA5" i="9"/>
  <c r="AA6" i="9"/>
  <c r="AA22" i="9"/>
  <c r="AA7" i="9"/>
  <c r="AA15" i="9"/>
  <c r="AA8" i="9"/>
  <c r="AA16" i="9"/>
  <c r="AA24" i="9"/>
  <c r="AA10" i="9"/>
  <c r="AA18" i="9"/>
  <c r="AA19" i="9"/>
  <c r="AA12" i="9"/>
  <c r="AA21" i="9"/>
  <c r="AA14" i="9"/>
  <c r="AA23" i="9"/>
  <c r="AU10" i="9"/>
  <c r="X177" i="9"/>
  <c r="X169" i="9"/>
  <c r="AA125" i="9"/>
  <c r="AA133" i="9"/>
  <c r="AA141" i="9"/>
  <c r="AA149" i="9"/>
  <c r="AA157" i="9"/>
  <c r="X183" i="9"/>
  <c r="X167" i="9"/>
  <c r="AA127" i="9"/>
  <c r="AA143" i="9"/>
  <c r="AA159" i="9"/>
  <c r="X182" i="9"/>
  <c r="X166" i="9"/>
  <c r="AA128" i="9"/>
  <c r="AA144" i="9"/>
  <c r="AA160" i="9"/>
  <c r="X181" i="9"/>
  <c r="AA129" i="9"/>
  <c r="AA145" i="9"/>
  <c r="AA161" i="9"/>
  <c r="X184" i="9"/>
  <c r="X176" i="9"/>
  <c r="X168" i="9"/>
  <c r="AA126" i="9"/>
  <c r="AA134" i="9"/>
  <c r="AA142" i="9"/>
  <c r="AA150" i="9"/>
  <c r="AA158" i="9"/>
  <c r="X175" i="9"/>
  <c r="AA135" i="9"/>
  <c r="AA151" i="9"/>
  <c r="X174" i="9"/>
  <c r="AA136" i="9"/>
  <c r="AA152" i="9"/>
  <c r="X173" i="9"/>
  <c r="X165" i="9"/>
  <c r="AA137" i="9"/>
  <c r="AA153" i="9"/>
  <c r="X180" i="9"/>
  <c r="X172" i="9"/>
  <c r="AA130" i="9"/>
  <c r="AA138" i="9"/>
  <c r="AA146" i="9"/>
  <c r="AA154" i="9"/>
  <c r="AA162" i="9"/>
  <c r="X179" i="9"/>
  <c r="X171" i="9"/>
  <c r="AA131" i="9"/>
  <c r="AA139" i="9"/>
  <c r="AA147" i="9"/>
  <c r="AA155" i="9"/>
  <c r="AA163" i="9"/>
  <c r="X178" i="9"/>
  <c r="X170" i="9"/>
  <c r="AA132" i="9"/>
  <c r="AA140" i="9"/>
  <c r="AA148" i="9"/>
  <c r="AA156" i="9"/>
  <c r="AA164" i="9"/>
  <c r="AA45" i="9"/>
  <c r="AA53" i="9"/>
  <c r="AA61" i="9"/>
  <c r="AA55" i="9"/>
  <c r="AA64" i="9"/>
  <c r="AA50" i="9"/>
  <c r="AA46" i="9"/>
  <c r="AA54" i="9"/>
  <c r="AA62" i="9"/>
  <c r="AA47" i="9"/>
  <c r="AA63" i="9"/>
  <c r="AA48" i="9"/>
  <c r="AA49" i="9"/>
  <c r="AA51" i="9"/>
  <c r="AA52" i="9"/>
  <c r="AA56" i="9"/>
  <c r="AA57" i="9"/>
  <c r="AA58" i="9"/>
  <c r="AA59" i="9"/>
  <c r="AA60" i="9"/>
  <c r="AA25" i="9"/>
  <c r="AA33" i="9"/>
  <c r="AA41" i="9"/>
  <c r="AA44" i="9"/>
  <c r="AA29" i="9"/>
  <c r="AA26" i="9"/>
  <c r="AA34" i="9"/>
  <c r="AA42" i="9"/>
  <c r="AA36" i="9"/>
  <c r="AA40" i="9"/>
  <c r="AA27" i="9"/>
  <c r="AA35" i="9"/>
  <c r="AA43" i="9"/>
  <c r="AA28" i="9"/>
  <c r="AA37" i="9"/>
  <c r="AA30" i="9"/>
  <c r="AA38" i="9"/>
  <c r="AA31" i="9"/>
  <c r="AA39" i="9"/>
  <c r="AA32" i="9"/>
  <c r="AS8" i="9"/>
  <c r="AS16" i="9"/>
  <c r="AS28" i="9"/>
  <c r="AS36" i="9"/>
  <c r="AS44" i="9"/>
  <c r="AS52" i="9"/>
  <c r="AS60" i="9"/>
  <c r="AS92" i="9"/>
  <c r="AS102" i="9"/>
  <c r="AS110" i="9"/>
  <c r="AS120" i="9"/>
  <c r="AS130" i="9"/>
  <c r="AS140" i="9"/>
  <c r="AS148" i="9"/>
  <c r="AS156" i="9"/>
  <c r="AS164" i="9"/>
  <c r="AS172" i="9"/>
  <c r="AS180" i="9"/>
  <c r="AS230" i="9"/>
  <c r="AS240" i="9"/>
  <c r="AS270" i="9"/>
  <c r="AS280" i="9"/>
  <c r="AS10" i="9"/>
  <c r="AS18" i="9"/>
  <c r="AS30" i="9"/>
  <c r="AS38" i="9"/>
  <c r="AS46" i="9"/>
  <c r="AS56" i="9"/>
  <c r="AS86" i="9"/>
  <c r="AS94" i="9"/>
  <c r="AS100" i="9"/>
  <c r="AS108" i="9"/>
  <c r="AS116" i="9"/>
  <c r="AS124" i="9"/>
  <c r="AS132" i="9"/>
  <c r="AS138" i="9"/>
  <c r="AS146" i="9"/>
  <c r="AS154" i="9"/>
  <c r="AS162" i="9"/>
  <c r="AS170" i="9"/>
  <c r="AS178" i="9"/>
  <c r="AS226" i="9"/>
  <c r="AS234" i="9"/>
  <c r="AS242" i="9"/>
  <c r="AS266" i="9"/>
  <c r="AS272" i="9"/>
  <c r="AS278" i="9"/>
  <c r="AS5" i="9"/>
  <c r="AS11" i="9"/>
  <c r="AS17" i="9"/>
  <c r="AS27" i="9"/>
  <c r="AS33" i="9"/>
  <c r="AS39" i="9"/>
  <c r="AS45" i="9"/>
  <c r="AS51" i="9"/>
  <c r="AS57" i="9"/>
  <c r="AS63" i="9"/>
  <c r="AS89" i="9"/>
  <c r="AS95" i="9"/>
  <c r="AS101" i="9"/>
  <c r="AS107" i="9"/>
  <c r="AS115" i="9"/>
  <c r="AS121" i="9"/>
  <c r="AS127" i="9"/>
  <c r="AS133" i="9"/>
  <c r="AS139" i="9"/>
  <c r="AS145" i="9"/>
  <c r="AS151" i="9"/>
  <c r="AS157" i="9"/>
  <c r="AS163" i="9"/>
  <c r="AS169" i="9"/>
  <c r="AS175" i="9"/>
  <c r="AS181" i="9"/>
  <c r="AS227" i="9"/>
  <c r="AS233" i="9"/>
  <c r="AS239" i="9"/>
  <c r="AS265" i="9"/>
  <c r="AS271" i="9"/>
  <c r="AS275" i="9"/>
  <c r="AS281" i="9"/>
  <c r="AS12" i="9"/>
  <c r="AS26" i="9"/>
  <c r="AS34" i="9"/>
  <c r="AS42" i="9"/>
  <c r="AS50" i="9"/>
  <c r="AS58" i="9"/>
  <c r="AS64" i="9"/>
  <c r="AS90" i="9"/>
  <c r="AS96" i="9"/>
  <c r="AS104" i="9"/>
  <c r="AS112" i="9"/>
  <c r="AS118" i="9"/>
  <c r="AS126" i="9"/>
  <c r="AS134" i="9"/>
  <c r="AS142" i="9"/>
  <c r="AS150" i="9"/>
  <c r="AS158" i="9"/>
  <c r="AS166" i="9"/>
  <c r="AS174" i="9"/>
  <c r="AS182" i="9"/>
  <c r="AS228" i="9"/>
  <c r="AS236" i="9"/>
  <c r="AS244" i="9"/>
  <c r="AS274" i="9"/>
  <c r="AS282" i="9"/>
  <c r="AS7" i="9"/>
  <c r="AS13" i="9"/>
  <c r="AS25" i="9"/>
  <c r="AS31" i="9"/>
  <c r="AS37" i="9"/>
  <c r="AS43" i="9"/>
  <c r="AS49" i="9"/>
  <c r="AS55" i="9"/>
  <c r="AS61" i="9"/>
  <c r="AS87" i="9"/>
  <c r="AS93" i="9"/>
  <c r="AS99" i="9"/>
  <c r="AS105" i="9"/>
  <c r="AS111" i="9"/>
  <c r="AS117" i="9"/>
  <c r="AS123" i="9"/>
  <c r="AS129" i="9"/>
  <c r="AS135" i="9"/>
  <c r="AS141" i="9"/>
  <c r="AS147" i="9"/>
  <c r="AS153" i="9"/>
  <c r="AS159" i="9"/>
  <c r="AS165" i="9"/>
  <c r="AS171" i="9"/>
  <c r="AS177" i="9"/>
  <c r="AS183" i="9"/>
  <c r="AS229" i="9"/>
  <c r="AS235" i="9"/>
  <c r="AS241" i="9"/>
  <c r="AS267" i="9"/>
  <c r="AS273" i="9"/>
  <c r="AS277" i="9"/>
  <c r="AS283" i="9"/>
  <c r="AS6" i="9"/>
  <c r="AS14" i="9"/>
  <c r="AS20" i="9"/>
  <c r="AS32" i="9"/>
  <c r="AS40" i="9"/>
  <c r="AS48" i="9"/>
  <c r="AS54" i="9"/>
  <c r="AS62" i="9"/>
  <c r="AS88" i="9"/>
  <c r="AS98" i="9"/>
  <c r="AS106" i="9"/>
  <c r="AS114" i="9"/>
  <c r="AS122" i="9"/>
  <c r="AS128" i="9"/>
  <c r="AS136" i="9"/>
  <c r="AS144" i="9"/>
  <c r="AS152" i="9"/>
  <c r="AS160" i="9"/>
  <c r="AS168" i="9"/>
  <c r="AS176" i="9"/>
  <c r="AS184" i="9"/>
  <c r="AS232" i="9"/>
  <c r="AS238" i="9"/>
  <c r="AS268" i="9"/>
  <c r="AS276" i="9"/>
  <c r="AS284" i="9"/>
  <c r="AS9" i="9"/>
  <c r="AS15" i="9"/>
  <c r="AS19" i="9"/>
  <c r="AS29" i="9"/>
  <c r="AS35" i="9"/>
  <c r="AS41" i="9"/>
  <c r="AS47" i="9"/>
  <c r="AS53" i="9"/>
  <c r="AS59" i="9"/>
  <c r="AS85" i="9"/>
  <c r="AS91" i="9"/>
  <c r="AS97" i="9"/>
  <c r="AS103" i="9"/>
  <c r="AS109" i="9"/>
  <c r="AS113" i="9"/>
  <c r="AS119" i="9"/>
  <c r="AS125" i="9"/>
  <c r="AS131" i="9"/>
  <c r="AS137" i="9"/>
  <c r="AS143" i="9"/>
  <c r="AS149" i="9"/>
  <c r="AS155" i="9"/>
  <c r="AS161" i="9"/>
  <c r="AS167" i="9"/>
  <c r="AS173" i="9"/>
  <c r="AS179" i="9"/>
  <c r="AS225" i="9"/>
  <c r="AS231" i="9"/>
  <c r="AS237" i="9"/>
  <c r="AS243" i="9"/>
  <c r="AS269" i="9"/>
  <c r="AS279" i="9"/>
  <c r="AU387" i="9"/>
  <c r="AU395" i="9"/>
  <c r="AJ395" i="9" s="1"/>
  <c r="AI395" i="9" s="1"/>
  <c r="AU388" i="9"/>
  <c r="AJ388" i="9" s="1"/>
  <c r="AI388" i="9" s="1"/>
  <c r="AU396" i="9"/>
  <c r="AU389" i="9"/>
  <c r="AU397" i="9"/>
  <c r="AJ397" i="9" s="1"/>
  <c r="AI397" i="9" s="1"/>
  <c r="AU390" i="9"/>
  <c r="AU398" i="9"/>
  <c r="AU391" i="9"/>
  <c r="AJ391" i="9" s="1"/>
  <c r="AI391" i="9" s="1"/>
  <c r="AU392" i="9"/>
  <c r="AJ392" i="9" s="1"/>
  <c r="AI392" i="9" s="1"/>
  <c r="AU385" i="9"/>
  <c r="AJ385" i="9" s="1"/>
  <c r="AI385" i="9" s="1"/>
  <c r="AU386" i="9"/>
  <c r="AU393" i="9"/>
  <c r="AU394" i="9"/>
  <c r="AU79" i="9"/>
  <c r="AJ79" i="9" s="1"/>
  <c r="AI79" i="9" s="1"/>
  <c r="AU77" i="9"/>
  <c r="AU67" i="9"/>
  <c r="AJ67" i="9" s="1"/>
  <c r="AI67" i="9" s="1"/>
  <c r="AU65" i="9"/>
  <c r="AJ65" i="9" s="1"/>
  <c r="AI65" i="9" s="1"/>
  <c r="AU51" i="9"/>
  <c r="AJ51" i="9" s="1"/>
  <c r="AI51" i="9" s="1"/>
  <c r="AU59" i="9"/>
  <c r="AU27" i="9"/>
  <c r="AU35" i="9"/>
  <c r="AJ35" i="9" s="1"/>
  <c r="AI35" i="9" s="1"/>
  <c r="AU43" i="9"/>
  <c r="AJ43" i="9" s="1"/>
  <c r="AI43" i="9" s="1"/>
  <c r="AU12" i="9"/>
  <c r="AU20" i="9"/>
  <c r="AU70" i="9"/>
  <c r="AJ70" i="9" s="1"/>
  <c r="AI70" i="9" s="1"/>
  <c r="AU75" i="9"/>
  <c r="AJ75" i="9" s="1"/>
  <c r="AI75" i="9" s="1"/>
  <c r="AU73" i="9"/>
  <c r="AJ73" i="9" s="1"/>
  <c r="AI73" i="9" s="1"/>
  <c r="AU52" i="9"/>
  <c r="AU60" i="9"/>
  <c r="AU28" i="9"/>
  <c r="AU36" i="9"/>
  <c r="AU44" i="9"/>
  <c r="AJ44" i="9" s="1"/>
  <c r="AI44" i="9" s="1"/>
  <c r="AU13" i="9"/>
  <c r="AU21" i="9"/>
  <c r="AJ21" i="9" s="1"/>
  <c r="AU68" i="9"/>
  <c r="AU83" i="9"/>
  <c r="AJ83" i="9" s="1"/>
  <c r="AI83" i="9" s="1"/>
  <c r="AU81" i="9"/>
  <c r="AJ81" i="9" s="1"/>
  <c r="AI81" i="9" s="1"/>
  <c r="AU45" i="9"/>
  <c r="AU53" i="9"/>
  <c r="AU61" i="9"/>
  <c r="AJ61" i="9" s="1"/>
  <c r="AI61" i="9" s="1"/>
  <c r="AU29" i="9"/>
  <c r="AU37" i="9"/>
  <c r="AJ37" i="9" s="1"/>
  <c r="AI37" i="9" s="1"/>
  <c r="AU6" i="9"/>
  <c r="AU14" i="9"/>
  <c r="AJ14" i="9" s="1"/>
  <c r="AU22" i="9"/>
  <c r="AU78" i="9"/>
  <c r="AU76" i="9"/>
  <c r="AU72" i="9"/>
  <c r="AJ72" i="9" s="1"/>
  <c r="AI72" i="9" s="1"/>
  <c r="AU66" i="9"/>
  <c r="AU47" i="9"/>
  <c r="AU55" i="9"/>
  <c r="AU63" i="9"/>
  <c r="AU31" i="9"/>
  <c r="AJ31" i="9" s="1"/>
  <c r="AI31" i="9" s="1"/>
  <c r="AU39" i="9"/>
  <c r="AU8" i="9"/>
  <c r="AU16" i="9"/>
  <c r="AU24" i="9"/>
  <c r="AJ24" i="9" s="1"/>
  <c r="AI24" i="9" s="1"/>
  <c r="AU50" i="9"/>
  <c r="AJ50" i="9" s="1"/>
  <c r="AI50" i="9" s="1"/>
  <c r="AK51" i="9" s="1"/>
  <c r="AU26" i="9"/>
  <c r="AJ26" i="9" s="1"/>
  <c r="AI26" i="9" s="1"/>
  <c r="AU42" i="9"/>
  <c r="AU19" i="9"/>
  <c r="AU7" i="9"/>
  <c r="AU57" i="9"/>
  <c r="AU41" i="9"/>
  <c r="AU54" i="9"/>
  <c r="AU30" i="9"/>
  <c r="AU23" i="9"/>
  <c r="AU80" i="9"/>
  <c r="AU33" i="9"/>
  <c r="AJ33" i="9" s="1"/>
  <c r="AI33" i="9" s="1"/>
  <c r="AU34" i="9"/>
  <c r="AU25" i="9"/>
  <c r="AU56" i="9"/>
  <c r="AJ56" i="9" s="1"/>
  <c r="AI56" i="9" s="1"/>
  <c r="AU32" i="9"/>
  <c r="AU9" i="9"/>
  <c r="AJ9" i="9" s="1"/>
  <c r="AU5" i="9"/>
  <c r="AJ5" i="9" s="1"/>
  <c r="AI5" i="9" s="1"/>
  <c r="AU58" i="9"/>
  <c r="AJ58" i="9" s="1"/>
  <c r="AI58" i="9" s="1"/>
  <c r="AU11" i="9"/>
  <c r="AU49" i="9"/>
  <c r="AU84" i="9"/>
  <c r="AJ84" i="9" s="1"/>
  <c r="AI84" i="9" s="1"/>
  <c r="AU82" i="9"/>
  <c r="AJ82" i="9" s="1"/>
  <c r="AI82" i="9" s="1"/>
  <c r="AU69" i="9"/>
  <c r="AU46" i="9"/>
  <c r="AU62" i="9"/>
  <c r="AU38" i="9"/>
  <c r="AU15" i="9"/>
  <c r="AU74" i="9"/>
  <c r="AU71" i="9"/>
  <c r="AU48" i="9"/>
  <c r="AU64" i="9"/>
  <c r="AJ64" i="9" s="1"/>
  <c r="AI64" i="9" s="1"/>
  <c r="AU40" i="9"/>
  <c r="AJ40" i="9" s="1"/>
  <c r="AI40" i="9" s="1"/>
  <c r="AU17" i="9"/>
  <c r="AU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  <c r="AK277" i="9" l="1"/>
  <c r="AK269" i="9"/>
  <c r="AK233" i="9"/>
  <c r="AK177" i="9"/>
  <c r="AK161" i="9"/>
  <c r="AK274" i="9"/>
  <c r="AK180" i="9"/>
  <c r="AK236" i="9"/>
  <c r="AK148" i="9"/>
  <c r="AK238" i="9"/>
  <c r="AK272" i="9"/>
  <c r="AK164" i="9"/>
  <c r="AK392" i="9"/>
  <c r="AK385" i="9"/>
  <c r="AK270" i="9"/>
  <c r="AK234" i="9"/>
  <c r="AK283" i="9"/>
  <c r="AK267" i="9"/>
  <c r="AK231" i="9"/>
  <c r="AK281" i="9"/>
  <c r="AK278" i="9"/>
  <c r="AK282" i="9"/>
  <c r="AK266" i="9"/>
  <c r="AK265" i="9"/>
  <c r="AK230" i="9"/>
  <c r="AK279" i="9"/>
  <c r="AK243" i="9"/>
  <c r="AK227" i="9"/>
  <c r="AK284" i="9"/>
  <c r="AK280" i="9"/>
  <c r="AK275" i="9"/>
  <c r="AK268" i="9"/>
  <c r="AK244" i="9"/>
  <c r="AK276" i="9"/>
  <c r="AK273" i="9"/>
  <c r="AK228" i="9"/>
  <c r="AK271" i="9"/>
  <c r="AK240" i="9"/>
  <c r="AK237" i="9"/>
  <c r="AK232" i="9"/>
  <c r="AK229" i="9"/>
  <c r="AK173" i="9"/>
  <c r="AK157" i="9"/>
  <c r="AK141" i="9"/>
  <c r="AK115" i="9"/>
  <c r="AK241" i="9"/>
  <c r="AK242" i="9"/>
  <c r="AK226" i="9"/>
  <c r="AK225" i="9"/>
  <c r="AK239" i="9"/>
  <c r="AK235" i="9"/>
  <c r="AK184" i="9"/>
  <c r="AK168" i="9"/>
  <c r="AK152" i="9"/>
  <c r="AK136" i="9"/>
  <c r="AK174" i="9"/>
  <c r="AK171" i="9"/>
  <c r="AK155" i="9"/>
  <c r="AK139" i="9"/>
  <c r="AK113" i="9"/>
  <c r="AK176" i="9"/>
  <c r="AK182" i="9"/>
  <c r="AK150" i="9"/>
  <c r="AK179" i="9"/>
  <c r="AK163" i="9"/>
  <c r="AK147" i="9"/>
  <c r="AK121" i="9"/>
  <c r="AK178" i="9"/>
  <c r="AK175" i="9"/>
  <c r="AK159" i="9"/>
  <c r="AK143" i="9"/>
  <c r="AK166" i="9"/>
  <c r="AK165" i="9"/>
  <c r="AK172" i="9"/>
  <c r="AK169" i="9"/>
  <c r="AK170" i="9"/>
  <c r="AK183" i="9"/>
  <c r="AK167" i="9"/>
  <c r="AK181" i="9"/>
  <c r="AK162" i="9"/>
  <c r="AK158" i="9"/>
  <c r="AK156" i="9"/>
  <c r="AK153" i="9"/>
  <c r="AK146" i="9"/>
  <c r="AK145" i="9"/>
  <c r="AK160" i="9"/>
  <c r="AK154" i="9"/>
  <c r="AK151" i="9"/>
  <c r="AK149" i="9"/>
  <c r="AK118" i="9"/>
  <c r="AK142" i="9"/>
  <c r="AK82" i="9"/>
  <c r="AK140" i="9"/>
  <c r="AK137" i="9"/>
  <c r="AK138" i="9"/>
  <c r="AK144" i="9"/>
  <c r="AK116" i="9"/>
  <c r="AK123" i="9"/>
  <c r="AK111" i="9"/>
  <c r="AK112" i="9"/>
  <c r="AK114" i="9"/>
  <c r="AK84" i="9"/>
  <c r="AK124" i="9"/>
  <c r="AK122" i="9"/>
  <c r="AK119" i="9"/>
  <c r="AK110" i="9"/>
  <c r="AK106" i="9"/>
  <c r="AK105" i="9"/>
  <c r="AK120" i="9"/>
  <c r="AK117" i="9"/>
  <c r="AK83" i="9"/>
  <c r="AK65" i="9"/>
  <c r="AK73" i="9"/>
  <c r="AK44" i="9"/>
  <c r="AI21" i="9"/>
  <c r="AI14" i="9"/>
  <c r="AI9" i="9"/>
  <c r="AK5" i="9"/>
  <c r="AI125" i="9"/>
  <c r="AI129" i="9"/>
  <c r="AI126" i="9"/>
  <c r="AI134" i="9"/>
  <c r="AK135" i="9" s="1"/>
  <c r="AI132" i="9"/>
  <c r="AK133" i="9" s="1"/>
  <c r="AI128" i="9"/>
  <c r="AI127" i="9"/>
  <c r="AI130" i="9"/>
  <c r="AK131" i="9" s="1"/>
  <c r="AI558" i="9"/>
  <c r="AI223" i="9"/>
  <c r="AK224" i="9" s="1"/>
  <c r="AI348" i="9"/>
  <c r="AI426" i="9"/>
  <c r="AI374" i="9"/>
  <c r="AI329" i="9"/>
  <c r="AI402" i="9"/>
  <c r="AI560" i="9"/>
  <c r="AI203" i="9"/>
  <c r="AK204" i="9" s="1"/>
  <c r="AI485" i="9"/>
  <c r="AI337" i="9"/>
  <c r="AI308" i="9"/>
  <c r="AI249" i="9"/>
  <c r="AI334" i="9"/>
  <c r="AI490" i="9"/>
  <c r="AI419" i="9"/>
  <c r="AI194" i="9"/>
  <c r="AI563" i="9"/>
  <c r="AK564" i="9" s="1"/>
  <c r="AI519" i="9"/>
  <c r="AI497" i="9"/>
  <c r="AI378" i="9"/>
  <c r="AI375" i="9"/>
  <c r="AI327" i="9"/>
  <c r="AI352" i="9"/>
  <c r="AI437" i="9"/>
  <c r="AI323" i="9"/>
  <c r="AK324" i="9" s="1"/>
  <c r="AI361" i="9"/>
  <c r="AI321" i="9"/>
  <c r="AI542" i="9"/>
  <c r="AI381" i="9"/>
  <c r="AI486" i="9"/>
  <c r="AI425" i="9"/>
  <c r="AI543" i="9"/>
  <c r="AK544" i="9" s="1"/>
  <c r="AI305" i="9"/>
  <c r="AI539" i="9"/>
  <c r="AI557" i="9"/>
  <c r="AI434" i="9"/>
  <c r="AI478" i="9"/>
  <c r="AI535" i="9"/>
  <c r="AI416" i="9"/>
  <c r="AI456" i="9"/>
  <c r="AI520" i="9"/>
  <c r="AI383" i="9"/>
  <c r="AK384" i="9" s="1"/>
  <c r="AI553" i="9"/>
  <c r="AI197" i="9"/>
  <c r="AI410" i="9"/>
  <c r="AI562" i="9"/>
  <c r="AI362" i="9"/>
  <c r="AI189" i="9"/>
  <c r="AI310" i="9"/>
  <c r="AI452" i="9"/>
  <c r="AI335" i="9"/>
  <c r="AI423" i="9"/>
  <c r="AK424" i="9" s="1"/>
  <c r="AI512" i="9"/>
  <c r="AI328" i="9"/>
  <c r="AI399" i="9"/>
  <c r="AI446" i="9"/>
  <c r="AI528" i="9"/>
  <c r="AI358" i="9"/>
  <c r="AI439" i="9"/>
  <c r="AI247" i="9"/>
  <c r="AI530" i="9"/>
  <c r="AI479" i="9"/>
  <c r="AI431" i="9"/>
  <c r="AI556" i="9"/>
  <c r="AI405" i="9"/>
  <c r="AI489" i="9"/>
  <c r="AI192" i="9"/>
  <c r="AI503" i="9"/>
  <c r="AK504" i="9" s="1"/>
  <c r="AI450" i="9"/>
  <c r="AI433" i="9"/>
  <c r="AI219" i="9"/>
  <c r="AI257" i="9"/>
  <c r="AI469" i="9"/>
  <c r="AI477" i="9"/>
  <c r="AI559" i="9"/>
  <c r="AI373" i="9"/>
  <c r="AI342" i="9"/>
  <c r="AI215" i="9"/>
  <c r="AI428" i="9"/>
  <c r="AI401" i="9"/>
  <c r="AI502" i="9"/>
  <c r="AI314" i="9"/>
  <c r="AI513" i="9"/>
  <c r="AI417" i="9"/>
  <c r="AI487" i="9"/>
  <c r="AI538" i="9"/>
  <c r="AI534" i="9"/>
  <c r="AI531" i="9"/>
  <c r="AI518" i="9"/>
  <c r="AI412" i="9"/>
  <c r="AI475" i="9"/>
  <c r="AI367" i="9"/>
  <c r="AI217" i="9"/>
  <c r="AI216" i="9"/>
  <c r="AI473" i="9"/>
  <c r="AI246" i="9"/>
  <c r="AI418" i="9"/>
  <c r="AI508" i="9"/>
  <c r="AI317" i="9"/>
  <c r="AI409" i="9"/>
  <c r="AI357" i="9"/>
  <c r="AI516" i="9"/>
  <c r="AI532" i="9"/>
  <c r="AI193" i="9"/>
  <c r="AI400" i="9"/>
  <c r="AI205" i="9"/>
  <c r="AI213" i="9"/>
  <c r="AI202" i="9"/>
  <c r="AI380" i="9"/>
  <c r="AI211" i="9"/>
  <c r="AI427" i="9"/>
  <c r="AI307" i="9"/>
  <c r="AI331" i="9"/>
  <c r="AI332" i="9"/>
  <c r="AI251" i="9"/>
  <c r="AI325" i="9"/>
  <c r="AI326" i="9"/>
  <c r="AI483" i="9"/>
  <c r="AK484" i="9" s="1"/>
  <c r="AI455" i="9"/>
  <c r="AI407" i="9"/>
  <c r="AI222" i="9"/>
  <c r="AI500" i="9"/>
  <c r="AI550" i="9"/>
  <c r="AI368" i="9"/>
  <c r="AI435" i="9"/>
  <c r="AI422" i="9"/>
  <c r="AI454" i="9"/>
  <c r="AI501" i="9"/>
  <c r="AI467" i="9"/>
  <c r="AI196" i="9"/>
  <c r="AI309" i="9"/>
  <c r="AI442" i="9"/>
  <c r="AI376" i="9"/>
  <c r="AI413" i="9"/>
  <c r="AI527" i="9"/>
  <c r="AI319" i="9"/>
  <c r="AI468" i="9"/>
  <c r="AI330" i="9"/>
  <c r="AI471" i="9"/>
  <c r="AI540" i="9"/>
  <c r="AI372" i="9"/>
  <c r="AI482" i="9"/>
  <c r="AI430" i="9"/>
  <c r="AI218" i="9"/>
  <c r="AI186" i="9"/>
  <c r="AI256" i="9"/>
  <c r="AI453" i="9"/>
  <c r="AI263" i="9"/>
  <c r="AK264" i="9" s="1"/>
  <c r="AI488" i="9"/>
  <c r="AI517" i="9"/>
  <c r="AI214" i="9"/>
  <c r="AI338" i="9"/>
  <c r="AI250" i="9"/>
  <c r="AI460" i="9"/>
  <c r="AI253" i="9"/>
  <c r="AI555" i="9"/>
  <c r="AI492" i="9"/>
  <c r="AI200" i="9"/>
  <c r="AI511" i="9"/>
  <c r="AI449" i="9"/>
  <c r="AI462" i="9"/>
  <c r="AI382" i="9"/>
  <c r="AI408" i="9"/>
  <c r="AI346" i="9"/>
  <c r="AI529" i="9"/>
  <c r="AK530" i="9" s="1"/>
  <c r="AI522" i="9"/>
  <c r="AI521" i="9"/>
  <c r="AI353" i="9"/>
  <c r="AI315" i="9"/>
  <c r="AI447" i="9"/>
  <c r="AI365" i="9"/>
  <c r="AI461" i="9"/>
  <c r="AI548" i="9"/>
  <c r="AI509" i="9"/>
  <c r="AI429" i="9"/>
  <c r="AI339" i="9"/>
  <c r="AI371" i="9"/>
  <c r="AI549" i="9"/>
  <c r="AI318" i="9"/>
  <c r="AI221" i="9"/>
  <c r="AI436" i="9"/>
  <c r="AI546" i="9"/>
  <c r="AI212" i="9"/>
  <c r="AI472" i="9"/>
  <c r="AI347" i="9"/>
  <c r="AI551" i="9"/>
  <c r="AI474" i="9"/>
  <c r="AI195" i="9"/>
  <c r="AI360" i="9"/>
  <c r="AI210" i="9"/>
  <c r="AI363" i="9"/>
  <c r="AK364" i="9" s="1"/>
  <c r="AI443" i="9"/>
  <c r="AK444" i="9" s="1"/>
  <c r="AI343" i="9"/>
  <c r="AK344" i="9" s="1"/>
  <c r="AI537" i="9"/>
  <c r="AI515" i="9"/>
  <c r="AI220" i="9"/>
  <c r="AI191" i="9"/>
  <c r="AI188" i="9"/>
  <c r="AI355" i="9"/>
  <c r="AI185" i="9"/>
  <c r="AI260" i="9"/>
  <c r="AI207" i="9"/>
  <c r="AI480" i="9"/>
  <c r="AI458" i="9"/>
  <c r="AI414" i="9"/>
  <c r="AI554" i="9"/>
  <c r="AI258" i="9"/>
  <c r="AI438" i="9"/>
  <c r="AI252" i="9"/>
  <c r="AI370" i="9"/>
  <c r="AI261" i="9"/>
  <c r="AI498" i="9"/>
  <c r="AI441" i="9"/>
  <c r="AI356" i="9"/>
  <c r="AI322" i="9"/>
  <c r="AI336" i="9"/>
  <c r="AI510" i="9"/>
  <c r="AI505" i="9"/>
  <c r="AI259" i="9"/>
  <c r="AI466" i="9"/>
  <c r="AI525" i="9"/>
  <c r="AI420" i="9"/>
  <c r="AI206" i="9"/>
  <c r="AI254" i="9"/>
  <c r="AI406" i="9"/>
  <c r="AI199" i="9"/>
  <c r="AI561" i="9"/>
  <c r="AI552" i="9"/>
  <c r="AI491" i="9"/>
  <c r="AI262" i="9"/>
  <c r="AI354" i="9"/>
  <c r="AI351" i="9"/>
  <c r="AI432" i="9"/>
  <c r="AI465" i="9"/>
  <c r="AI379" i="9"/>
  <c r="AI320" i="9"/>
  <c r="AI377" i="9"/>
  <c r="AI341" i="9"/>
  <c r="AI345" i="9"/>
  <c r="AI476" i="9"/>
  <c r="AI333" i="9"/>
  <c r="AI349" i="9"/>
  <c r="AI526" i="9"/>
  <c r="AI470" i="9"/>
  <c r="AI481" i="9"/>
  <c r="AI187" i="9"/>
  <c r="AI306" i="9"/>
  <c r="AI448" i="9"/>
  <c r="AI340" i="9"/>
  <c r="AI421" i="9"/>
  <c r="AI403" i="9"/>
  <c r="AK404" i="9" s="1"/>
  <c r="AI457" i="9"/>
  <c r="AI506" i="9"/>
  <c r="AI547" i="9"/>
  <c r="AI190" i="9"/>
  <c r="AI313" i="9"/>
  <c r="AI201" i="9"/>
  <c r="AI494" i="9"/>
  <c r="AI245" i="9"/>
  <c r="AI359" i="9"/>
  <c r="AI312" i="9"/>
  <c r="AI366" i="9"/>
  <c r="AI415" i="9"/>
  <c r="AI255" i="9"/>
  <c r="AI514" i="9"/>
  <c r="AI523" i="9"/>
  <c r="AK524" i="9" s="1"/>
  <c r="AI459" i="9"/>
  <c r="AI440" i="9"/>
  <c r="AI496" i="9"/>
  <c r="AI493" i="9"/>
  <c r="AI533" i="9"/>
  <c r="AI541" i="9"/>
  <c r="AI495" i="9"/>
  <c r="AI445" i="9"/>
  <c r="AI248" i="9"/>
  <c r="AI411" i="9"/>
  <c r="AI507" i="9"/>
  <c r="AI499" i="9"/>
  <c r="AI369" i="9"/>
  <c r="AI209" i="9"/>
  <c r="AI311" i="9"/>
  <c r="AI451" i="9"/>
  <c r="AK452" i="9" s="1"/>
  <c r="AI536" i="9"/>
  <c r="AI545" i="9"/>
  <c r="AI463" i="9"/>
  <c r="AK464" i="9" s="1"/>
  <c r="AI350" i="9"/>
  <c r="AI208" i="9"/>
  <c r="AI198" i="9"/>
  <c r="AI316" i="9"/>
  <c r="AJ6" i="9"/>
  <c r="AJ57" i="9"/>
  <c r="AI57" i="9" s="1"/>
  <c r="AK58" i="9" s="1"/>
  <c r="AJ60" i="9"/>
  <c r="AI60" i="9" s="1"/>
  <c r="AK61" i="9" s="1"/>
  <c r="AJ389" i="9"/>
  <c r="AI389" i="9" s="1"/>
  <c r="AJ62" i="9"/>
  <c r="AI62" i="9" s="1"/>
  <c r="AJ55" i="9"/>
  <c r="AI55" i="9" s="1"/>
  <c r="AK56" i="9" s="1"/>
  <c r="AJ68" i="9"/>
  <c r="AI68" i="9" s="1"/>
  <c r="AJ59" i="9"/>
  <c r="AI59" i="9" s="1"/>
  <c r="AJ386" i="9"/>
  <c r="AI386" i="9" s="1"/>
  <c r="AK386" i="9" s="1"/>
  <c r="AJ396" i="9"/>
  <c r="AI396" i="9" s="1"/>
  <c r="AK397" i="9" s="1"/>
  <c r="AJ71" i="9"/>
  <c r="AI71" i="9" s="1"/>
  <c r="AK72" i="9" s="1"/>
  <c r="AJ76" i="9"/>
  <c r="AI76" i="9" s="1"/>
  <c r="AJ77" i="9"/>
  <c r="AI77" i="9" s="1"/>
  <c r="AJ74" i="9"/>
  <c r="AI74" i="9" s="1"/>
  <c r="AK75" i="9" s="1"/>
  <c r="AJ394" i="9"/>
  <c r="AI394" i="9" s="1"/>
  <c r="AK395" i="9" s="1"/>
  <c r="AJ38" i="9"/>
  <c r="AI38" i="9" s="1"/>
  <c r="AK38" i="9" s="1"/>
  <c r="AJ63" i="9"/>
  <c r="AI63" i="9" s="1"/>
  <c r="AK64" i="9" s="1"/>
  <c r="AJ27" i="9"/>
  <c r="AI27" i="9" s="1"/>
  <c r="AK27" i="9" s="1"/>
  <c r="AJ46" i="9"/>
  <c r="AI46" i="9" s="1"/>
  <c r="AJ30" i="9"/>
  <c r="AI30" i="9" s="1"/>
  <c r="AK31" i="9" s="1"/>
  <c r="AJ47" i="9"/>
  <c r="AI47" i="9" s="1"/>
  <c r="AJ53" i="9"/>
  <c r="AI53" i="9" s="1"/>
  <c r="AJ398" i="9"/>
  <c r="AI398" i="9" s="1"/>
  <c r="AJ39" i="9"/>
  <c r="AI39" i="9" s="1"/>
  <c r="AK40" i="9" s="1"/>
  <c r="AJ45" i="9"/>
  <c r="AI45" i="9" s="1"/>
  <c r="AJ390" i="9"/>
  <c r="AI390" i="9" s="1"/>
  <c r="AK391" i="9" s="1"/>
  <c r="AJ80" i="9"/>
  <c r="AI80" i="9" s="1"/>
  <c r="AK81" i="9" s="1"/>
  <c r="AJ393" i="9"/>
  <c r="AI393" i="9" s="1"/>
  <c r="AJ69" i="9"/>
  <c r="AI69" i="9" s="1"/>
  <c r="AK70" i="9" s="1"/>
  <c r="AJ32" i="9"/>
  <c r="AI32" i="9" s="1"/>
  <c r="AK33" i="9" s="1"/>
  <c r="AJ54" i="9"/>
  <c r="AI54" i="9" s="1"/>
  <c r="AJ66" i="9"/>
  <c r="AI66" i="9" s="1"/>
  <c r="AK67" i="9" s="1"/>
  <c r="AJ29" i="9"/>
  <c r="AI29" i="9" s="1"/>
  <c r="AJ25" i="9"/>
  <c r="AJ36" i="9"/>
  <c r="AI36" i="9" s="1"/>
  <c r="AK37" i="9" s="1"/>
  <c r="AJ49" i="9"/>
  <c r="AI49" i="9" s="1"/>
  <c r="AK50" i="9" s="1"/>
  <c r="AJ34" i="9"/>
  <c r="AI34" i="9" s="1"/>
  <c r="AK35" i="9" s="1"/>
  <c r="AJ78" i="9"/>
  <c r="AI78" i="9" s="1"/>
  <c r="AK79" i="9" s="1"/>
  <c r="AJ28" i="9"/>
  <c r="AI28" i="9" s="1"/>
  <c r="AJ42" i="9"/>
  <c r="AI42" i="9" s="1"/>
  <c r="AK43" i="9" s="1"/>
  <c r="AJ52" i="9"/>
  <c r="AI52" i="9" s="1"/>
  <c r="AJ48" i="9"/>
  <c r="AI48" i="9" s="1"/>
  <c r="AJ41" i="9"/>
  <c r="AI41" i="9" s="1"/>
  <c r="AJ387" i="9"/>
  <c r="AI387" i="9" s="1"/>
  <c r="AK388" i="9" s="1"/>
  <c r="AJ22" i="9"/>
  <c r="AJ10" i="9"/>
  <c r="AJ11" i="9"/>
  <c r="AJ19" i="9"/>
  <c r="AJ18" i="9"/>
  <c r="AJ16" i="9"/>
  <c r="AJ20" i="9"/>
  <c r="AJ7" i="9"/>
  <c r="AJ15" i="9"/>
  <c r="AJ17" i="9"/>
  <c r="AJ23" i="9"/>
  <c r="AJ13" i="9"/>
  <c r="AJ8" i="9"/>
  <c r="AJ12" i="9"/>
  <c r="AK552" i="9" l="1"/>
  <c r="AK542" i="9"/>
  <c r="AK503" i="9"/>
  <c r="AK548" i="9"/>
  <c r="AK555" i="9"/>
  <c r="AK550" i="9"/>
  <c r="AK557" i="9"/>
  <c r="AK490" i="9"/>
  <c r="AK433" i="9"/>
  <c r="AK536" i="9"/>
  <c r="AK553" i="9"/>
  <c r="AK409" i="9"/>
  <c r="AK522" i="9"/>
  <c r="AK561" i="9"/>
  <c r="AK559" i="9"/>
  <c r="AK533" i="9"/>
  <c r="AK563" i="9"/>
  <c r="AK437" i="9"/>
  <c r="AK546" i="9"/>
  <c r="AK545" i="9"/>
  <c r="AK556" i="9"/>
  <c r="AK543" i="9"/>
  <c r="AK519" i="9"/>
  <c r="AK547" i="9"/>
  <c r="AK539" i="9"/>
  <c r="AK549" i="9"/>
  <c r="AK537" i="9"/>
  <c r="AK527" i="9"/>
  <c r="AK562" i="9"/>
  <c r="AK516" i="9"/>
  <c r="AK551" i="9"/>
  <c r="AK560" i="9"/>
  <c r="AK554" i="9"/>
  <c r="AK558" i="9"/>
  <c r="AK534" i="9"/>
  <c r="AK449" i="9"/>
  <c r="AK500" i="9"/>
  <c r="AK511" i="9"/>
  <c r="AK538" i="9"/>
  <c r="AK528" i="9"/>
  <c r="AK532" i="9"/>
  <c r="AK535" i="9"/>
  <c r="AK529" i="9"/>
  <c r="AK541" i="9"/>
  <c r="AK540" i="9"/>
  <c r="AK508" i="9"/>
  <c r="AK525" i="9"/>
  <c r="AK526" i="9"/>
  <c r="AK480" i="9"/>
  <c r="AK517" i="9"/>
  <c r="AK496" i="9"/>
  <c r="AK467" i="9"/>
  <c r="AK514" i="9"/>
  <c r="AK531" i="9"/>
  <c r="AK513" i="9"/>
  <c r="AK521" i="9"/>
  <c r="AK491" i="9"/>
  <c r="AK510" i="9"/>
  <c r="AK439" i="9"/>
  <c r="AK523" i="9"/>
  <c r="AK512" i="9"/>
  <c r="AK520" i="9"/>
  <c r="AK441" i="9"/>
  <c r="AK506" i="9"/>
  <c r="AK505" i="9"/>
  <c r="AK498" i="9"/>
  <c r="AK515" i="9"/>
  <c r="AK507" i="9"/>
  <c r="AK493" i="9"/>
  <c r="AK518" i="9"/>
  <c r="AK502" i="9"/>
  <c r="AK509" i="9"/>
  <c r="AK476" i="9"/>
  <c r="AK456" i="9"/>
  <c r="AK482" i="9"/>
  <c r="AK454" i="9"/>
  <c r="AK495" i="9"/>
  <c r="AK492" i="9"/>
  <c r="AK499" i="9"/>
  <c r="AK462" i="9"/>
  <c r="AK472" i="9"/>
  <c r="AK489" i="9"/>
  <c r="AK488" i="9"/>
  <c r="AK494" i="9"/>
  <c r="AK481" i="9"/>
  <c r="AK469" i="9"/>
  <c r="AK497" i="9"/>
  <c r="AK341" i="9"/>
  <c r="AK501" i="9"/>
  <c r="AK487" i="9"/>
  <c r="AK486" i="9"/>
  <c r="AK485" i="9"/>
  <c r="AK466" i="9"/>
  <c r="AK465" i="9"/>
  <c r="AK479" i="9"/>
  <c r="AK478" i="9"/>
  <c r="AK477" i="9"/>
  <c r="AK430" i="9"/>
  <c r="AK470" i="9"/>
  <c r="AK475" i="9"/>
  <c r="AK407" i="9"/>
  <c r="AK468" i="9"/>
  <c r="AK474" i="9"/>
  <c r="AK390" i="9"/>
  <c r="AK458" i="9"/>
  <c r="AK471" i="9"/>
  <c r="AK442" i="9"/>
  <c r="AK483" i="9"/>
  <c r="AK451" i="9"/>
  <c r="AK427" i="9"/>
  <c r="AK473" i="9"/>
  <c r="AK455" i="9"/>
  <c r="AK461" i="9"/>
  <c r="AK448" i="9"/>
  <c r="AK453" i="9"/>
  <c r="AK447" i="9"/>
  <c r="AK383" i="9"/>
  <c r="AK431" i="9"/>
  <c r="AK423" i="9"/>
  <c r="AK459" i="9"/>
  <c r="AK348" i="9"/>
  <c r="AK463" i="9"/>
  <c r="AK436" i="9"/>
  <c r="AK460" i="9"/>
  <c r="AK380" i="9"/>
  <c r="AK412" i="9"/>
  <c r="AK446" i="9"/>
  <c r="AK445" i="9"/>
  <c r="AK416" i="9"/>
  <c r="AK450" i="9"/>
  <c r="AK428" i="9"/>
  <c r="AK434" i="9"/>
  <c r="AK440" i="9"/>
  <c r="AK457" i="9"/>
  <c r="AK362" i="9"/>
  <c r="AK435" i="9"/>
  <c r="AK426" i="9"/>
  <c r="AK425" i="9"/>
  <c r="AK399" i="9"/>
  <c r="AK377" i="9"/>
  <c r="AK432" i="9"/>
  <c r="AK438" i="9"/>
  <c r="AK419" i="9"/>
  <c r="AK421" i="9"/>
  <c r="AK331" i="9"/>
  <c r="AK443" i="9"/>
  <c r="AK429" i="9"/>
  <c r="AK411" i="9"/>
  <c r="AK417" i="9"/>
  <c r="AK319" i="9"/>
  <c r="AK413" i="9"/>
  <c r="AK406" i="9"/>
  <c r="AK405" i="9"/>
  <c r="AK422" i="9"/>
  <c r="AK408" i="9"/>
  <c r="AK403" i="9"/>
  <c r="AK372" i="9"/>
  <c r="AK410" i="9"/>
  <c r="AK418" i="9"/>
  <c r="AK396" i="9"/>
  <c r="AK360" i="9"/>
  <c r="AK415" i="9"/>
  <c r="AK401" i="9"/>
  <c r="AK414" i="9"/>
  <c r="AK420" i="9"/>
  <c r="AK402" i="9"/>
  <c r="AK355" i="9"/>
  <c r="AK379" i="9"/>
  <c r="AK375" i="9"/>
  <c r="AK389" i="9"/>
  <c r="AK371" i="9"/>
  <c r="AK394" i="9"/>
  <c r="AK400" i="9"/>
  <c r="AK393" i="9"/>
  <c r="AK387" i="9"/>
  <c r="AK370" i="9"/>
  <c r="AK367" i="9"/>
  <c r="AK333" i="9"/>
  <c r="AK359" i="9"/>
  <c r="AK382" i="9"/>
  <c r="AK398" i="9"/>
  <c r="AK366" i="9"/>
  <c r="AK365" i="9"/>
  <c r="AK369" i="9"/>
  <c r="AK358" i="9"/>
  <c r="AK316" i="9"/>
  <c r="AK374" i="9"/>
  <c r="AK378" i="9"/>
  <c r="AK352" i="9"/>
  <c r="AK350" i="9"/>
  <c r="AK339" i="9"/>
  <c r="AK373" i="9"/>
  <c r="AK310" i="9"/>
  <c r="AK328" i="9"/>
  <c r="AK251" i="9"/>
  <c r="AK381" i="9"/>
  <c r="AK368" i="9"/>
  <c r="AK376" i="9"/>
  <c r="AK349" i="9"/>
  <c r="AK317" i="9"/>
  <c r="AK314" i="9"/>
  <c r="AK334" i="9"/>
  <c r="AK361" i="9"/>
  <c r="AK327" i="9"/>
  <c r="AK347" i="9"/>
  <c r="AK363" i="9"/>
  <c r="AK351" i="9"/>
  <c r="AK346" i="9"/>
  <c r="AK345" i="9"/>
  <c r="AK323" i="9"/>
  <c r="AK356" i="9"/>
  <c r="AK354" i="9"/>
  <c r="AK260" i="9"/>
  <c r="AK357" i="9"/>
  <c r="AK336" i="9"/>
  <c r="AK353" i="9"/>
  <c r="AK332" i="9"/>
  <c r="AK338" i="9"/>
  <c r="AK330" i="9"/>
  <c r="AK343" i="9"/>
  <c r="AK312" i="9"/>
  <c r="AK249" i="9"/>
  <c r="AK340" i="9"/>
  <c r="AK326" i="9"/>
  <c r="AK325" i="9"/>
  <c r="AK329" i="9"/>
  <c r="AK308" i="9"/>
  <c r="AK342" i="9"/>
  <c r="AK337" i="9"/>
  <c r="AK335" i="9"/>
  <c r="AK321" i="9"/>
  <c r="AK311" i="9"/>
  <c r="AK307" i="9"/>
  <c r="AK313" i="9"/>
  <c r="AK188" i="9"/>
  <c r="AK315" i="9"/>
  <c r="AK322" i="9"/>
  <c r="AK320" i="9"/>
  <c r="AK318" i="9"/>
  <c r="AK306" i="9"/>
  <c r="AK305" i="9"/>
  <c r="AK309" i="9"/>
  <c r="AK222" i="9"/>
  <c r="AK256" i="9"/>
  <c r="AK196" i="9"/>
  <c r="AK190" i="9"/>
  <c r="AK55" i="9"/>
  <c r="AK210" i="9"/>
  <c r="AK263" i="9"/>
  <c r="AK259" i="9"/>
  <c r="AK255" i="9"/>
  <c r="AK208" i="9"/>
  <c r="AK223" i="9"/>
  <c r="AK254" i="9"/>
  <c r="AK247" i="9"/>
  <c r="AK262" i="9"/>
  <c r="AK261" i="9"/>
  <c r="AK252" i="9"/>
  <c r="AK246" i="9"/>
  <c r="AK245" i="9"/>
  <c r="AK253" i="9"/>
  <c r="AK216" i="9"/>
  <c r="AK258" i="9"/>
  <c r="AK212" i="9"/>
  <c r="AK257" i="9"/>
  <c r="AK248" i="9"/>
  <c r="AK198" i="9"/>
  <c r="AK250" i="9"/>
  <c r="AK201" i="9"/>
  <c r="AK187" i="9"/>
  <c r="AK220" i="9"/>
  <c r="AK219" i="9"/>
  <c r="AK199" i="9"/>
  <c r="AK207" i="9"/>
  <c r="AK217" i="9"/>
  <c r="AK203" i="9"/>
  <c r="AK191" i="9"/>
  <c r="AK194" i="9"/>
  <c r="AK221" i="9"/>
  <c r="AK215" i="9"/>
  <c r="AK213" i="9"/>
  <c r="AK206" i="9"/>
  <c r="AK205" i="9"/>
  <c r="AK127" i="9"/>
  <c r="AK209" i="9"/>
  <c r="AK214" i="9"/>
  <c r="AK211" i="9"/>
  <c r="AK218" i="9"/>
  <c r="AK186" i="9"/>
  <c r="AK185" i="9"/>
  <c r="AK202" i="9"/>
  <c r="AK195" i="9"/>
  <c r="AK193" i="9"/>
  <c r="AK200" i="9"/>
  <c r="AK189" i="9"/>
  <c r="AK197" i="9"/>
  <c r="AK192" i="9"/>
  <c r="AK128" i="9"/>
  <c r="AK129" i="9"/>
  <c r="AK130" i="9"/>
  <c r="AK126" i="9"/>
  <c r="AK125" i="9"/>
  <c r="AK69" i="9"/>
  <c r="AK132" i="9"/>
  <c r="AK134" i="9"/>
  <c r="AK48" i="9"/>
  <c r="AK63" i="9"/>
  <c r="AK77" i="9"/>
  <c r="AK71" i="9"/>
  <c r="AK32" i="9"/>
  <c r="AK76" i="9"/>
  <c r="AK66" i="9"/>
  <c r="AK78" i="9"/>
  <c r="AK68" i="9"/>
  <c r="AK53" i="9"/>
  <c r="AK80" i="9"/>
  <c r="AK74" i="9"/>
  <c r="AK49" i="9"/>
  <c r="AK62" i="9"/>
  <c r="AK60" i="9"/>
  <c r="AK52" i="9"/>
  <c r="AK59" i="9"/>
  <c r="AK47" i="9"/>
  <c r="AK30" i="9"/>
  <c r="AK46" i="9"/>
  <c r="AK45" i="9"/>
  <c r="AK54" i="9"/>
  <c r="AK57" i="9"/>
  <c r="AK42" i="9"/>
  <c r="AK28" i="9"/>
  <c r="AK39" i="9"/>
  <c r="AK34" i="9"/>
  <c r="AK36" i="9"/>
  <c r="AK29" i="9"/>
  <c r="AK41" i="9"/>
  <c r="AI6" i="9"/>
  <c r="AI15" i="9"/>
  <c r="AK15" i="9" s="1"/>
  <c r="AI22" i="9"/>
  <c r="AK22" i="9" s="1"/>
  <c r="AI19" i="9"/>
  <c r="AI11" i="9"/>
  <c r="AI17" i="9"/>
  <c r="AI13" i="9"/>
  <c r="AK14" i="9" s="1"/>
  <c r="AI7" i="9"/>
  <c r="AI12" i="9"/>
  <c r="AI16" i="9"/>
  <c r="AI23" i="9"/>
  <c r="AK24" i="9" s="1"/>
  <c r="AI10" i="9"/>
  <c r="AI20" i="9"/>
  <c r="AK21" i="9" s="1"/>
  <c r="AI8" i="9"/>
  <c r="AK9" i="9" s="1"/>
  <c r="AI18" i="9"/>
  <c r="AI25" i="9"/>
  <c r="AK17" i="9" l="1"/>
  <c r="AK8" i="9"/>
  <c r="AK26" i="9"/>
  <c r="AK25" i="9"/>
  <c r="AK13" i="9"/>
  <c r="AK7" i="9"/>
  <c r="AK12" i="9"/>
  <c r="AK11" i="9"/>
  <c r="AK20" i="9"/>
  <c r="AK23" i="9"/>
  <c r="AK16" i="9"/>
  <c r="AK6" i="9"/>
  <c r="AK19" i="9"/>
  <c r="AK18" i="9"/>
  <c r="AK10" i="9"/>
</calcChain>
</file>

<file path=xl/sharedStrings.xml><?xml version="1.0" encoding="utf-8"?>
<sst xmlns="http://schemas.openxmlformats.org/spreadsheetml/2006/main" count="6063" uniqueCount="1230">
  <si>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</si>
  <si>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</si>
  <si>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</si>
  <si>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</si>
  <si>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</si>
  <si>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</si>
  <si>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</si>
  <si>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</si>
  <si>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</si>
  <si>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</si>
  <si>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</si>
  <si>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</si>
  <si>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</si>
  <si>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</si>
  <si>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</si>
  <si>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</si>
  <si>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</si>
  <si>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</si>
  <si>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</si>
  <si>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</si>
  <si>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</si>
  <si>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</si>
  <si>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</si>
  <si>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</si>
  <si>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</si>
  <si>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</si>
  <si>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</si>
  <si>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</si>
  <si>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</si>
  <si>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</si>
  <si>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</si>
  <si>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</si>
  <si>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</si>
  <si>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</si>
  <si>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</si>
  <si>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</si>
  <si>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</si>
  <si>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</si>
  <si>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</si>
  <si>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</si>
  <si>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</si>
  <si>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</si>
  <si>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</si>
  <si>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</si>
  <si>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</si>
  <si>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</si>
  <si>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</si>
  <si>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</si>
  <si>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</si>
  <si>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</si>
  <si>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</si>
  <si>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</si>
  <si>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</si>
  <si>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</si>
  <si>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</si>
  <si>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</si>
  <si>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</si>
  <si>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</si>
  <si>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</si>
  <si>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</si>
  <si>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</si>
  <si>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</si>
  <si>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</si>
  <si>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</si>
  <si>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</si>
  <si>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</si>
  <si>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</si>
  <si>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</si>
  <si>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</si>
  <si>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</si>
  <si>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</si>
  <si>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</si>
  <si>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</si>
  <si>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</si>
  <si>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</si>
  <si>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</si>
  <si>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</si>
  <si>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</si>
  <si>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</si>
  <si>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</si>
  <si>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</si>
  <si>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</si>
  <si>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</si>
  <si>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</si>
  <si>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</si>
  <si>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</si>
  <si>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</si>
  <si>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</si>
  <si>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</si>
  <si>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</si>
  <si>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</si>
  <si>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</si>
  <si>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</si>
  <si>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</si>
  <si>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</si>
  <si>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</si>
  <si>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</si>
  <si>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</si>
  <si>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</si>
  <si>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</si>
  <si>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</si>
  <si>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</si>
  <si>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</si>
  <si>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</si>
  <si>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</si>
  <si>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</si>
  <si>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</si>
  <si>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</si>
  <si>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</si>
  <si>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</si>
  <si>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</si>
  <si>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</si>
  <si>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</si>
  <si>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</si>
  <si>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</si>
  <si>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</si>
  <si>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</si>
  <si>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</si>
  <si>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</si>
  <si>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</si>
  <si>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</si>
  <si>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</si>
  <si>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</si>
  <si>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</si>
  <si>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</si>
  <si>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</si>
  <si>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</si>
  <si>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</si>
  <si>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</si>
  <si>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</si>
  <si>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</si>
  <si>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</si>
  <si>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</si>
  <si>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</si>
  <si>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</si>
  <si>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</si>
  <si>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</si>
  <si>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</si>
  <si>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</si>
  <si>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</si>
  <si>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</si>
  <si>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</si>
  <si>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</si>
  <si>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</si>
  <si>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</si>
  <si>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</si>
  <si>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</si>
  <si>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</si>
  <si>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</si>
  <si>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</si>
  <si>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</si>
  <si>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</si>
  <si>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</si>
  <si>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</si>
  <si>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</si>
  <si>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</si>
  <si>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</si>
  <si>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</si>
  <si>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</si>
  <si>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</si>
  <si>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</si>
  <si>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</si>
  <si>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</si>
  <si>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</si>
  <si>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</si>
  <si>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</si>
  <si>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</si>
  <si>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</si>
  <si>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</si>
  <si>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</si>
  <si>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</si>
  <si>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</si>
  <si>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</si>
  <si>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</si>
  <si>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</si>
  <si>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</si>
  <si>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</si>
  <si>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</si>
  <si>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</si>
  <si>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</si>
  <si>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</si>
  <si>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</si>
  <si>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</si>
  <si>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</si>
  <si>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</si>
  <si>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</si>
  <si>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</si>
  <si>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</si>
  <si>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</si>
  <si>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</si>
  <si>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</si>
  <si>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</si>
  <si>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</si>
  <si>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</si>
  <si>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</si>
  <si>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</si>
  <si>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</si>
  <si>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</si>
  <si>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</si>
  <si>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</si>
  <si>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</si>
  <si>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</si>
  <si>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</si>
  <si>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</si>
  <si>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</si>
  <si>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</si>
  <si>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</si>
  <si>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</si>
  <si>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</si>
  <si>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</si>
  <si>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</si>
  <si>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</si>
  <si>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</si>
  <si>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</si>
  <si>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</si>
  <si>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</si>
  <si>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</si>
  <si>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</si>
  <si>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</si>
  <si>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</si>
  <si>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</si>
  <si>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</si>
  <si>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</si>
  <si>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</si>
  <si>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</si>
  <si>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</si>
  <si>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</si>
  <si>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</si>
  <si>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</si>
  <si>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</si>
  <si>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</si>
  <si>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</si>
  <si>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</si>
  <si>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</si>
  <si>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</si>
  <si>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</si>
  <si>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</si>
  <si>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</si>
  <si>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</si>
  <si>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</si>
  <si>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</si>
  <si>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</si>
  <si>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</si>
  <si>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</si>
  <si>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</si>
  <si>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</si>
  <si>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</si>
  <si>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</si>
  <si>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</si>
  <si>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</si>
  <si>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</si>
  <si>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</si>
  <si>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</si>
  <si>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</si>
  <si>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</si>
  <si>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</si>
  <si>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</si>
  <si>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</si>
  <si>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</si>
  <si>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</si>
  <si>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</si>
  <si>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</si>
  <si>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</si>
  <si>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</si>
  <si>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</si>
  <si>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</si>
  <si>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</si>
  <si>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</si>
  <si>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</si>
  <si>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</si>
  <si>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</si>
  <si>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</si>
  <si>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</si>
  <si>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</si>
  <si>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</si>
  <si>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</si>
  <si>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</si>
  <si>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</si>
  <si>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</si>
  <si>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</si>
  <si>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</si>
  <si>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</si>
  <si>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</si>
  <si>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</si>
  <si>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</si>
  <si>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</si>
  <si>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</si>
  <si>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</si>
  <si>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</si>
  <si>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</si>
  <si>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</si>
  <si>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</si>
  <si>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</si>
  <si>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</si>
  <si>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</si>
  <si>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</si>
  <si>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</si>
  <si>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</si>
  <si>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</si>
  <si>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</si>
  <si>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</si>
  <si>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</si>
  <si>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</si>
  <si>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</si>
  <si>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</si>
  <si>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</si>
  <si>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</si>
  <si>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</si>
  <si>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</si>
  <si>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</si>
  <si>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</si>
  <si>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</si>
  <si>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</si>
  <si>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</si>
  <si>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</si>
  <si>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</si>
  <si>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</si>
  <si>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</si>
  <si>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</si>
  <si>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</si>
  <si>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</si>
  <si>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</si>
  <si>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</si>
  <si>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</si>
  <si>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</si>
  <si>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</si>
  <si>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</si>
  <si>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</si>
  <si>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</si>
  <si>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</si>
  <si>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</si>
  <si>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</si>
  <si>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</si>
  <si>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</si>
  <si>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</si>
  <si>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</si>
  <si>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</si>
  <si>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</si>
  <si>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</si>
  <si>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</si>
  <si>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</si>
  <si>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</si>
  <si>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</si>
  <si>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</si>
  <si>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</si>
  <si>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</si>
  <si>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</si>
  <si>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</si>
  <si>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</si>
  <si>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</si>
  <si>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</si>
  <si>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</si>
  <si>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</si>
  <si>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</si>
  <si>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</si>
  <si>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</si>
  <si>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</si>
  <si>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3" type="noConversion"/>
  </si>
  <si>
    <t>水果园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</si>
  <si>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</si>
  <si>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</si>
  <si>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</si>
  <si>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</si>
  <si>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</si>
  <si>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</si>
  <si>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</si>
  <si>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</si>
  <si>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</si>
  <si>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</si>
  <si>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</si>
  <si>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</si>
  <si>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</si>
  <si>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</si>
  <si>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</si>
  <si>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水果园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</si>
  <si>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</si>
  <si>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</si>
  <si>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</si>
  <si>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</si>
  <si>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M134</t>
  </si>
  <si>
    <t>M134</t>
    <phoneticPr fontId="13" type="noConversion"/>
  </si>
  <si>
    <t>GAU-8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</si>
  <si>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</si>
  <si>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</si>
  <si>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</si>
  <si>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</si>
  <si>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</si>
  <si>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</si>
  <si>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</si>
  <si>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</si>
  <si>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</si>
  <si>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</si>
  <si>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</si>
  <si>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</si>
  <si>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</si>
  <si>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</si>
  <si>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</si>
  <si>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</si>
  <si>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</si>
  <si>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</si>
  <si>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</si>
  <si>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</si>
  <si>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</si>
  <si>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</si>
  <si>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</si>
  <si>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</si>
  <si>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</si>
  <si>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</si>
  <si>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</si>
  <si>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</si>
  <si>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</si>
  <si>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</si>
  <si>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</si>
  <si>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</si>
  <si>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</si>
  <si>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</si>
  <si>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</si>
  <si>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</si>
  <si>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</si>
  <si>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</si>
  <si>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</si>
  <si>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</si>
  <si>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</si>
  <si>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</si>
  <si>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</si>
  <si>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</si>
  <si>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</si>
  <si>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</si>
  <si>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</si>
  <si>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</si>
  <si>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</si>
  <si>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</si>
  <si>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</si>
  <si>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</si>
  <si>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</si>
  <si>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</si>
  <si>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</si>
  <si>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</si>
  <si>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</si>
  <si>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铁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</si>
  <si>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</si>
  <si>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</si>
  <si>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</si>
  <si>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</si>
  <si>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</si>
  <si>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</si>
  <si>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铁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</si>
  <si>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</si>
  <si>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</si>
  <si>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</si>
  <si>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</si>
  <si>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</si>
  <si>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</si>
  <si>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</si>
  <si>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</si>
  <si>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</si>
  <si>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</si>
  <si>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</si>
  <si>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</si>
  <si>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</si>
  <si>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</si>
  <si>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</si>
  <si>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</si>
  <si>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</si>
  <si>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</si>
  <si>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</si>
  <si>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</si>
  <si>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</si>
  <si>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</si>
  <si>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</si>
  <si>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</si>
  <si>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</si>
  <si>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</si>
  <si>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</si>
  <si>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</si>
  <si>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机炮设计图</t>
  </si>
  <si>
    <t>《马克沁传》</t>
  </si>
  <si>
    <t>《马克沁传》</t>
    <phoneticPr fontId="13" type="noConversion"/>
  </si>
  <si>
    <t>《加特林传》</t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</si>
  <si>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</si>
  <si>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</si>
  <si>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</si>
  <si>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</si>
  <si>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</si>
  <si>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</si>
  <si>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</si>
  <si>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</si>
  <si>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</si>
  <si>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</si>
  <si>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</si>
  <si>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</si>
  <si>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</si>
  <si>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</si>
  <si>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</si>
  <si>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</si>
  <si>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</si>
  <si>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</si>
  <si>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</si>
  <si>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</si>
  <si>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</si>
  <si>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</si>
  <si>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</si>
  <si>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</si>
  <si>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</si>
  <si>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</si>
  <si>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</si>
  <si>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</si>
  <si>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</si>
  <si>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</si>
  <si>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</si>
  <si>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</si>
  <si>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</si>
  <si>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</si>
  <si>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</si>
  <si>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</si>
  <si>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</si>
  <si>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</si>
  <si>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</si>
  <si>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</si>
  <si>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</si>
  <si>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</si>
  <si>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JSFADIANJI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</si>
  <si>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</si>
  <si>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</si>
  <si>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</si>
  <si>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</si>
  <si>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</si>
  <si>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</si>
  <si>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</si>
  <si>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</si>
  <si>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</si>
  <si>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</si>
  <si>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</si>
  <si>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</si>
  <si>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</si>
  <si>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</si>
  <si>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</si>
  <si>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</si>
  <si>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</si>
  <si>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</si>
  <si>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</si>
  <si>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</si>
  <si>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</si>
  <si>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</si>
  <si>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</si>
  <si>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</si>
  <si>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</si>
  <si>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</si>
  <si>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</si>
  <si>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</si>
  <si>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</si>
  <si>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</si>
  <si>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</si>
  <si>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</si>
  <si>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</si>
  <si>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</si>
  <si>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</si>
  <si>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</si>
  <si>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</si>
  <si>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</si>
  <si>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</si>
  <si>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</si>
  <si>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</si>
  <si>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</si>
  <si>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</si>
  <si>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</si>
  <si>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水稻种植场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</si>
  <si>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</si>
  <si>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</si>
  <si>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</si>
  <si>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</si>
  <si>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</si>
  <si>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</si>
  <si>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血量</t>
    <phoneticPr fontId="13" type="noConversion"/>
  </si>
  <si>
    <t>攻击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</si>
  <si>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</si>
  <si>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</si>
  <si>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</si>
  <si>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表示僵尸属性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</si>
  <si>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</si>
  <si>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</si>
  <si>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</si>
  <si>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</si>
  <si>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</si>
  <si>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</si>
  <si>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</si>
  <si>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</si>
  <si>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股份算法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</si>
  <si>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</si>
  <si>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</si>
  <si>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</si>
  <si>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</si>
  <si>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</si>
  <si>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</si>
  <si>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</si>
  <si>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</si>
  <si>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manorcap_zombie</t>
    <phoneticPr fontId="13" type="noConversion"/>
  </si>
  <si>
    <t>防御</t>
    <phoneticPr fontId="13" type="noConversion"/>
  </si>
  <si>
    <t>zombie_atk</t>
    <phoneticPr fontId="13" type="noConversion"/>
  </si>
  <si>
    <t>zombie_def</t>
    <phoneticPr fontId="13" type="noConversion"/>
  </si>
  <si>
    <t>zombie_num</t>
    <phoneticPr fontId="13" type="noConversion"/>
  </si>
  <si>
    <t>僵尸数量</t>
    <phoneticPr fontId="13" type="noConversion"/>
  </si>
  <si>
    <t>optional</t>
    <phoneticPr fontId="13" type="noConversion"/>
  </si>
  <si>
    <t>理想人类防御</t>
    <phoneticPr fontId="13" type="noConversion"/>
  </si>
  <si>
    <t>僵尸dps*血*数量</t>
    <phoneticPr fontId="13" type="noConversion"/>
  </si>
  <si>
    <t>世界事件</t>
    <phoneticPr fontId="13" type="noConversion"/>
  </si>
  <si>
    <t>表示世界事件</t>
    <phoneticPr fontId="13" type="noConversion"/>
  </si>
  <si>
    <t>optional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</si>
  <si>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</si>
  <si>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</si>
  <si>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</si>
  <si>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zombie_hp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</si>
  <si>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</si>
  <si>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</si>
  <si>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</si>
  <si>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</si>
  <si>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</si>
  <si>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</si>
  <si>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</si>
  <si>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</si>
  <si>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</si>
  <si>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</si>
  <si>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</si>
  <si>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</si>
  <si>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</si>
  <si>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</si>
  <si>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</si>
  <si>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</si>
  <si>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</si>
  <si>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</si>
  <si>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</si>
  <si>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</si>
  <si>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</si>
  <si>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</si>
  <si>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</si>
  <si>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</si>
  <si>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</si>
  <si>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</si>
  <si>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</si>
  <si>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</si>
  <si>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</si>
  <si>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</si>
  <si>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</si>
  <si>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</si>
  <si>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</si>
  <si>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</si>
  <si>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</si>
  <si>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</si>
  <si>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</si>
  <si>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</si>
  <si>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</si>
  <si>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</si>
  <si>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</si>
  <si>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</si>
  <si>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</si>
  <si>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</si>
  <si>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</si>
  <si>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</si>
  <si>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</si>
  <si>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</si>
  <si>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</si>
  <si>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</si>
  <si>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</si>
  <si>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</si>
  <si>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</si>
  <si>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</si>
  <si>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</si>
  <si>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</si>
  <si>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</si>
  <si>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</si>
  <si>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</si>
  <si>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</si>
  <si>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</si>
  <si>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</si>
  <si>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</si>
  <si>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</si>
  <si>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</si>
  <si>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</si>
  <si>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</si>
  <si>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</si>
  <si>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</si>
  <si>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</si>
  <si>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</si>
  <si>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</si>
  <si>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</si>
  <si>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</si>
  <si>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</si>
  <si>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</si>
  <si>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</si>
  <si>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</si>
  <si>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</si>
  <si>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</si>
  <si>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</si>
  <si>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</si>
  <si>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</si>
  <si>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</si>
  <si>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</si>
  <si>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</si>
  <si>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</si>
  <si>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</si>
  <si>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</si>
  <si>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</si>
  <si>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</si>
  <si>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</si>
  <si>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</si>
  <si>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</si>
  <si>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</si>
  <si>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</si>
  <si>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</si>
  <si>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</si>
  <si>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</si>
  <si>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</si>
  <si>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僵尸咬人会释放动能，为什么我们不能将它利用起来呢？——你灵机一动，僵尸发电机诞生了</t>
    <phoneticPr fontId="13" type="noConversion"/>
  </si>
  <si>
    <t>僵尸发电机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</si>
  <si>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</si>
  <si>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</si>
  <si>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</si>
  <si>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</si>
  <si>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</si>
  <si>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</si>
  <si>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</si>
  <si>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</si>
  <si>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</si>
  <si>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</si>
  <si>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</si>
  <si>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</si>
  <si>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</si>
  <si>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</si>
  <si>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</si>
  <si>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</si>
  <si>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</si>
  <si>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</si>
  <si>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</si>
  <si>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</si>
  <si>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</si>
  <si>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</si>
  <si>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</si>
  <si>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</si>
  <si>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</si>
  <si>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</si>
  <si>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</si>
  <si>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</si>
  <si>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</si>
  <si>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</si>
  <si>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</si>
  <si>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</si>
  <si>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</si>
  <si>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</si>
  <si>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</si>
  <si>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</si>
  <si>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</si>
  <si>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</si>
  <si>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</si>
  <si>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</si>
  <si>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</si>
  <si>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</si>
  <si>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</si>
  <si>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</si>
  <si>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</si>
  <si>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</si>
  <si>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</si>
  <si>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</si>
  <si>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</si>
  <si>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</si>
  <si>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</si>
  <si>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</si>
  <si>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</si>
  <si>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</si>
  <si>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</si>
  <si>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</si>
  <si>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</si>
  <si>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</si>
  <si>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</si>
  <si>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</si>
  <si>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battery.prefab</t>
  </si>
  <si>
    <t>battery.prefab</t>
    <phoneticPr fontId="13" type="noConversion"/>
  </si>
  <si>
    <t>grainfarm.prefab</t>
    <phoneticPr fontId="13" type="noConversion"/>
  </si>
  <si>
    <t>fruitfarm.prefab</t>
    <phoneticPr fontId="13" type="noConversion"/>
  </si>
  <si>
    <t>vegfarm.prefab</t>
  </si>
  <si>
    <t>gate.prefab</t>
  </si>
  <si>
    <t>woodfactory.prefab</t>
  </si>
  <si>
    <t>pinewood.prefab</t>
  </si>
  <si>
    <t>oilfactory.prefab</t>
  </si>
  <si>
    <t>steelfactory.prefab</t>
  </si>
  <si>
    <t>windpowerplant.prefab</t>
    <phoneticPr fontId="13" type="noConversion"/>
  </si>
  <si>
    <t>storehouse.prefab</t>
  </si>
  <si>
    <t>waterfactory.prefab</t>
  </si>
  <si>
    <t>watercollector.prefab</t>
  </si>
  <si>
    <t>well.prefab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</si>
  <si>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</si>
  <si>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</si>
  <si>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</si>
  <si>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</si>
  <si>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</si>
  <si>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</si>
  <si>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</si>
  <si>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</si>
  <si>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</si>
  <si>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</si>
  <si>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</si>
  <si>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</si>
  <si>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</si>
  <si>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</si>
  <si>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</si>
  <si>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</si>
  <si>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</si>
  <si>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</si>
  <si>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</si>
  <si>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</si>
  <si>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</si>
  <si>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</si>
  <si>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</si>
  <si>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</si>
  <si>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</si>
  <si>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</si>
  <si>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</si>
  <si>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</si>
  <si>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</si>
  <si>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</si>
  <si>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</si>
  <si>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</si>
  <si>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</si>
  <si>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</si>
  <si>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</si>
  <si>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</si>
  <si>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</si>
  <si>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</si>
  <si>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</si>
  <si>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</si>
  <si>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</si>
  <si>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damikey</t>
    <phoneticPr fontId="13" type="noConversion"/>
  </si>
  <si>
    <t>shucaikey</t>
    <phoneticPr fontId="13" type="noConversion"/>
  </si>
  <si>
    <t>shuiguokey</t>
    <phoneticPr fontId="13" type="noConversion"/>
  </si>
  <si>
    <t>huafeikey</t>
    <phoneticPr fontId="13" type="noConversion"/>
  </si>
  <si>
    <t>shuikey</t>
    <phoneticPr fontId="13" type="noConversion"/>
  </si>
  <si>
    <t>songmukey</t>
    <phoneticPr fontId="13" type="noConversion"/>
  </si>
  <si>
    <t>shuinikey</t>
    <phoneticPr fontId="13" type="noConversion"/>
  </si>
  <si>
    <t>caokey</t>
    <phoneticPr fontId="13" type="noConversion"/>
  </si>
  <si>
    <t>yuanyoukey</t>
    <phoneticPr fontId="13" type="noConversion"/>
  </si>
  <si>
    <t>tiekey</t>
    <phoneticPr fontId="13" type="noConversion"/>
  </si>
  <si>
    <t>jijiubaokey</t>
    <phoneticPr fontId="13" type="noConversion"/>
  </si>
  <si>
    <t>rizhikey</t>
    <phoneticPr fontId="13" type="noConversion"/>
  </si>
  <si>
    <t>jiqiangtuzhikey</t>
    <phoneticPr fontId="13" type="noConversion"/>
  </si>
  <si>
    <t>jujituzhikey</t>
    <phoneticPr fontId="13" type="noConversion"/>
  </si>
  <si>
    <t>jipaotuzhikey</t>
    <phoneticPr fontId="13" type="noConversion"/>
  </si>
  <si>
    <t>yuanlongpingkey</t>
    <phoneticPr fontId="13" type="noConversion"/>
  </si>
  <si>
    <t>huafeigongyekey</t>
    <phoneticPr fontId="13" type="noConversion"/>
  </si>
  <si>
    <t>yangzhukey</t>
    <phoneticPr fontId="13" type="noConversion"/>
  </si>
  <si>
    <t>cangchukey</t>
    <phoneticPr fontId="13" type="noConversion"/>
  </si>
  <si>
    <t>tesilakey</t>
    <phoneticPr fontId="13" type="noConversion"/>
  </si>
  <si>
    <t>luokefeilekey</t>
    <phoneticPr fontId="13" type="noConversion"/>
  </si>
  <si>
    <t>kanaijikey</t>
    <phoneticPr fontId="13" type="noConversion"/>
  </si>
  <si>
    <t>lubankey</t>
    <phoneticPr fontId="13" type="noConversion"/>
  </si>
  <si>
    <t>tumukey</t>
    <phoneticPr fontId="13" type="noConversion"/>
  </si>
  <si>
    <t>fangdaokey</t>
    <phoneticPr fontId="13" type="noConversion"/>
  </si>
  <si>
    <t>makeqinkey</t>
    <phoneticPr fontId="13" type="noConversion"/>
  </si>
  <si>
    <t>wodefendoukey</t>
    <phoneticPr fontId="13" type="noConversion"/>
  </si>
  <si>
    <t>jiatelinkey</t>
    <phoneticPr fontId="13" type="noConversion"/>
  </si>
  <si>
    <t>wbaleitekey</t>
    <phoneticPr fontId="13" type="noConversion"/>
  </si>
  <si>
    <t>guanrenkey</t>
    <phoneticPr fontId="13" type="noConversion"/>
  </si>
  <si>
    <t>kuangquanshuikey</t>
    <phoneticPr fontId="13" type="noConversion"/>
  </si>
  <si>
    <t>siliaokey</t>
    <phoneticPr fontId="13" type="noConversion"/>
  </si>
  <si>
    <t>zhuroukey</t>
    <phoneticPr fontId="13" type="noConversion"/>
  </si>
  <si>
    <t>qiyoukey</t>
    <phoneticPr fontId="13" type="noConversion"/>
  </si>
  <si>
    <t>gangkey</t>
    <phoneticPr fontId="13" type="noConversion"/>
  </si>
  <si>
    <t>songmubankey</t>
    <phoneticPr fontId="13" type="noConversion"/>
  </si>
  <si>
    <t>hunningtukey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</si>
  <si>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</si>
  <si>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</si>
  <si>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</si>
  <si>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</si>
  <si>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</si>
  <si>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</si>
  <si>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</si>
  <si>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</si>
  <si>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</si>
  <si>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</si>
  <si>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</si>
  <si>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</si>
  <si>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</si>
  <si>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</si>
  <si>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</si>
  <si>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</si>
  <si>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</si>
  <si>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</si>
  <si>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</si>
  <si>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</si>
  <si>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</si>
  <si>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</si>
  <si>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</si>
  <si>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</si>
  <si>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</si>
  <si>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</si>
  <si>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</si>
  <si>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</si>
  <si>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</si>
  <si>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</si>
  <si>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</si>
  <si>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</si>
  <si>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</si>
  <si>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</si>
  <si>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</si>
  <si>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</si>
  <si>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</si>
  <si>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</si>
  <si>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</si>
  <si>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</si>
  <si>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</si>
  <si>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</si>
  <si>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</si>
  <si>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</si>
  <si>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</si>
  <si>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是否可直接使用（1可用，0不可用）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</si>
  <si>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</si>
  <si>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</si>
  <si>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回复饥饿*1000</t>
    <phoneticPr fontId="13" type="noConversion"/>
  </si>
  <si>
    <t>回复口渴*1000</t>
    <phoneticPr fontId="13" type="noConversion"/>
  </si>
  <si>
    <t>回复心情*1000</t>
    <phoneticPr fontId="13" type="noConversion"/>
  </si>
  <si>
    <t>可回复心情上限*100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</si>
  <si>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</si>
  <si>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</si>
  <si>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toukui1key</t>
    <phoneticPr fontId="13" type="noConversion"/>
  </si>
  <si>
    <t>toukui2key</t>
    <phoneticPr fontId="13" type="noConversion"/>
  </si>
  <si>
    <t>toukui3key</t>
    <phoneticPr fontId="13" type="noConversion"/>
  </si>
  <si>
    <t>shouqiang1key</t>
    <phoneticPr fontId="13" type="noConversion"/>
  </si>
  <si>
    <t>buqiang1key</t>
    <phoneticPr fontId="13" type="noConversion"/>
  </si>
  <si>
    <t>qingjiqiang1key</t>
    <phoneticPr fontId="13" type="noConversion"/>
  </si>
  <si>
    <t>fangdanyi1key</t>
    <phoneticPr fontId="13" type="noConversion"/>
  </si>
  <si>
    <t>fangdanyi2key</t>
    <phoneticPr fontId="13" type="noConversion"/>
  </si>
  <si>
    <t>fangdanyi3key</t>
    <phoneticPr fontId="13" type="noConversion"/>
  </si>
  <si>
    <t>kuzi1key</t>
    <phoneticPr fontId="13" type="noConversion"/>
  </si>
  <si>
    <t>kuzi2key</t>
    <phoneticPr fontId="13" type="noConversion"/>
  </si>
  <si>
    <t>kuzi3key</t>
    <phoneticPr fontId="13" type="noConversion"/>
  </si>
  <si>
    <t>xiezi1key</t>
    <phoneticPr fontId="13" type="noConversion"/>
  </si>
  <si>
    <t>xiezi2key</t>
    <phoneticPr fontId="13" type="noConversion"/>
  </si>
  <si>
    <t>xiezi3key</t>
    <phoneticPr fontId="13" type="noConversion"/>
  </si>
  <si>
    <t>kuangquanshuikey</t>
    <phoneticPr fontId="13" type="noConversion"/>
  </si>
  <si>
    <t>serviceable_rate</t>
    <phoneticPr fontId="13" type="noConversion"/>
  </si>
  <si>
    <t>价格*1000</t>
    <phoneticPr fontId="13" type="noConversion"/>
  </si>
  <si>
    <t>真实价格</t>
    <phoneticPr fontId="13" type="noConversion"/>
  </si>
  <si>
    <t>玩家可购买等级（玩家等级）（0代表不可用）</t>
    <phoneticPr fontId="13" type="noConversion"/>
  </si>
  <si>
    <t>int32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</si>
  <si>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</si>
  <si>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</si>
  <si>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</si>
  <si>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</si>
  <si>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huafei_bldgcap</t>
  </si>
  <si>
    <t>zhujuan_bldgcap</t>
  </si>
  <si>
    <t>siliao_bldgcap</t>
  </si>
  <si>
    <t>jing_bldgcap</t>
  </si>
  <si>
    <t>lushui_bldgcap</t>
  </si>
  <si>
    <t>kuangquanshui_bldgcap</t>
  </si>
  <si>
    <t>cangku_bldgcap</t>
  </si>
  <si>
    <t>dianchi_bldgcap</t>
  </si>
  <si>
    <t>jianshenfang_bldgcap</t>
  </si>
  <si>
    <t>jsfadianji_bldgcap</t>
  </si>
  <si>
    <t>lianyou_bldgcap</t>
  </si>
  <si>
    <t>liangang_bldgcap</t>
  </si>
  <si>
    <t>songshu_bldgcap</t>
  </si>
  <si>
    <t>hunningtu_bldgcap</t>
  </si>
  <si>
    <t>mucaijiagong_bldgcap</t>
  </si>
  <si>
    <t>bldgcap_key</t>
    <phoneticPr fontId="13" type="noConversion"/>
  </si>
  <si>
    <t>bldgspd_key</t>
  </si>
  <si>
    <t>dami_bldgspd</t>
  </si>
  <si>
    <t>shucai_bldgspd</t>
  </si>
  <si>
    <t>shuiguo_bldgspd</t>
  </si>
  <si>
    <t>huafei_bldgspd</t>
  </si>
  <si>
    <t>zhujuan_bldgspd</t>
  </si>
  <si>
    <t>siliao_bldgspd</t>
  </si>
  <si>
    <t>jing_bldgspd</t>
  </si>
  <si>
    <t>lushui_bldgspd</t>
  </si>
  <si>
    <t>kuangquanshui_bldgspd</t>
  </si>
  <si>
    <t>jianshenfang_bldgspd</t>
  </si>
  <si>
    <t>jsfadianji_bldgspd</t>
  </si>
  <si>
    <t>lianyou_bldgspd</t>
  </si>
  <si>
    <t>liangang_bldgspd</t>
  </si>
  <si>
    <t>songshu_bldgspd</t>
  </si>
  <si>
    <t>hunningtu_bldgspd</t>
  </si>
  <si>
    <t>mucaijiagong_bldgspd</t>
  </si>
  <si>
    <t>dami_bldgspd</t>
    <phoneticPr fontId="13" type="noConversion"/>
  </si>
  <si>
    <t>dami_bldgcap</t>
    <phoneticPr fontId="13" type="noConversion"/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</si>
  <si>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</si>
  <si>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</si>
  <si>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</si>
  <si>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</si>
  <si>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</si>
  <si>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</si>
  <si>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</si>
  <si>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</si>
  <si>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</si>
  <si>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</si>
  <si>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</si>
  <si>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</si>
  <si>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</si>
  <si>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</si>
  <si>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</si>
  <si>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</si>
  <si>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</si>
  <si>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</si>
  <si>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</si>
  <si>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</si>
  <si>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</si>
  <si>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</si>
  <si>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</si>
  <si>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</si>
  <si>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</si>
  <si>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</si>
  <si>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</si>
  <si>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</si>
  <si>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</si>
  <si>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</si>
  <si>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</si>
  <si>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</si>
  <si>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</si>
  <si>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</si>
  <si>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</si>
  <si>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</si>
  <si>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</si>
  <si>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</si>
  <si>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</si>
  <si>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leida_bldg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</si>
  <si>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</si>
  <si>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</si>
  <si>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</si>
  <si>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fengli_bldgcap</t>
    <phoneticPr fontId="13" type="noConversion"/>
  </si>
  <si>
    <t>fengli_bldgspd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</si>
  <si>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</si>
  <si>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</si>
  <si>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</si>
  <si>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</si>
  <si>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</si>
  <si>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</si>
  <si>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</si>
  <si>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</si>
  <si>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</si>
  <si>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</si>
  <si>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</si>
  <si>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</si>
  <si>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</si>
  <si>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</si>
  <si>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</si>
  <si>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</si>
  <si>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</si>
  <si>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</si>
  <si>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</si>
  <si>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</si>
  <si>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</si>
  <si>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</si>
  <si>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</si>
  <si>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</si>
  <si>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</si>
  <si>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</si>
  <si>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</si>
  <si>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</si>
  <si>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</si>
  <si>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</si>
  <si>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</si>
  <si>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</si>
  <si>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</si>
  <si>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</si>
  <si>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</si>
  <si>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</si>
  <si>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</si>
  <si>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</si>
  <si>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</si>
  <si>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</si>
  <si>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</si>
  <si>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</si>
  <si>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</si>
  <si>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</si>
  <si>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</si>
  <si>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</si>
  <si>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</si>
  <si>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</si>
  <si>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</si>
  <si>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</si>
  <si>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</si>
  <si>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</si>
  <si>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</si>
  <si>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</si>
  <si>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</si>
  <si>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</si>
  <si>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</si>
  <si>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</si>
  <si>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</si>
  <si>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</si>
  <si>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</si>
  <si>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</si>
  <si>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</si>
  <si>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</si>
  <si>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</si>
  <si>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</si>
  <si>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</si>
  <si>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</si>
  <si>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</si>
  <si>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</si>
  <si>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</si>
  <si>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备注：整点刷新，k4，单位：具体几点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</si>
  <si>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</si>
  <si>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</si>
  <si>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</si>
  <si>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</si>
  <si>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</si>
  <si>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</si>
  <si>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</si>
  <si>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</si>
  <si>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</si>
  <si>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</si>
  <si>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</si>
  <si>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</si>
  <si>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</si>
  <si>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</si>
  <si>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</si>
  <si>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</si>
  <si>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</si>
  <si>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</si>
  <si>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</si>
  <si>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商店可购买每日刷新时间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</si>
  <si>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</si>
  <si>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</si>
  <si>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</si>
  <si>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</si>
  <si>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</si>
  <si>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</si>
  <si>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</si>
  <si>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</si>
  <si>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</si>
  <si>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</si>
  <si>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</si>
  <si>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</si>
  <si>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</si>
  <si>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</si>
  <si>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</si>
  <si>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</si>
  <si>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</si>
  <si>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</si>
  <si>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</si>
  <si>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1/n+[（（个人总贡献+k1）/（庄园内所有玩家总贡献+nk1））-1/n]*k2</t>
    <phoneticPr fontId="13" type="noConversion"/>
  </si>
  <si>
    <t>fertilizer.prefab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</si>
  <si>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</si>
  <si>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</si>
  <si>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</si>
  <si>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</si>
  <si>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</si>
  <si>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</si>
  <si>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M2重机枪</t>
  </si>
  <si>
    <t>M2重机枪</t>
    <phoneticPr fontId="13" type="noConversion"/>
  </si>
  <si>
    <t>四管加特林机枪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</si>
  <si>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</si>
  <si>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</si>
  <si>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</si>
  <si>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</si>
  <si>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</si>
  <si>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</si>
  <si>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</si>
  <si>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</si>
  <si>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</si>
  <si>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</si>
  <si>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</si>
  <si>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</si>
  <si>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</si>
  <si>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</si>
  <si>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</si>
  <si>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</si>
  <si>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radar.prefab</t>
    <phoneticPr fontId="13" type="noConversion"/>
  </si>
  <si>
    <t>concretefactory.prefab</t>
    <phoneticPr fontId="13" type="noConversion"/>
  </si>
  <si>
    <t>turret0.prefab</t>
  </si>
  <si>
    <t>turret0.prefab</t>
    <phoneticPr fontId="13" type="noConversion"/>
  </si>
  <si>
    <t>turret1.prefab</t>
  </si>
  <si>
    <t>turret2.prefab</t>
  </si>
  <si>
    <t>turret3.prefab</t>
  </si>
  <si>
    <t>turret1.prefab</t>
    <phoneticPr fontId="13" type="noConversion"/>
  </si>
  <si>
    <t>turret2.prefab</t>
    <phoneticPr fontId="13" type="noConversion"/>
  </si>
  <si>
    <t>turret3.prefab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</si>
  <si>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</si>
  <si>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</si>
  <si>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</si>
  <si>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</si>
  <si>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</si>
  <si>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</si>
  <si>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</si>
  <si>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</si>
  <si>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jianshenfang_bldgcap</t>
    <phoneticPr fontId="13" type="noConversion"/>
  </si>
  <si>
    <t>car_bldgspd</t>
    <phoneticPr fontId="13" type="noConversion"/>
  </si>
  <si>
    <t>key1</t>
    <phoneticPr fontId="13" type="noConversion"/>
  </si>
  <si>
    <t>key2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</si>
  <si>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</si>
  <si>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</si>
  <si>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</si>
  <si>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</si>
  <si>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</si>
  <si>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</si>
  <si>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</si>
  <si>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</si>
  <si>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</si>
  <si>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</si>
  <si>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</si>
  <si>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</si>
  <si>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</si>
  <si>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</si>
  <si>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龙卷风肆虐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</si>
  <si>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</si>
  <si>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</si>
  <si>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</si>
  <si>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</si>
  <si>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</si>
  <si>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</si>
  <si>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</si>
  <si>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</si>
  <si>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</si>
  <si>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</si>
  <si>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</si>
  <si>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</si>
  <si>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</si>
  <si>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</si>
  <si>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幸存者电台报道：龙卷风即将来袭，请幸存者做好准备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</si>
  <si>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</si>
  <si>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</si>
  <si>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</si>
  <si>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</si>
  <si>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</si>
  <si>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矿物质水</t>
  </si>
  <si>
    <t>水泥</t>
    <phoneticPr fontId="13" type="noConversion"/>
  </si>
  <si>
    <t>纯净水</t>
  </si>
  <si>
    <t>纯净水</t>
    <phoneticPr fontId="13" type="noConversion"/>
  </si>
  <si>
    <t>矿物质水</t>
    <phoneticPr fontId="13" type="noConversion"/>
  </si>
  <si>
    <t>混凝土</t>
    <phoneticPr fontId="13" type="noConversion"/>
  </si>
  <si>
    <t>铁</t>
  </si>
  <si>
    <t>钢</t>
  </si>
  <si>
    <t>松木板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</si>
</sst>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1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</cellStyleXfs>
  <cellXfs count="187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5" fillId="9" borderId="0" xfId="2" applyFont="1" applyFill="1" applyAlignment="1">
      <alignment horizontal="center" vertical="center" wrapText="1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0" xfId="1" applyFont="1" applyFill="1" applyBorder="1" applyAlignment="1">
      <alignment horizont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left" vertical="top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0" fontId="5" fillId="20" borderId="0" xfId="1" applyFont="1" applyFill="1" applyBorder="1" applyAlignment="1">
      <alignment horizontal="center" vertical="center"/>
    </xf>
    <xf numFmtId="0" fontId="5" fillId="20" borderId="13" xfId="0" applyFont="1" applyFill="1" applyBorder="1" applyAlignment="1">
      <alignment horizontal="center" vertical="center"/>
    </xf>
    <xf numFmtId="0" fontId="5" fillId="20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 wrapText="1"/>
    </xf>
    <xf numFmtId="0" fontId="5" fillId="21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</cellXfs>
  <cellStyles count="11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575</v>
      </c>
    </row>
    <row r="16" spans="1:7" x14ac:dyDescent="0.15">
      <c r="B16" s="44">
        <v>2</v>
      </c>
      <c r="D16" s="44" t="s">
        <v>258</v>
      </c>
      <c r="F16" s="44" t="s">
        <v>576</v>
      </c>
    </row>
    <row r="17" spans="2:6" x14ac:dyDescent="0.15">
      <c r="B17" s="44">
        <v>3</v>
      </c>
      <c r="D17" s="44" t="s">
        <v>257</v>
      </c>
      <c r="F17" s="44" t="s">
        <v>683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605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488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R565"/>
  <sheetViews>
    <sheetView tabSelected="1" topLeftCell="A541" zoomScaleNormal="100" workbookViewId="0">
      <pane xSplit="12" topLeftCell="AE1" activePane="topRight" state="frozen"/>
      <selection pane="topRight" activeCell="AG569" sqref="AG569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7" bestFit="1" customWidth="1"/>
    <col min="8" max="8" width="19.875" style="9" bestFit="1" customWidth="1"/>
    <col min="9" max="9" width="10" style="9" bestFit="1" customWidth="1"/>
    <col min="10" max="10" width="5.625" style="77" bestFit="1" customWidth="1"/>
    <col min="11" max="12" width="14.875" style="9" customWidth="1"/>
    <col min="13" max="14" width="21" style="9" customWidth="1"/>
    <col min="15" max="15" width="10" style="9" bestFit="1" customWidth="1"/>
    <col min="16" max="16" width="14.875" style="9" bestFit="1" customWidth="1"/>
    <col min="17" max="17" width="22.125" style="9" bestFit="1" customWidth="1"/>
    <col min="18" max="18" width="18.125" style="10" bestFit="1" customWidth="1"/>
    <col min="19" max="19" width="14.25" style="10" bestFit="1" customWidth="1"/>
    <col min="20" max="20" width="35" style="11" bestFit="1" customWidth="1"/>
    <col min="21" max="21" width="29.375" style="9" customWidth="1"/>
    <col min="22" max="22" width="5.625" style="77" bestFit="1" customWidth="1"/>
    <col min="23" max="23" width="21.125" style="85" bestFit="1" customWidth="1"/>
    <col min="24" max="24" width="27.25" style="9" bestFit="1" customWidth="1"/>
    <col min="25" max="25" width="27.25" style="11" bestFit="1" customWidth="1"/>
    <col min="26" max="26" width="21.125" style="85" bestFit="1" customWidth="1"/>
    <col min="27" max="27" width="27.25" style="9" bestFit="1" customWidth="1"/>
    <col min="28" max="28" width="5.625" style="77" bestFit="1" customWidth="1"/>
    <col min="29" max="29" width="27.25" style="9" bestFit="1" customWidth="1"/>
    <col min="30" max="30" width="21.125" style="9" bestFit="1" customWidth="1"/>
    <col min="31" max="31" width="5.625" style="77" bestFit="1" customWidth="1"/>
    <col min="32" max="32" width="21.125" style="11" bestFit="1" customWidth="1"/>
    <col min="33" max="33" width="21.125" style="56" customWidth="1"/>
    <col min="34" max="34" width="5.625" style="77" bestFit="1" customWidth="1"/>
    <col min="35" max="35" width="21.125" style="56" bestFit="1" customWidth="1"/>
    <col min="36" max="36" width="21.125" style="10" bestFit="1" customWidth="1"/>
    <col min="37" max="37" width="21.125" style="183" bestFit="1" customWidth="1"/>
    <col min="38" max="38" width="5.625" style="77" bestFit="1" customWidth="1"/>
    <col min="39" max="39" width="11.375" style="11" bestFit="1" customWidth="1"/>
    <col min="40" max="40" width="15.625" style="10" bestFit="1" customWidth="1"/>
    <col min="41" max="41" width="11.375" style="11" bestFit="1" customWidth="1"/>
    <col min="42" max="42" width="15.625" style="10" bestFit="1" customWidth="1"/>
    <col min="43" max="43" width="11.375" style="11" bestFit="1" customWidth="1"/>
    <col min="44" max="44" width="15.625" style="10" bestFit="1" customWidth="1"/>
    <col min="45" max="45" width="12" style="56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2.875" style="11" bestFit="1" customWidth="1"/>
    <col min="63" max="63" width="10.25" style="10" bestFit="1" customWidth="1"/>
    <col min="64" max="64" width="16.375" style="11" bestFit="1" customWidth="1"/>
    <col min="65" max="65" width="15.625" style="10" bestFit="1" customWidth="1"/>
    <col min="66" max="66" width="17.125" style="11" bestFit="1" customWidth="1"/>
    <col min="67" max="67" width="10" style="11" bestFit="1" customWidth="1"/>
    <col min="68" max="68" width="9.875" style="10" bestFit="1" customWidth="1"/>
    <col min="69" max="69" width="16.375" style="11" bestFit="1" customWidth="1"/>
    <col min="70" max="70" width="9.875" style="10" bestFit="1" customWidth="1"/>
    <col min="71" max="16384" width="9.125" style="8"/>
  </cols>
  <sheetData>
    <row r="1" spans="1:70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1118</v>
      </c>
      <c r="M1" s="9" t="s">
        <v>829</v>
      </c>
      <c r="N1" s="9" t="s">
        <v>602</v>
      </c>
      <c r="O1" s="9" t="s">
        <v>60</v>
      </c>
      <c r="P1" s="9" t="s">
        <v>60</v>
      </c>
      <c r="Q1" s="9" t="s">
        <v>60</v>
      </c>
      <c r="R1" s="7"/>
      <c r="S1" s="7"/>
      <c r="T1" s="34" t="s">
        <v>60</v>
      </c>
      <c r="U1" s="9" t="s">
        <v>60</v>
      </c>
      <c r="X1" s="9" t="s">
        <v>60</v>
      </c>
      <c r="Y1" s="11" t="s">
        <v>60</v>
      </c>
      <c r="AA1" s="9" t="s">
        <v>60</v>
      </c>
      <c r="AC1" s="9" t="s">
        <v>60</v>
      </c>
      <c r="AD1" s="9" t="s">
        <v>60</v>
      </c>
      <c r="AF1" s="11" t="s">
        <v>60</v>
      </c>
      <c r="AG1" s="56" t="s">
        <v>1142</v>
      </c>
      <c r="AI1" s="56" t="s">
        <v>60</v>
      </c>
      <c r="AM1" s="33" t="s">
        <v>60</v>
      </c>
      <c r="AN1" s="32"/>
      <c r="AO1" s="33" t="s">
        <v>60</v>
      </c>
      <c r="AP1" s="32"/>
      <c r="AQ1" s="33" t="s">
        <v>60</v>
      </c>
      <c r="AR1" s="32"/>
      <c r="AS1" s="59" t="s">
        <v>64</v>
      </c>
      <c r="AT1" s="33" t="s">
        <v>251</v>
      </c>
      <c r="AU1" s="33" t="s">
        <v>60</v>
      </c>
      <c r="AV1" s="32"/>
      <c r="AW1" s="33" t="s">
        <v>60</v>
      </c>
      <c r="AX1" s="32"/>
      <c r="AY1" s="33" t="s">
        <v>251</v>
      </c>
      <c r="AZ1" s="33" t="s">
        <v>60</v>
      </c>
      <c r="BA1" s="32"/>
      <c r="BB1" s="33" t="s">
        <v>60</v>
      </c>
      <c r="BC1" s="32"/>
      <c r="BD1" s="33" t="s">
        <v>251</v>
      </c>
      <c r="BE1" s="33" t="s">
        <v>60</v>
      </c>
      <c r="BF1" s="32"/>
      <c r="BG1" s="33" t="s">
        <v>60</v>
      </c>
      <c r="BH1" s="32"/>
      <c r="BI1" s="33" t="s">
        <v>251</v>
      </c>
      <c r="BJ1" s="33" t="s">
        <v>60</v>
      </c>
      <c r="BK1" s="32"/>
      <c r="BL1" s="33" t="s">
        <v>60</v>
      </c>
      <c r="BM1" s="32"/>
      <c r="BN1" s="33" t="s">
        <v>251</v>
      </c>
      <c r="BO1" s="33" t="s">
        <v>60</v>
      </c>
      <c r="BP1" s="32"/>
      <c r="BQ1" s="33" t="s">
        <v>60</v>
      </c>
      <c r="BR1" s="32"/>
    </row>
    <row r="2" spans="1:70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1119</v>
      </c>
      <c r="M2" s="9" t="s">
        <v>828</v>
      </c>
      <c r="N2" s="9" t="s">
        <v>484</v>
      </c>
      <c r="O2" s="9" t="s">
        <v>61</v>
      </c>
      <c r="P2" s="9" t="s">
        <v>61</v>
      </c>
      <c r="Q2" s="9" t="s">
        <v>62</v>
      </c>
      <c r="R2" s="7"/>
      <c r="S2" s="7"/>
      <c r="T2" s="34" t="s">
        <v>62</v>
      </c>
      <c r="U2" s="9" t="s">
        <v>484</v>
      </c>
      <c r="X2" s="9" t="s">
        <v>506</v>
      </c>
      <c r="Y2" s="11" t="s">
        <v>61</v>
      </c>
      <c r="AA2" s="9" t="s">
        <v>506</v>
      </c>
      <c r="AC2" s="9" t="s">
        <v>62</v>
      </c>
      <c r="AD2" s="9" t="s">
        <v>61</v>
      </c>
      <c r="AF2" s="11" t="s">
        <v>61</v>
      </c>
      <c r="AG2" s="56" t="s">
        <v>1141</v>
      </c>
      <c r="AI2" s="56" t="s">
        <v>61</v>
      </c>
      <c r="AM2" s="31" t="s">
        <v>61</v>
      </c>
      <c r="AN2" s="30"/>
      <c r="AO2" s="31" t="s">
        <v>61</v>
      </c>
      <c r="AP2" s="30"/>
      <c r="AQ2" s="31" t="s">
        <v>61</v>
      </c>
      <c r="AR2" s="30"/>
      <c r="AS2" s="60">
        <v>5</v>
      </c>
      <c r="AT2" s="31">
        <v>4</v>
      </c>
      <c r="AU2" s="31" t="s">
        <v>61</v>
      </c>
      <c r="AV2" s="30"/>
      <c r="AW2" s="31" t="s">
        <v>61</v>
      </c>
      <c r="AX2" s="30"/>
      <c r="AY2" s="31">
        <v>4</v>
      </c>
      <c r="AZ2" s="31" t="s">
        <v>61</v>
      </c>
      <c r="BA2" s="30"/>
      <c r="BB2" s="31" t="s">
        <v>61</v>
      </c>
      <c r="BC2" s="30"/>
      <c r="BD2" s="31">
        <v>4</v>
      </c>
      <c r="BE2" s="31" t="s">
        <v>61</v>
      </c>
      <c r="BF2" s="30"/>
      <c r="BG2" s="31" t="s">
        <v>61</v>
      </c>
      <c r="BH2" s="30"/>
      <c r="BI2" s="31">
        <v>4</v>
      </c>
      <c r="BJ2" s="31" t="s">
        <v>61</v>
      </c>
      <c r="BK2" s="30"/>
      <c r="BL2" s="31" t="s">
        <v>61</v>
      </c>
      <c r="BM2" s="30"/>
      <c r="BN2" s="31">
        <v>4</v>
      </c>
      <c r="BO2" s="31" t="s">
        <v>61</v>
      </c>
      <c r="BP2" s="30"/>
      <c r="BQ2" s="31" t="s">
        <v>61</v>
      </c>
      <c r="BR2" s="30"/>
    </row>
    <row r="3" spans="1:70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1120</v>
      </c>
      <c r="M3" s="9" t="s">
        <v>961</v>
      </c>
      <c r="N3" s="9" t="s">
        <v>962</v>
      </c>
      <c r="O3" s="9" t="s">
        <v>341</v>
      </c>
      <c r="P3" s="9" t="s">
        <v>321</v>
      </c>
      <c r="Q3" s="9" t="s">
        <v>247</v>
      </c>
      <c r="R3" s="7"/>
      <c r="S3" s="7"/>
      <c r="T3" s="34" t="s">
        <v>322</v>
      </c>
      <c r="U3" s="9" t="s">
        <v>486</v>
      </c>
      <c r="X3" s="9" t="s">
        <v>533</v>
      </c>
      <c r="Y3" s="11" t="s">
        <v>557</v>
      </c>
      <c r="AA3" s="9" t="s">
        <v>507</v>
      </c>
      <c r="AC3" s="9" t="s">
        <v>335</v>
      </c>
      <c r="AD3" s="9" t="s">
        <v>340</v>
      </c>
      <c r="AF3" s="11" t="s">
        <v>418</v>
      </c>
      <c r="AG3" s="56" t="s">
        <v>1140</v>
      </c>
      <c r="AI3" s="56" t="s">
        <v>442</v>
      </c>
      <c r="AM3" s="31" t="s">
        <v>246</v>
      </c>
      <c r="AN3" s="30"/>
      <c r="AO3" s="31" t="s">
        <v>420</v>
      </c>
      <c r="AP3" s="30"/>
      <c r="AQ3" s="31" t="s">
        <v>487</v>
      </c>
      <c r="AR3" s="30"/>
      <c r="AS3" s="60" t="s">
        <v>252</v>
      </c>
      <c r="AT3" s="31" t="s">
        <v>253</v>
      </c>
      <c r="AU3" s="31" t="s">
        <v>245</v>
      </c>
      <c r="AV3" s="30"/>
      <c r="AW3" s="31" t="s">
        <v>244</v>
      </c>
      <c r="AX3" s="30"/>
      <c r="AY3" s="31" t="s">
        <v>253</v>
      </c>
      <c r="AZ3" s="31" t="s">
        <v>245</v>
      </c>
      <c r="BA3" s="30"/>
      <c r="BB3" s="31" t="s">
        <v>244</v>
      </c>
      <c r="BC3" s="30"/>
      <c r="BD3" s="31" t="s">
        <v>253</v>
      </c>
      <c r="BE3" s="31" t="s">
        <v>245</v>
      </c>
      <c r="BF3" s="30"/>
      <c r="BG3" s="31" t="s">
        <v>244</v>
      </c>
      <c r="BH3" s="30"/>
      <c r="BI3" s="31" t="s">
        <v>253</v>
      </c>
      <c r="BJ3" s="31" t="s">
        <v>245</v>
      </c>
      <c r="BK3" s="30"/>
      <c r="BL3" s="31" t="s">
        <v>244</v>
      </c>
      <c r="BM3" s="30"/>
      <c r="BN3" s="31" t="s">
        <v>253</v>
      </c>
      <c r="BO3" s="31" t="s">
        <v>245</v>
      </c>
      <c r="BP3" s="30"/>
      <c r="BQ3" s="31" t="s">
        <v>244</v>
      </c>
      <c r="BR3" s="30"/>
    </row>
    <row r="4" spans="1:70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8" t="s">
        <v>355</v>
      </c>
      <c r="H4" s="27" t="s">
        <v>558</v>
      </c>
      <c r="I4" s="27" t="s">
        <v>239</v>
      </c>
      <c r="J4" s="78" t="s">
        <v>354</v>
      </c>
      <c r="K4" s="27" t="s">
        <v>240</v>
      </c>
      <c r="L4" s="27" t="s">
        <v>1121</v>
      </c>
      <c r="M4" s="27" t="s">
        <v>1184</v>
      </c>
      <c r="N4" s="27" t="s">
        <v>1185</v>
      </c>
      <c r="O4" s="27" t="s">
        <v>342</v>
      </c>
      <c r="P4" s="27" t="s">
        <v>356</v>
      </c>
      <c r="Q4" s="27" t="s">
        <v>238</v>
      </c>
      <c r="R4" s="68" t="s">
        <v>353</v>
      </c>
      <c r="S4" s="68" t="s">
        <v>352</v>
      </c>
      <c r="T4" s="40" t="s">
        <v>323</v>
      </c>
      <c r="U4" s="9" t="s">
        <v>485</v>
      </c>
      <c r="V4" s="78" t="s">
        <v>555</v>
      </c>
      <c r="W4" s="86" t="s">
        <v>537</v>
      </c>
      <c r="X4" s="27" t="s">
        <v>535</v>
      </c>
      <c r="Y4" s="89" t="s">
        <v>565</v>
      </c>
      <c r="Z4" s="86" t="s">
        <v>536</v>
      </c>
      <c r="AA4" s="27" t="s">
        <v>534</v>
      </c>
      <c r="AB4" s="78" t="s">
        <v>554</v>
      </c>
      <c r="AC4" s="27" t="s">
        <v>334</v>
      </c>
      <c r="AD4" s="27" t="s">
        <v>339</v>
      </c>
      <c r="AE4" s="78" t="s">
        <v>417</v>
      </c>
      <c r="AF4" s="89" t="s">
        <v>592</v>
      </c>
      <c r="AG4" s="90" t="s">
        <v>1136</v>
      </c>
      <c r="AH4" s="78" t="s">
        <v>556</v>
      </c>
      <c r="AI4" s="90" t="s">
        <v>688</v>
      </c>
      <c r="AJ4" s="91" t="s">
        <v>1135</v>
      </c>
      <c r="AK4" s="184" t="s">
        <v>591</v>
      </c>
      <c r="AL4" s="78" t="s">
        <v>171</v>
      </c>
      <c r="AM4" s="66" t="s">
        <v>318</v>
      </c>
      <c r="AN4" s="65" t="s">
        <v>1133</v>
      </c>
      <c r="AO4" s="66" t="s">
        <v>419</v>
      </c>
      <c r="AP4" s="65" t="s">
        <v>1132</v>
      </c>
      <c r="AQ4" s="66" t="s">
        <v>426</v>
      </c>
      <c r="AR4" s="65" t="s">
        <v>1134</v>
      </c>
      <c r="AS4" s="61"/>
      <c r="AT4" s="24" t="s">
        <v>252</v>
      </c>
      <c r="AU4" s="24" t="s">
        <v>237</v>
      </c>
      <c r="AV4" s="23" t="s">
        <v>236</v>
      </c>
      <c r="AW4" s="25" t="s">
        <v>310</v>
      </c>
      <c r="AX4" s="26" t="s">
        <v>351</v>
      </c>
      <c r="AY4" s="24" t="s">
        <v>252</v>
      </c>
      <c r="AZ4" s="24" t="s">
        <v>237</v>
      </c>
      <c r="BA4" s="23" t="s">
        <v>236</v>
      </c>
      <c r="BB4" s="25" t="s">
        <v>310</v>
      </c>
      <c r="BC4" s="26" t="s">
        <v>351</v>
      </c>
      <c r="BD4" s="24" t="s">
        <v>252</v>
      </c>
      <c r="BE4" s="24" t="s">
        <v>237</v>
      </c>
      <c r="BF4" s="23" t="s">
        <v>236</v>
      </c>
      <c r="BG4" s="25" t="s">
        <v>310</v>
      </c>
      <c r="BH4" s="26" t="s">
        <v>351</v>
      </c>
      <c r="BI4" s="24" t="s">
        <v>252</v>
      </c>
      <c r="BJ4" s="24" t="s">
        <v>237</v>
      </c>
      <c r="BK4" s="23" t="s">
        <v>236</v>
      </c>
      <c r="BL4" s="25" t="s">
        <v>310</v>
      </c>
      <c r="BM4" s="26" t="s">
        <v>351</v>
      </c>
      <c r="BN4" s="24" t="s">
        <v>252</v>
      </c>
      <c r="BO4" s="24" t="s">
        <v>237</v>
      </c>
      <c r="BP4" s="23" t="s">
        <v>236</v>
      </c>
      <c r="BQ4" s="25" t="s">
        <v>310</v>
      </c>
      <c r="BR4" s="26" t="s">
        <v>351</v>
      </c>
    </row>
    <row r="5" spans="1:70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9"/>
      <c r="H5" s="16">
        <v>1</v>
      </c>
      <c r="I5" s="16">
        <v>1</v>
      </c>
      <c r="J5" s="79"/>
      <c r="K5" s="16" t="s">
        <v>566</v>
      </c>
      <c r="L5" s="16">
        <v>1</v>
      </c>
      <c r="M5" s="16" t="s">
        <v>980</v>
      </c>
      <c r="N5" s="16" t="s">
        <v>979</v>
      </c>
      <c r="O5" s="16">
        <v>1</v>
      </c>
      <c r="P5" s="16">
        <v>15</v>
      </c>
      <c r="Q5" s="16" t="s">
        <v>776</v>
      </c>
      <c r="R5" s="17"/>
      <c r="S5" s="17"/>
      <c r="T5" s="18"/>
      <c r="U5" s="16" t="s">
        <v>700</v>
      </c>
      <c r="V5" s="79"/>
      <c r="W5" s="87"/>
      <c r="X5" s="16">
        <f ca="1">IFERROR(OFFSET(ITEM_RES!$A$5,MATCH(BUILDING!W5,ITEM_RES!$J$5:$J$226,0)-1,0),0)</f>
        <v>0</v>
      </c>
      <c r="Y5" s="18"/>
      <c r="Z5" s="87" t="s">
        <v>538</v>
      </c>
      <c r="AA5" s="16">
        <f ca="1">IFERROR(OFFSET(ITEM_RES!$A$5,MATCH(BUILDING!Z5,ITEM_RES!$J$5:$J$226,0)-1,0),0)</f>
        <v>211010101</v>
      </c>
      <c r="AB5" s="79"/>
      <c r="AC5" s="16" t="s">
        <v>508</v>
      </c>
      <c r="AD5" s="16">
        <v>1</v>
      </c>
      <c r="AE5" s="79"/>
      <c r="AF5" s="18">
        <f ca="1">IFERROR(OFFSET(MANOR_LEVEL!$B$1,MATCH(AG5-1,MANOR_LEVEL!$A:$A,0)-1,0),0)</f>
        <v>0</v>
      </c>
      <c r="AG5" s="57">
        <v>1</v>
      </c>
      <c r="AH5" s="79"/>
      <c r="AI5" s="57">
        <f t="shared" ref="AI5:AI24" ca="1" si="3">ROUND(AJ5,0)</f>
        <v>111</v>
      </c>
      <c r="AJ5" s="181">
        <f ca="1">AO5+AQ5+(IFERROR(OFFSET(ITEM_RES!$S$1,MATCH(AU5,ITEM_RES!$A:$A,0)-1,0),0)*AW5+IFERROR(OFFSET(ITEM_RES!$S$1,MATCH(AZ5,ITEM_RES!$A:$A,0)-1,0),0)*BB5+IFERROR(OFFSET(ITEM_RES!$S$1,MATCH(BE5,ITEM_RES!$A:$A,0)-1,0),0)*BG5+IFERROR(OFFSET(ITEM_RES!$S$1,MATCH(BJ5,ITEM_RES!$A:$A,0)-1,0),0)*BL5+IFERROR(OFFSET(ITEM_RES!$S$1,MATCH(BO5,ITEM_RES!$A:$A,0)-1,0),0)*BQ5)/1000</f>
        <v>110.6</v>
      </c>
      <c r="AK5" s="185">
        <f ca="1">AI5</f>
        <v>111</v>
      </c>
      <c r="AL5" s="79"/>
      <c r="AM5" s="18">
        <f t="shared" ref="AM5:AM68" si="4">ROUND(AN5,0)</f>
        <v>5</v>
      </c>
      <c r="AN5" s="17">
        <v>5</v>
      </c>
      <c r="AO5" s="18">
        <f>ROUND(AP5,0)</f>
        <v>5</v>
      </c>
      <c r="AP5" s="17">
        <v>5</v>
      </c>
      <c r="AQ5" s="18">
        <f>ROUND(AR5,0)</f>
        <v>5</v>
      </c>
      <c r="AR5" s="17">
        <v>5</v>
      </c>
      <c r="AS5" s="57">
        <f>(AW5&gt;0)*1+(BB5&gt;0)*1+(BG5&gt;0)*1+(BL5&gt;0)*1+(BQ5&gt;0)*1</f>
        <v>3</v>
      </c>
      <c r="AT5" s="18"/>
      <c r="AU5" s="18">
        <f ca="1">IFERROR(OFFSET(ITEM_RES!$A$1,MATCH(AV5,ITEM_RES!$J:$J,0)-1,0),0)</f>
        <v>211010501</v>
      </c>
      <c r="AV5" s="17" t="s">
        <v>427</v>
      </c>
      <c r="AW5" s="18">
        <v>20</v>
      </c>
      <c r="AX5" s="17"/>
      <c r="AY5" s="18"/>
      <c r="AZ5" s="18">
        <f ca="1">IFERROR(OFFSET(ITEM_RES!$A$1,MATCH(BA5,ITEM_RES!$J:$J,0)-1,0),0)</f>
        <v>211020101</v>
      </c>
      <c r="BA5" s="17" t="s">
        <v>448</v>
      </c>
      <c r="BB5" s="18">
        <v>20</v>
      </c>
      <c r="BC5" s="17"/>
      <c r="BD5" s="18"/>
      <c r="BE5" s="18">
        <f ca="1">IFERROR(OFFSET(ITEM_RES!$A$1,MATCH(BF5,ITEM_RES!$J:$J,0)-1,0),0)</f>
        <v>213010101</v>
      </c>
      <c r="BF5" s="17" t="s">
        <v>452</v>
      </c>
      <c r="BG5" s="18">
        <v>1</v>
      </c>
      <c r="BH5" s="17"/>
      <c r="BI5" s="18"/>
      <c r="BJ5" s="18">
        <f ca="1">IFERROR(OFFSET(ITEM_RES!$A$1,MATCH(BK5,ITEM_RES!$J:$J,0)-1,0),0)</f>
        <v>0</v>
      </c>
      <c r="BK5" s="17"/>
      <c r="BL5" s="18"/>
      <c r="BM5" s="17"/>
      <c r="BN5" s="18"/>
      <c r="BO5" s="18">
        <f ca="1">IFERROR(OFFSET(ITEM_RES!$A$1,MATCH(BP5,ITEM_RES!$J:$J,0)-1,0),0)</f>
        <v>0</v>
      </c>
      <c r="BP5" s="17"/>
      <c r="BQ5" s="18">
        <f t="shared" ref="BQ5:BQ88" si="5">IF(BR5&lt;100,ROUND(BR5,1-LEN(ROUND(BR5,0))),ROUND(BR5,2-LEN(ROUND(BR5,0))))</f>
        <v>0</v>
      </c>
      <c r="BR5" s="17"/>
    </row>
    <row r="6" spans="1:70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566</v>
      </c>
      <c r="M6" s="9" t="s">
        <v>943</v>
      </c>
      <c r="N6" s="9" t="s">
        <v>963</v>
      </c>
      <c r="O6" s="9">
        <v>1</v>
      </c>
      <c r="P6" s="9">
        <v>15</v>
      </c>
      <c r="Q6" s="9" t="s">
        <v>776</v>
      </c>
      <c r="U6" s="9" t="s">
        <v>695</v>
      </c>
      <c r="X6" s="9">
        <f ca="1">IFERROR(OFFSET(ITEM_RES!$A$5,MATCH(BUILDING!W6,ITEM_RES!$J$5:$J$226,0)-1,0),0)</f>
        <v>0</v>
      </c>
      <c r="Z6" s="85" t="s">
        <v>538</v>
      </c>
      <c r="AA6" s="9">
        <f ca="1">IFERROR(OFFSET(ITEM_RES!$A$5,MATCH(BUILDING!Z6,ITEM_RES!$J$5:$J$226,0)-1,0),0)</f>
        <v>211010101</v>
      </c>
      <c r="AC6" s="9" t="s">
        <v>508</v>
      </c>
      <c r="AD6" s="9">
        <v>2</v>
      </c>
      <c r="AF6" s="11">
        <f ca="1">IFERROR(OFFSET(MANOR_LEVEL!$B$1,MATCH(AG6-1,MANOR_LEVEL!$A:$A,0)-1,0),0)</f>
        <v>0</v>
      </c>
      <c r="AG6" s="56">
        <v>1</v>
      </c>
      <c r="AI6" s="56">
        <f t="shared" ca="1" si="3"/>
        <v>21</v>
      </c>
      <c r="AJ6" s="10">
        <f ca="1">AO6+AQ6+(IFERROR(OFFSET(ITEM_RES!$S$1,MATCH(AU6,ITEM_RES!$A:$A,0)-1,0),0)*AW6+IFERROR(OFFSET(ITEM_RES!$S$1,MATCH(AZ6,ITEM_RES!$A:$A,0)-1,0),0)*BB6+IFERROR(OFFSET(ITEM_RES!$S$1,MATCH(BE6,ITEM_RES!$A:$A,0)-1,0),0)*BG6+IFERROR(OFFSET(ITEM_RES!$S$1,MATCH(BJ6,ITEM_RES!$A:$A,0)-1,0),0)*BL6+IFERROR(OFFSET(ITEM_RES!$S$1,MATCH(BO6,ITEM_RES!$A:$A,0)-1,0),0)*BQ6)/1000</f>
        <v>20.6</v>
      </c>
      <c r="AK6" s="183">
        <f ca="1">AI5+AI6</f>
        <v>132</v>
      </c>
      <c r="AM6" s="11">
        <f t="shared" si="4"/>
        <v>10</v>
      </c>
      <c r="AN6" s="10">
        <v>10</v>
      </c>
      <c r="AO6" s="11">
        <f t="shared" ref="AO6:AQ89" si="6">ROUND(AP6,0)</f>
        <v>10</v>
      </c>
      <c r="AP6" s="10">
        <v>10</v>
      </c>
      <c r="AQ6" s="11">
        <f t="shared" si="6"/>
        <v>10</v>
      </c>
      <c r="AR6" s="10">
        <v>10</v>
      </c>
      <c r="AS6" s="56">
        <f t="shared" ref="AS6:AS69" si="7">(AW6&gt;0)*1+(BB6&gt;0)*1+(BG6&gt;0)*1+(BL6&gt;0)*1+(BQ6&gt;0)*1</f>
        <v>2</v>
      </c>
      <c r="AU6" s="11">
        <f ca="1">IFERROR(OFFSET(ITEM_RES!$A$1,MATCH(AV6,ITEM_RES!$J:$J,0)-1,0),0)</f>
        <v>211010501</v>
      </c>
      <c r="AV6" s="10" t="s">
        <v>427</v>
      </c>
      <c r="AW6" s="11">
        <v>20</v>
      </c>
      <c r="AZ6" s="11">
        <f ca="1">IFERROR(OFFSET(ITEM_RES!$A$1,MATCH(BA6,ITEM_RES!$J:$J,0)-1,0),0)</f>
        <v>211020101</v>
      </c>
      <c r="BA6" s="10" t="s">
        <v>448</v>
      </c>
      <c r="BB6" s="11">
        <v>20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O6" s="11">
        <f ca="1">IFERROR(OFFSET(ITEM_RES!$A$1,MATCH(BP6,ITEM_RES!$J:$J,0)-1,0),0)</f>
        <v>0</v>
      </c>
      <c r="BQ6" s="11">
        <f t="shared" si="5"/>
        <v>0</v>
      </c>
    </row>
    <row r="7" spans="1:70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566</v>
      </c>
      <c r="M7" s="9" t="s">
        <v>943</v>
      </c>
      <c r="N7" s="9" t="s">
        <v>963</v>
      </c>
      <c r="O7" s="9">
        <v>1</v>
      </c>
      <c r="P7" s="9">
        <v>15</v>
      </c>
      <c r="Q7" s="9" t="s">
        <v>776</v>
      </c>
      <c r="U7" s="9" t="s">
        <v>695</v>
      </c>
      <c r="X7" s="9">
        <f ca="1">IFERROR(OFFSET(ITEM_RES!$A$5,MATCH(BUILDING!W7,ITEM_RES!$J$5:$J$226,0)-1,0),0)</f>
        <v>0</v>
      </c>
      <c r="Z7" s="85" t="s">
        <v>538</v>
      </c>
      <c r="AA7" s="9">
        <f ca="1">IFERROR(OFFSET(ITEM_RES!$A$5,MATCH(BUILDING!Z7,ITEM_RES!$J$5:$J$226,0)-1,0),0)</f>
        <v>211010101</v>
      </c>
      <c r="AC7" s="9" t="s">
        <v>508</v>
      </c>
      <c r="AD7" s="9">
        <v>3</v>
      </c>
      <c r="AF7" s="11">
        <f ca="1">IFERROR(OFFSET(MANOR_LEVEL!$B$1,MATCH(AG7-1,MANOR_LEVEL!$A:$A,0)-1,0),0)</f>
        <v>444</v>
      </c>
      <c r="AG7" s="56">
        <v>2</v>
      </c>
      <c r="AI7" s="56">
        <f t="shared" ca="1" si="3"/>
        <v>35</v>
      </c>
      <c r="AJ7" s="182">
        <f ca="1">AO7+AQ7+(IFERROR(OFFSET(ITEM_RES!$S$1,MATCH(AU7,ITEM_RES!$A:$A,0)-1,0),0)*AW7+IFERROR(OFFSET(ITEM_RES!$S$1,MATCH(AZ7,ITEM_RES!$A:$A,0)-1,0),0)*BB7+IFERROR(OFFSET(ITEM_RES!$S$1,MATCH(BE7,ITEM_RES!$A:$A,0)-1,0),0)*BG7+IFERROR(OFFSET(ITEM_RES!$S$1,MATCH(BJ7,ITEM_RES!$A:$A,0)-1,0),0)*BL7+IFERROR(OFFSET(ITEM_RES!$S$1,MATCH(BO7,ITEM_RES!$A:$A,0)-1,0),0)*BQ7)/1000</f>
        <v>34.799999999999997</v>
      </c>
      <c r="AK7" s="183">
        <f t="shared" ref="AK7:AK24" ca="1" si="8">AI6+AI7</f>
        <v>56</v>
      </c>
      <c r="AM7" s="11">
        <f t="shared" si="4"/>
        <v>15</v>
      </c>
      <c r="AN7" s="10">
        <v>15</v>
      </c>
      <c r="AO7" s="11">
        <f t="shared" si="6"/>
        <v>15</v>
      </c>
      <c r="AP7" s="10">
        <v>15</v>
      </c>
      <c r="AQ7" s="11">
        <f t="shared" si="6"/>
        <v>15</v>
      </c>
      <c r="AR7" s="10">
        <v>15</v>
      </c>
      <c r="AS7" s="56">
        <f t="shared" si="7"/>
        <v>2</v>
      </c>
      <c r="AU7" s="11">
        <f ca="1">IFERROR(OFFSET(ITEM_RES!$A$1,MATCH(AV7,ITEM_RES!$J:$J,0)-1,0),0)</f>
        <v>211010501</v>
      </c>
      <c r="AV7" s="10" t="s">
        <v>427</v>
      </c>
      <c r="AW7" s="11">
        <v>160</v>
      </c>
      <c r="AZ7" s="11">
        <f ca="1">IFERROR(OFFSET(ITEM_RES!$A$1,MATCH(BA7,ITEM_RES!$J:$J,0)-1,0),0)</f>
        <v>211020101</v>
      </c>
      <c r="BA7" s="10" t="s">
        <v>448</v>
      </c>
      <c r="BB7" s="11">
        <v>160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O7" s="11">
        <f ca="1">IFERROR(OFFSET(ITEM_RES!$A$1,MATCH(BP7,ITEM_RES!$J:$J,0)-1,0),0)</f>
        <v>0</v>
      </c>
      <c r="BQ7" s="11">
        <f t="shared" si="5"/>
        <v>0</v>
      </c>
    </row>
    <row r="8" spans="1:70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566</v>
      </c>
      <c r="M8" s="9" t="s">
        <v>943</v>
      </c>
      <c r="N8" s="9" t="s">
        <v>963</v>
      </c>
      <c r="O8" s="9">
        <v>1</v>
      </c>
      <c r="P8" s="9">
        <v>15</v>
      </c>
      <c r="Q8" s="9" t="s">
        <v>776</v>
      </c>
      <c r="U8" s="9" t="s">
        <v>696</v>
      </c>
      <c r="X8" s="9">
        <f ca="1">IFERROR(OFFSET(ITEM_RES!$A$5,MATCH(BUILDING!W8,ITEM_RES!$J$5:$J$226,0)-1,0),0)</f>
        <v>0</v>
      </c>
      <c r="Z8" s="85" t="s">
        <v>538</v>
      </c>
      <c r="AA8" s="9">
        <f ca="1">IFERROR(OFFSET(ITEM_RES!$A$5,MATCH(BUILDING!Z8,ITEM_RES!$J$5:$J$226,0)-1,0),0)</f>
        <v>211010101</v>
      </c>
      <c r="AC8" s="9" t="s">
        <v>508</v>
      </c>
      <c r="AD8" s="9">
        <v>4</v>
      </c>
      <c r="AF8" s="11">
        <f ca="1">IFERROR(OFFSET(MANOR_LEVEL!$B$1,MATCH(AG8-1,MANOR_LEVEL!$A:$A,0)-1,0),0)</f>
        <v>444</v>
      </c>
      <c r="AG8" s="56">
        <v>2</v>
      </c>
      <c r="AI8" s="56">
        <f t="shared" ca="1" si="3"/>
        <v>108</v>
      </c>
      <c r="AJ8" s="10">
        <f ca="1">AO8+AQ8+(IFERROR(OFFSET(ITEM_RES!$S$1,MATCH(AU8,ITEM_RES!$A:$A,0)-1,0),0)*AW8+IFERROR(OFFSET(ITEM_RES!$S$1,MATCH(AZ8,ITEM_RES!$A:$A,0)-1,0),0)*BB8+IFERROR(OFFSET(ITEM_RES!$S$1,MATCH(BE8,ITEM_RES!$A:$A,0)-1,0),0)*BG8+IFERROR(OFFSET(ITEM_RES!$S$1,MATCH(BJ8,ITEM_RES!$A:$A,0)-1,0),0)*BL8+IFERROR(OFFSET(ITEM_RES!$S$1,MATCH(BO8,ITEM_RES!$A:$A,0)-1,0),0)*BQ8)/1000</f>
        <v>107.6</v>
      </c>
      <c r="AK8" s="183">
        <f t="shared" ca="1" si="8"/>
        <v>143</v>
      </c>
      <c r="AM8" s="11">
        <f t="shared" si="4"/>
        <v>20</v>
      </c>
      <c r="AN8" s="10">
        <v>20</v>
      </c>
      <c r="AO8" s="11">
        <f t="shared" si="6"/>
        <v>25</v>
      </c>
      <c r="AP8" s="10">
        <v>25</v>
      </c>
      <c r="AQ8" s="11">
        <f t="shared" si="6"/>
        <v>25</v>
      </c>
      <c r="AR8" s="10">
        <v>25</v>
      </c>
      <c r="AS8" s="56">
        <f t="shared" si="7"/>
        <v>2</v>
      </c>
      <c r="AU8" s="11">
        <f ca="1">IFERROR(OFFSET(ITEM_RES!$A$1,MATCH(AV8,ITEM_RES!$J:$J,0)-1,0),0)</f>
        <v>211010501</v>
      </c>
      <c r="AV8" s="10" t="s">
        <v>427</v>
      </c>
      <c r="AW8" s="11">
        <v>1920</v>
      </c>
      <c r="AZ8" s="11">
        <f ca="1">IFERROR(OFFSET(ITEM_RES!$A$1,MATCH(BA8,ITEM_RES!$J:$J,0)-1,0),0)</f>
        <v>211020101</v>
      </c>
      <c r="BA8" s="10" t="s">
        <v>448</v>
      </c>
      <c r="BB8" s="11">
        <v>1920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O8" s="11">
        <f ca="1">IFERROR(OFFSET(ITEM_RES!$A$1,MATCH(BP8,ITEM_RES!$J:$J,0)-1,0),0)</f>
        <v>0</v>
      </c>
      <c r="BQ8" s="11">
        <f t="shared" si="5"/>
        <v>0</v>
      </c>
    </row>
    <row r="9" spans="1:70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566</v>
      </c>
      <c r="M9" s="9" t="s">
        <v>943</v>
      </c>
      <c r="N9" s="9" t="s">
        <v>963</v>
      </c>
      <c r="O9" s="9">
        <v>1</v>
      </c>
      <c r="P9" s="9">
        <v>15</v>
      </c>
      <c r="Q9" s="9" t="s">
        <v>776</v>
      </c>
      <c r="U9" s="9" t="s">
        <v>696</v>
      </c>
      <c r="X9" s="9">
        <f ca="1">IFERROR(OFFSET(ITEM_RES!$A$5,MATCH(BUILDING!W9,ITEM_RES!$J$5:$J$226,0)-1,0),0)</f>
        <v>0</v>
      </c>
      <c r="Z9" s="85" t="s">
        <v>538</v>
      </c>
      <c r="AA9" s="9">
        <f ca="1">IFERROR(OFFSET(ITEM_RES!$A$5,MATCH(BUILDING!Z9,ITEM_RES!$J$5:$J$226,0)-1,0),0)</f>
        <v>211010101</v>
      </c>
      <c r="AC9" s="9" t="s">
        <v>508</v>
      </c>
      <c r="AD9" s="9">
        <v>5</v>
      </c>
      <c r="AF9" s="11">
        <f ca="1">IFERROR(OFFSET(MANOR_LEVEL!$B$1,MATCH(AG9-1,MANOR_LEVEL!$A:$A,0)-1,0),0)</f>
        <v>444</v>
      </c>
      <c r="AG9" s="56">
        <v>2</v>
      </c>
      <c r="AI9" s="56">
        <f t="shared" ca="1" si="3"/>
        <v>860</v>
      </c>
      <c r="AJ9" s="10">
        <f ca="1">AO9+AQ9+(IFERROR(OFFSET(ITEM_RES!$S$1,MATCH(AU9,ITEM_RES!$A:$A,0)-1,0),0)*AW9+IFERROR(OFFSET(ITEM_RES!$S$1,MATCH(AZ9,ITEM_RES!$A:$A,0)-1,0),0)*BB9+IFERROR(OFFSET(ITEM_RES!$S$1,MATCH(BE9,ITEM_RES!$A:$A,0)-1,0),0)*BG9+IFERROR(OFFSET(ITEM_RES!$S$1,MATCH(BJ9,ITEM_RES!$A:$A,0)-1,0),0)*BL9+IFERROR(OFFSET(ITEM_RES!$S$1,MATCH(BO9,ITEM_RES!$A:$A,0)-1,0),0)*BQ9)/1000</f>
        <v>860</v>
      </c>
      <c r="AK9" s="183">
        <f t="shared" ca="1" si="8"/>
        <v>968</v>
      </c>
      <c r="AM9" s="11">
        <f t="shared" si="4"/>
        <v>25</v>
      </c>
      <c r="AN9" s="10">
        <v>25</v>
      </c>
      <c r="AO9" s="11">
        <f t="shared" si="6"/>
        <v>40</v>
      </c>
      <c r="AP9" s="10">
        <v>40</v>
      </c>
      <c r="AQ9" s="11">
        <f t="shared" si="6"/>
        <v>40</v>
      </c>
      <c r="AR9" s="10">
        <v>40</v>
      </c>
      <c r="AS9" s="56">
        <f t="shared" si="7"/>
        <v>2</v>
      </c>
      <c r="AU9" s="11">
        <f ca="1">IFERROR(OFFSET(ITEM_RES!$A$1,MATCH(AV9,ITEM_RES!$J:$J,0)-1,0),0)</f>
        <v>211010501</v>
      </c>
      <c r="AV9" s="10" t="s">
        <v>427</v>
      </c>
      <c r="AW9" s="11">
        <v>26000</v>
      </c>
      <c r="AZ9" s="11">
        <f ca="1">IFERROR(OFFSET(ITEM_RES!$A$1,MATCH(BA9,ITEM_RES!$J:$J,0)-1,0),0)</f>
        <v>211020101</v>
      </c>
      <c r="BA9" s="10" t="s">
        <v>448</v>
      </c>
      <c r="BB9" s="11">
        <v>26000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O9" s="11">
        <f ca="1">IFERROR(OFFSET(ITEM_RES!$A$1,MATCH(BP9,ITEM_RES!$J:$J,0)-1,0),0)</f>
        <v>0</v>
      </c>
      <c r="BQ9" s="11">
        <f t="shared" si="5"/>
        <v>0</v>
      </c>
    </row>
    <row r="10" spans="1:70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566</v>
      </c>
      <c r="M10" s="9" t="s">
        <v>943</v>
      </c>
      <c r="N10" s="9" t="s">
        <v>963</v>
      </c>
      <c r="O10" s="9">
        <v>1</v>
      </c>
      <c r="P10" s="9">
        <v>15</v>
      </c>
      <c r="Q10" s="9" t="s">
        <v>776</v>
      </c>
      <c r="U10" s="9" t="s">
        <v>696</v>
      </c>
      <c r="X10" s="9">
        <f ca="1">IFERROR(OFFSET(ITEM_RES!$A$5,MATCH(BUILDING!W10,ITEM_RES!$J$5:$J$226,0)-1,0),0)</f>
        <v>0</v>
      </c>
      <c r="Z10" s="85" t="s">
        <v>538</v>
      </c>
      <c r="AA10" s="9">
        <f ca="1">IFERROR(OFFSET(ITEM_RES!$A$5,MATCH(BUILDING!Z10,ITEM_RES!$J$5:$J$226,0)-1,0),0)</f>
        <v>211010101</v>
      </c>
      <c r="AC10" s="9" t="s">
        <v>508</v>
      </c>
      <c r="AD10" s="9">
        <v>6</v>
      </c>
      <c r="AF10" s="11">
        <f ca="1">IFERROR(OFFSET(MANOR_LEVEL!$B$1,MATCH(AG10-1,MANOR_LEVEL!$A:$A,0)-1,0),0)</f>
        <v>528</v>
      </c>
      <c r="AG10" s="56">
        <v>3</v>
      </c>
      <c r="AI10" s="56">
        <f t="shared" ca="1" si="3"/>
        <v>7300</v>
      </c>
      <c r="AJ10" s="10">
        <f ca="1">AO10+AQ10+(IFERROR(OFFSET(ITEM_RES!$S$1,MATCH(AU10,ITEM_RES!$A:$A,0)-1,0),0)*AW10+IFERROR(OFFSET(ITEM_RES!$S$1,MATCH(AZ10,ITEM_RES!$A:$A,0)-1,0),0)*BB10+IFERROR(OFFSET(ITEM_RES!$S$1,MATCH(BE10,ITEM_RES!$A:$A,0)-1,0),0)*BG10+IFERROR(OFFSET(ITEM_RES!$S$1,MATCH(BJ10,ITEM_RES!$A:$A,0)-1,0),0)*BL10+IFERROR(OFFSET(ITEM_RES!$S$1,MATCH(BO10,ITEM_RES!$A:$A,0)-1,0),0)*BQ10)/1000</f>
        <v>7300</v>
      </c>
      <c r="AK10" s="183">
        <f t="shared" ca="1" si="8"/>
        <v>8160</v>
      </c>
      <c r="AM10" s="11">
        <f t="shared" si="4"/>
        <v>30</v>
      </c>
      <c r="AN10" s="10">
        <v>30</v>
      </c>
      <c r="AO10" s="11">
        <f t="shared" si="6"/>
        <v>50</v>
      </c>
      <c r="AP10" s="10">
        <v>50</v>
      </c>
      <c r="AQ10" s="11">
        <f t="shared" si="6"/>
        <v>50</v>
      </c>
      <c r="AR10" s="10">
        <v>50</v>
      </c>
      <c r="AS10" s="56">
        <f t="shared" si="7"/>
        <v>2</v>
      </c>
      <c r="AU10" s="11">
        <f ca="1">IFERROR(OFFSET(ITEM_RES!$A$1,MATCH(AV10,ITEM_RES!$J:$J,0)-1,0),0)</f>
        <v>211010501</v>
      </c>
      <c r="AV10" s="10" t="s">
        <v>427</v>
      </c>
      <c r="AW10" s="11">
        <v>240000</v>
      </c>
      <c r="AZ10" s="11">
        <f ca="1">IFERROR(OFFSET(ITEM_RES!$A$1,MATCH(BA10,ITEM_RES!$J:$J,0)-1,0),0)</f>
        <v>211020101</v>
      </c>
      <c r="BA10" s="10" t="s">
        <v>448</v>
      </c>
      <c r="BB10" s="11">
        <v>240000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O10" s="11">
        <f ca="1">IFERROR(OFFSET(ITEM_RES!$A$1,MATCH(BP10,ITEM_RES!$J:$J,0)-1,0),0)</f>
        <v>0</v>
      </c>
      <c r="BQ10" s="11">
        <f t="shared" si="5"/>
        <v>0</v>
      </c>
    </row>
    <row r="11" spans="1:70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566</v>
      </c>
      <c r="M11" s="9" t="s">
        <v>943</v>
      </c>
      <c r="N11" s="9" t="s">
        <v>963</v>
      </c>
      <c r="O11" s="9">
        <v>1</v>
      </c>
      <c r="P11" s="9">
        <v>15</v>
      </c>
      <c r="Q11" s="9" t="s">
        <v>776</v>
      </c>
      <c r="U11" s="9" t="s">
        <v>696</v>
      </c>
      <c r="X11" s="9">
        <f ca="1">IFERROR(OFFSET(ITEM_RES!$A$5,MATCH(BUILDING!W11,ITEM_RES!$J$5:$J$226,0)-1,0),0)</f>
        <v>0</v>
      </c>
      <c r="Z11" s="85" t="s">
        <v>538</v>
      </c>
      <c r="AA11" s="9">
        <f ca="1">IFERROR(OFFSET(ITEM_RES!$A$5,MATCH(BUILDING!Z11,ITEM_RES!$J$5:$J$226,0)-1,0),0)</f>
        <v>211010101</v>
      </c>
      <c r="AC11" s="9" t="s">
        <v>508</v>
      </c>
      <c r="AD11" s="9">
        <v>7</v>
      </c>
      <c r="AF11" s="11">
        <f ca="1">IFERROR(OFFSET(MANOR_LEVEL!$B$1,MATCH(AG11-1,MANOR_LEVEL!$A:$A,0)-1,0),0)</f>
        <v>800</v>
      </c>
      <c r="AG11" s="56">
        <v>4</v>
      </c>
      <c r="AI11" s="56">
        <f t="shared" ca="1" si="3"/>
        <v>16400</v>
      </c>
      <c r="AJ11" s="10">
        <f ca="1">AO11+AQ11+(IFERROR(OFFSET(ITEM_RES!$S$1,MATCH(AU11,ITEM_RES!$A:$A,0)-1,0),0)*AW11+IFERROR(OFFSET(ITEM_RES!$S$1,MATCH(AZ11,ITEM_RES!$A:$A,0)-1,0),0)*BB11+IFERROR(OFFSET(ITEM_RES!$S$1,MATCH(BE11,ITEM_RES!$A:$A,0)-1,0),0)*BG11+IFERROR(OFFSET(ITEM_RES!$S$1,MATCH(BJ11,ITEM_RES!$A:$A,0)-1,0),0)*BL11+IFERROR(OFFSET(ITEM_RES!$S$1,MATCH(BO11,ITEM_RES!$A:$A,0)-1,0),0)*BQ11)/1000</f>
        <v>16400</v>
      </c>
      <c r="AK11" s="183">
        <f t="shared" ca="1" si="8"/>
        <v>23700</v>
      </c>
      <c r="AM11" s="11">
        <f t="shared" si="4"/>
        <v>35</v>
      </c>
      <c r="AN11" s="10">
        <v>35</v>
      </c>
      <c r="AO11" s="11">
        <f t="shared" si="6"/>
        <v>100</v>
      </c>
      <c r="AP11" s="10">
        <v>100</v>
      </c>
      <c r="AQ11" s="11">
        <f t="shared" si="6"/>
        <v>100</v>
      </c>
      <c r="AR11" s="10">
        <v>100</v>
      </c>
      <c r="AS11" s="56">
        <f t="shared" si="7"/>
        <v>2</v>
      </c>
      <c r="AU11" s="11">
        <f ca="1">IFERROR(OFFSET(ITEM_RES!$A$1,MATCH(AV11,ITEM_RES!$J:$J,0)-1,0),0)</f>
        <v>211010501</v>
      </c>
      <c r="AV11" s="10" t="s">
        <v>427</v>
      </c>
      <c r="AW11" s="11">
        <v>540000</v>
      </c>
      <c r="AZ11" s="11">
        <f ca="1">IFERROR(OFFSET(ITEM_RES!$A$1,MATCH(BA11,ITEM_RES!$J:$J,0)-1,0),0)</f>
        <v>211020101</v>
      </c>
      <c r="BA11" s="10" t="s">
        <v>448</v>
      </c>
      <c r="BB11" s="11">
        <v>540000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O11" s="11">
        <f ca="1">IFERROR(OFFSET(ITEM_RES!$A$1,MATCH(BP11,ITEM_RES!$J:$J,0)-1,0),0)</f>
        <v>0</v>
      </c>
      <c r="BQ11" s="11">
        <f t="shared" si="5"/>
        <v>0</v>
      </c>
    </row>
    <row r="12" spans="1:70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566</v>
      </c>
      <c r="M12" s="9" t="s">
        <v>943</v>
      </c>
      <c r="N12" s="9" t="s">
        <v>963</v>
      </c>
      <c r="O12" s="9">
        <v>1</v>
      </c>
      <c r="P12" s="9">
        <v>15</v>
      </c>
      <c r="Q12" s="9" t="s">
        <v>776</v>
      </c>
      <c r="U12" s="9" t="s">
        <v>696</v>
      </c>
      <c r="X12" s="9">
        <f ca="1">IFERROR(OFFSET(ITEM_RES!$A$5,MATCH(BUILDING!W12,ITEM_RES!$J$5:$J$226,0)-1,0),0)</f>
        <v>0</v>
      </c>
      <c r="Z12" s="85" t="s">
        <v>538</v>
      </c>
      <c r="AA12" s="9">
        <f ca="1">IFERROR(OFFSET(ITEM_RES!$A$5,MATCH(BUILDING!Z12,ITEM_RES!$J$5:$J$226,0)-1,0),0)</f>
        <v>211010101</v>
      </c>
      <c r="AC12" s="9" t="s">
        <v>508</v>
      </c>
      <c r="AD12" s="9">
        <v>8</v>
      </c>
      <c r="AF12" s="11">
        <f ca="1">IFERROR(OFFSET(MANOR_LEVEL!$B$1,MATCH(AG12-1,MANOR_LEVEL!$A:$A,0)-1,0),0)</f>
        <v>1500</v>
      </c>
      <c r="AG12" s="56">
        <v>5</v>
      </c>
      <c r="AI12" s="56">
        <f t="shared" ca="1" si="3"/>
        <v>30200</v>
      </c>
      <c r="AJ12" s="10">
        <f ca="1">AO12+AQ12+(IFERROR(OFFSET(ITEM_RES!$S$1,MATCH(AU12,ITEM_RES!$A:$A,0)-1,0),0)*AW12+IFERROR(OFFSET(ITEM_RES!$S$1,MATCH(AZ12,ITEM_RES!$A:$A,0)-1,0),0)*BB12+IFERROR(OFFSET(ITEM_RES!$S$1,MATCH(BE12,ITEM_RES!$A:$A,0)-1,0),0)*BG12+IFERROR(OFFSET(ITEM_RES!$S$1,MATCH(BJ12,ITEM_RES!$A:$A,0)-1,0),0)*BL12+IFERROR(OFFSET(ITEM_RES!$S$1,MATCH(BO12,ITEM_RES!$A:$A,0)-1,0),0)*BQ12)/1000</f>
        <v>30200</v>
      </c>
      <c r="AK12" s="183">
        <f t="shared" ca="1" si="8"/>
        <v>46600</v>
      </c>
      <c r="AM12" s="11">
        <f t="shared" si="4"/>
        <v>40</v>
      </c>
      <c r="AN12" s="10">
        <v>40</v>
      </c>
      <c r="AO12" s="11">
        <f t="shared" si="6"/>
        <v>100</v>
      </c>
      <c r="AP12" s="10">
        <v>100</v>
      </c>
      <c r="AQ12" s="11">
        <f t="shared" si="6"/>
        <v>100</v>
      </c>
      <c r="AR12" s="10">
        <v>100</v>
      </c>
      <c r="AS12" s="56">
        <f t="shared" si="7"/>
        <v>2</v>
      </c>
      <c r="AU12" s="11">
        <f ca="1">IFERROR(OFFSET(ITEM_RES!$A$1,MATCH(AV12,ITEM_RES!$J:$J,0)-1,0),0)</f>
        <v>211010501</v>
      </c>
      <c r="AV12" s="10" t="s">
        <v>427</v>
      </c>
      <c r="AW12" s="11">
        <v>1000000</v>
      </c>
      <c r="AZ12" s="11">
        <f ca="1">IFERROR(OFFSET(ITEM_RES!$A$1,MATCH(BA12,ITEM_RES!$J:$J,0)-1,0),0)</f>
        <v>211020101</v>
      </c>
      <c r="BA12" s="10" t="s">
        <v>448</v>
      </c>
      <c r="BB12" s="11">
        <v>1000000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O12" s="11">
        <f ca="1">IFERROR(OFFSET(ITEM_RES!$A$1,MATCH(BP12,ITEM_RES!$J:$J,0)-1,0),0)</f>
        <v>0</v>
      </c>
      <c r="BQ12" s="11">
        <f t="shared" si="5"/>
        <v>0</v>
      </c>
    </row>
    <row r="13" spans="1:70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566</v>
      </c>
      <c r="M13" s="9" t="s">
        <v>943</v>
      </c>
      <c r="N13" s="9" t="s">
        <v>963</v>
      </c>
      <c r="O13" s="9">
        <v>1</v>
      </c>
      <c r="P13" s="9">
        <v>15</v>
      </c>
      <c r="Q13" s="9" t="s">
        <v>776</v>
      </c>
      <c r="U13" s="9" t="s">
        <v>697</v>
      </c>
      <c r="X13" s="9">
        <f ca="1">IFERROR(OFFSET(ITEM_RES!$A$5,MATCH(BUILDING!W13,ITEM_RES!$J$5:$J$226,0)-1,0),0)</f>
        <v>0</v>
      </c>
      <c r="Z13" s="85" t="s">
        <v>538</v>
      </c>
      <c r="AA13" s="9">
        <f ca="1">IFERROR(OFFSET(ITEM_RES!$A$5,MATCH(BUILDING!Z13,ITEM_RES!$J$5:$J$226,0)-1,0),0)</f>
        <v>211010101</v>
      </c>
      <c r="AC13" s="9" t="s">
        <v>508</v>
      </c>
      <c r="AD13" s="9">
        <v>9</v>
      </c>
      <c r="AF13" s="11">
        <f ca="1">IFERROR(OFFSET(MANOR_LEVEL!$B$1,MATCH(AG13-1,MANOR_LEVEL!$A:$A,0)-1,0),0)</f>
        <v>3872</v>
      </c>
      <c r="AG13" s="56">
        <v>6</v>
      </c>
      <c r="AI13" s="56">
        <f t="shared" ca="1" si="3"/>
        <v>47700</v>
      </c>
      <c r="AJ13" s="10">
        <f ca="1">AO13+AQ13+(IFERROR(OFFSET(ITEM_RES!$S$1,MATCH(AU13,ITEM_RES!$A:$A,0)-1,0),0)*AW13+IFERROR(OFFSET(ITEM_RES!$S$1,MATCH(AZ13,ITEM_RES!$A:$A,0)-1,0),0)*BB13+IFERROR(OFFSET(ITEM_RES!$S$1,MATCH(BE13,ITEM_RES!$A:$A,0)-1,0),0)*BG13+IFERROR(OFFSET(ITEM_RES!$S$1,MATCH(BJ13,ITEM_RES!$A:$A,0)-1,0),0)*BL13+IFERROR(OFFSET(ITEM_RES!$S$1,MATCH(BO13,ITEM_RES!$A:$A,0)-1,0),0)*BQ13)/1000</f>
        <v>47700</v>
      </c>
      <c r="AK13" s="183">
        <f t="shared" ca="1" si="8"/>
        <v>77900</v>
      </c>
      <c r="AM13" s="11">
        <f t="shared" si="4"/>
        <v>45</v>
      </c>
      <c r="AN13" s="10">
        <v>45</v>
      </c>
      <c r="AO13" s="11">
        <f t="shared" si="6"/>
        <v>150</v>
      </c>
      <c r="AP13" s="10">
        <v>150</v>
      </c>
      <c r="AQ13" s="11">
        <f t="shared" si="6"/>
        <v>150</v>
      </c>
      <c r="AR13" s="10">
        <v>150</v>
      </c>
      <c r="AS13" s="56">
        <f t="shared" si="7"/>
        <v>2</v>
      </c>
      <c r="AU13" s="11">
        <f ca="1">IFERROR(OFFSET(ITEM_RES!$A$1,MATCH(AV13,ITEM_RES!$J:$J,0)-1,0),0)</f>
        <v>211010501</v>
      </c>
      <c r="AV13" s="10" t="s">
        <v>427</v>
      </c>
      <c r="AW13" s="11">
        <v>1580000</v>
      </c>
      <c r="AZ13" s="11">
        <f ca="1">IFERROR(OFFSET(ITEM_RES!$A$1,MATCH(BA13,ITEM_RES!$J:$J,0)-1,0),0)</f>
        <v>211020101</v>
      </c>
      <c r="BA13" s="10" t="s">
        <v>448</v>
      </c>
      <c r="BB13" s="11">
        <v>1580000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O13" s="11">
        <f ca="1">IFERROR(OFFSET(ITEM_RES!$A$1,MATCH(BP13,ITEM_RES!$J:$J,0)-1,0),0)</f>
        <v>0</v>
      </c>
      <c r="BQ13" s="11">
        <f t="shared" si="5"/>
        <v>0</v>
      </c>
    </row>
    <row r="14" spans="1:70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566</v>
      </c>
      <c r="M14" s="9" t="s">
        <v>943</v>
      </c>
      <c r="N14" s="9" t="s">
        <v>963</v>
      </c>
      <c r="O14" s="9">
        <v>1</v>
      </c>
      <c r="P14" s="9">
        <v>15</v>
      </c>
      <c r="Q14" s="9" t="s">
        <v>776</v>
      </c>
      <c r="U14" s="9" t="s">
        <v>697</v>
      </c>
      <c r="X14" s="9">
        <f ca="1">IFERROR(OFFSET(ITEM_RES!$A$5,MATCH(BUILDING!W14,ITEM_RES!$J$5:$J$226,0)-1,0),0)</f>
        <v>0</v>
      </c>
      <c r="Z14" s="85" t="s">
        <v>538</v>
      </c>
      <c r="AA14" s="9">
        <f ca="1">IFERROR(OFFSET(ITEM_RES!$A$5,MATCH(BUILDING!Z14,ITEM_RES!$J$5:$J$226,0)-1,0),0)</f>
        <v>211010101</v>
      </c>
      <c r="AC14" s="9" t="s">
        <v>508</v>
      </c>
      <c r="AD14" s="9">
        <v>10</v>
      </c>
      <c r="AF14" s="11">
        <f ca="1">IFERROR(OFFSET(MANOR_LEVEL!$B$1,MATCH(AG14-1,MANOR_LEVEL!$A:$A,0)-1,0),0)</f>
        <v>32640</v>
      </c>
      <c r="AG14" s="56">
        <v>7</v>
      </c>
      <c r="AI14" s="56">
        <f t="shared" ca="1" si="3"/>
        <v>66500</v>
      </c>
      <c r="AJ14" s="10">
        <f ca="1">AO14+AQ14+(IFERROR(OFFSET(ITEM_RES!$S$1,MATCH(AU14,ITEM_RES!$A:$A,0)-1,0),0)*AW14+IFERROR(OFFSET(ITEM_RES!$S$1,MATCH(AZ14,ITEM_RES!$A:$A,0)-1,0),0)*BB14+IFERROR(OFFSET(ITEM_RES!$S$1,MATCH(BE14,ITEM_RES!$A:$A,0)-1,0),0)*BG14+IFERROR(OFFSET(ITEM_RES!$S$1,MATCH(BJ14,ITEM_RES!$A:$A,0)-1,0),0)*BL14+IFERROR(OFFSET(ITEM_RES!$S$1,MATCH(BO14,ITEM_RES!$A:$A,0)-1,0),0)*BQ14)/1000</f>
        <v>66500</v>
      </c>
      <c r="AK14" s="183">
        <f t="shared" ca="1" si="8"/>
        <v>114200</v>
      </c>
      <c r="AM14" s="11">
        <f t="shared" si="4"/>
        <v>50</v>
      </c>
      <c r="AN14" s="10">
        <v>50</v>
      </c>
      <c r="AO14" s="11">
        <f t="shared" si="6"/>
        <v>200</v>
      </c>
      <c r="AP14" s="10">
        <v>200</v>
      </c>
      <c r="AQ14" s="11">
        <f t="shared" si="6"/>
        <v>200</v>
      </c>
      <c r="AR14" s="10">
        <v>200</v>
      </c>
      <c r="AS14" s="56">
        <f t="shared" si="7"/>
        <v>3</v>
      </c>
      <c r="AU14" s="11">
        <f ca="1">IFERROR(OFFSET(ITEM_RES!$A$1,MATCH(AV14,ITEM_RES!$J:$J,0)-1,0),0)</f>
        <v>211010501</v>
      </c>
      <c r="AV14" s="10" t="s">
        <v>427</v>
      </c>
      <c r="AW14" s="11">
        <v>2200000</v>
      </c>
      <c r="AZ14" s="11">
        <f ca="1">IFERROR(OFFSET(ITEM_RES!$A$1,MATCH(BA14,ITEM_RES!$J:$J,0)-1,0),0)</f>
        <v>211020101</v>
      </c>
      <c r="BA14" s="10" t="s">
        <v>448</v>
      </c>
      <c r="BB14" s="11">
        <v>2200000</v>
      </c>
      <c r="BE14" s="11">
        <f ca="1">IFERROR(OFFSET(ITEM_RES!$A$1,MATCH(BF14,ITEM_RES!$J:$J,0)-1,0),0)</f>
        <v>0</v>
      </c>
      <c r="BJ14" s="11">
        <f ca="1">IFERROR(OFFSET(ITEM_RES!$A$1,MATCH(BK14,ITEM_RES!$J:$J,0)-1,0),0)</f>
        <v>213010501</v>
      </c>
      <c r="BK14" s="10" t="s">
        <v>459</v>
      </c>
      <c r="BL14" s="11">
        <v>1</v>
      </c>
      <c r="BO14" s="11">
        <f ca="1">IFERROR(OFFSET(ITEM_RES!$A$1,MATCH(BP14,ITEM_RES!$J:$J,0)-1,0),0)</f>
        <v>0</v>
      </c>
      <c r="BQ14" s="11">
        <f t="shared" si="5"/>
        <v>0</v>
      </c>
    </row>
    <row r="15" spans="1:70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566</v>
      </c>
      <c r="M15" s="9" t="s">
        <v>943</v>
      </c>
      <c r="N15" s="9" t="s">
        <v>963</v>
      </c>
      <c r="O15" s="9">
        <v>1</v>
      </c>
      <c r="P15" s="9">
        <v>15</v>
      </c>
      <c r="Q15" s="9" t="s">
        <v>776</v>
      </c>
      <c r="U15" s="9" t="s">
        <v>697</v>
      </c>
      <c r="X15" s="9">
        <f ca="1">IFERROR(OFFSET(ITEM_RES!$A$5,MATCH(BUILDING!W15,ITEM_RES!$J$5:$J$226,0)-1,0),0)</f>
        <v>0</v>
      </c>
      <c r="Z15" s="85" t="s">
        <v>538</v>
      </c>
      <c r="AA15" s="9">
        <f ca="1">IFERROR(OFFSET(ITEM_RES!$A$5,MATCH(BUILDING!Z15,ITEM_RES!$J$5:$J$226,0)-1,0),0)</f>
        <v>211010101</v>
      </c>
      <c r="AC15" s="9" t="s">
        <v>508</v>
      </c>
      <c r="AD15" s="9">
        <v>11</v>
      </c>
      <c r="AF15" s="11">
        <f ca="1">IFERROR(OFFSET(MANOR_LEVEL!$B$1,MATCH(AG15-1,MANOR_LEVEL!$A:$A,0)-1,0),0)</f>
        <v>94800</v>
      </c>
      <c r="AG15" s="56">
        <v>8</v>
      </c>
      <c r="AI15" s="56">
        <f t="shared" ca="1" si="3"/>
        <v>132500</v>
      </c>
      <c r="AJ15" s="10">
        <f ca="1">AO15+AQ15+(IFERROR(OFFSET(ITEM_RES!$S$1,MATCH(AU15,ITEM_RES!$A:$A,0)-1,0),0)*AW15+IFERROR(OFFSET(ITEM_RES!$S$1,MATCH(AZ15,ITEM_RES!$A:$A,0)-1,0),0)*BB15+IFERROR(OFFSET(ITEM_RES!$S$1,MATCH(BE15,ITEM_RES!$A:$A,0)-1,0),0)*BG15+IFERROR(OFFSET(ITEM_RES!$S$1,MATCH(BJ15,ITEM_RES!$A:$A,0)-1,0),0)*BL15+IFERROR(OFFSET(ITEM_RES!$S$1,MATCH(BO15,ITEM_RES!$A:$A,0)-1,0),0)*BQ15)/1000</f>
        <v>132500</v>
      </c>
      <c r="AK15" s="183">
        <f t="shared" ca="1" si="8"/>
        <v>199000</v>
      </c>
      <c r="AM15" s="11">
        <f t="shared" si="4"/>
        <v>55</v>
      </c>
      <c r="AN15" s="10">
        <v>55</v>
      </c>
      <c r="AO15" s="11">
        <f t="shared" si="6"/>
        <v>250</v>
      </c>
      <c r="AP15" s="10">
        <v>250</v>
      </c>
      <c r="AQ15" s="11">
        <f t="shared" si="6"/>
        <v>250</v>
      </c>
      <c r="AR15" s="10">
        <v>250</v>
      </c>
      <c r="AS15" s="56">
        <f t="shared" si="7"/>
        <v>2</v>
      </c>
      <c r="AU15" s="11">
        <f ca="1">IFERROR(OFFSET(ITEM_RES!$A$1,MATCH(AV15,ITEM_RES!$J:$J,0)-1,0),0)</f>
        <v>211010501</v>
      </c>
      <c r="AV15" s="10" t="s">
        <v>427</v>
      </c>
      <c r="AW15" s="11">
        <v>4400000</v>
      </c>
      <c r="AZ15" s="11">
        <f ca="1">IFERROR(OFFSET(ITEM_RES!$A$1,MATCH(BA15,ITEM_RES!$J:$J,0)-1,0),0)</f>
        <v>211020101</v>
      </c>
      <c r="BA15" s="10" t="s">
        <v>448</v>
      </c>
      <c r="BB15" s="11">
        <v>4400000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O15" s="11">
        <f ca="1">IFERROR(OFFSET(ITEM_RES!$A$1,MATCH(BP15,ITEM_RES!$J:$J,0)-1,0),0)</f>
        <v>0</v>
      </c>
      <c r="BQ15" s="11">
        <f t="shared" si="5"/>
        <v>0</v>
      </c>
    </row>
    <row r="16" spans="1:70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566</v>
      </c>
      <c r="M16" s="9" t="s">
        <v>943</v>
      </c>
      <c r="N16" s="9" t="s">
        <v>963</v>
      </c>
      <c r="O16" s="9">
        <v>1</v>
      </c>
      <c r="P16" s="9">
        <v>15</v>
      </c>
      <c r="Q16" s="9" t="s">
        <v>776</v>
      </c>
      <c r="U16" s="9" t="s">
        <v>697</v>
      </c>
      <c r="X16" s="9">
        <f ca="1">IFERROR(OFFSET(ITEM_RES!$A$5,MATCH(BUILDING!W16,ITEM_RES!$J$5:$J$226,0)-1,0),0)</f>
        <v>0</v>
      </c>
      <c r="Z16" s="85" t="s">
        <v>538</v>
      </c>
      <c r="AA16" s="9">
        <f ca="1">IFERROR(OFFSET(ITEM_RES!$A$5,MATCH(BUILDING!Z16,ITEM_RES!$J$5:$J$226,0)-1,0),0)</f>
        <v>211010101</v>
      </c>
      <c r="AC16" s="9" t="s">
        <v>508</v>
      </c>
      <c r="AD16" s="9">
        <v>12</v>
      </c>
      <c r="AF16" s="11">
        <f ca="1">IFERROR(OFFSET(MANOR_LEVEL!$B$1,MATCH(AG16-1,MANOR_LEVEL!$A:$A,0)-1,0),0)</f>
        <v>186400</v>
      </c>
      <c r="AG16" s="56">
        <v>9</v>
      </c>
      <c r="AI16" s="56">
        <f t="shared" ca="1" si="3"/>
        <v>156600</v>
      </c>
      <c r="AJ16" s="10">
        <f ca="1">AO16+AQ16+(IFERROR(OFFSET(ITEM_RES!$S$1,MATCH(AU16,ITEM_RES!$A:$A,0)-1,0),0)*AW16+IFERROR(OFFSET(ITEM_RES!$S$1,MATCH(AZ16,ITEM_RES!$A:$A,0)-1,0),0)*BB16+IFERROR(OFFSET(ITEM_RES!$S$1,MATCH(BE16,ITEM_RES!$A:$A,0)-1,0),0)*BG16+IFERROR(OFFSET(ITEM_RES!$S$1,MATCH(BJ16,ITEM_RES!$A:$A,0)-1,0),0)*BL16+IFERROR(OFFSET(ITEM_RES!$S$1,MATCH(BO16,ITEM_RES!$A:$A,0)-1,0),0)*BQ16)/1000</f>
        <v>156600</v>
      </c>
      <c r="AK16" s="183">
        <f t="shared" ca="1" si="8"/>
        <v>289100</v>
      </c>
      <c r="AM16" s="11">
        <f t="shared" si="4"/>
        <v>60</v>
      </c>
      <c r="AN16" s="10">
        <v>60</v>
      </c>
      <c r="AO16" s="11">
        <f t="shared" si="6"/>
        <v>300</v>
      </c>
      <c r="AP16" s="10">
        <v>300</v>
      </c>
      <c r="AQ16" s="11">
        <f t="shared" si="6"/>
        <v>300</v>
      </c>
      <c r="AR16" s="10">
        <v>300</v>
      </c>
      <c r="AS16" s="56">
        <f t="shared" si="7"/>
        <v>2</v>
      </c>
      <c r="AU16" s="11">
        <f ca="1">IFERROR(OFFSET(ITEM_RES!$A$1,MATCH(AV16,ITEM_RES!$J:$J,0)-1,0),0)</f>
        <v>211010501</v>
      </c>
      <c r="AV16" s="10" t="s">
        <v>427</v>
      </c>
      <c r="AW16" s="11">
        <v>5200000</v>
      </c>
      <c r="AZ16" s="11">
        <f ca="1">IFERROR(OFFSET(ITEM_RES!$A$1,MATCH(BA16,ITEM_RES!$J:$J,0)-1,0),0)</f>
        <v>211020101</v>
      </c>
      <c r="BA16" s="10" t="s">
        <v>448</v>
      </c>
      <c r="BB16" s="11">
        <v>5200000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O16" s="11">
        <f ca="1">IFERROR(OFFSET(ITEM_RES!$A$1,MATCH(BP16,ITEM_RES!$J:$J,0)-1,0),0)</f>
        <v>0</v>
      </c>
      <c r="BQ16" s="11">
        <f t="shared" si="5"/>
        <v>0</v>
      </c>
    </row>
    <row r="17" spans="1:70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566</v>
      </c>
      <c r="M17" s="9" t="s">
        <v>943</v>
      </c>
      <c r="N17" s="9" t="s">
        <v>963</v>
      </c>
      <c r="O17" s="9">
        <v>1</v>
      </c>
      <c r="P17" s="9">
        <v>15</v>
      </c>
      <c r="Q17" s="9" t="s">
        <v>776</v>
      </c>
      <c r="U17" s="9" t="s">
        <v>697</v>
      </c>
      <c r="X17" s="9">
        <f ca="1">IFERROR(OFFSET(ITEM_RES!$A$5,MATCH(BUILDING!W17,ITEM_RES!$J$5:$J$226,0)-1,0),0)</f>
        <v>0</v>
      </c>
      <c r="Z17" s="85" t="s">
        <v>538</v>
      </c>
      <c r="AA17" s="9">
        <f ca="1">IFERROR(OFFSET(ITEM_RES!$A$5,MATCH(BUILDING!Z17,ITEM_RES!$J$5:$J$226,0)-1,0),0)</f>
        <v>211010101</v>
      </c>
      <c r="AC17" s="9" t="s">
        <v>508</v>
      </c>
      <c r="AD17" s="9">
        <v>13</v>
      </c>
      <c r="AF17" s="11">
        <f ca="1">IFERROR(OFFSET(MANOR_LEVEL!$B$1,MATCH(AG17-1,MANOR_LEVEL!$A:$A,0)-1,0),0)</f>
        <v>311600</v>
      </c>
      <c r="AG17" s="56">
        <v>10</v>
      </c>
      <c r="AI17" s="56">
        <f t="shared" ca="1" si="3"/>
        <v>258700</v>
      </c>
      <c r="AJ17" s="10">
        <f ca="1">AO17+AQ17+(IFERROR(OFFSET(ITEM_RES!$S$1,MATCH(AU17,ITEM_RES!$A:$A,0)-1,0),0)*AW17+IFERROR(OFFSET(ITEM_RES!$S$1,MATCH(AZ17,ITEM_RES!$A:$A,0)-1,0),0)*BB17+IFERROR(OFFSET(ITEM_RES!$S$1,MATCH(BE17,ITEM_RES!$A:$A,0)-1,0),0)*BG17+IFERROR(OFFSET(ITEM_RES!$S$1,MATCH(BJ17,ITEM_RES!$A:$A,0)-1,0),0)*BL17+IFERROR(OFFSET(ITEM_RES!$S$1,MATCH(BO17,ITEM_RES!$A:$A,0)-1,0),0)*BQ17)/1000</f>
        <v>258700</v>
      </c>
      <c r="AK17" s="183">
        <f t="shared" ca="1" si="8"/>
        <v>415300</v>
      </c>
      <c r="AM17" s="11">
        <f t="shared" si="4"/>
        <v>65</v>
      </c>
      <c r="AN17" s="10">
        <v>65</v>
      </c>
      <c r="AO17" s="11">
        <f t="shared" si="6"/>
        <v>350</v>
      </c>
      <c r="AP17" s="10">
        <v>350</v>
      </c>
      <c r="AQ17" s="11">
        <f t="shared" si="6"/>
        <v>350</v>
      </c>
      <c r="AR17" s="10">
        <v>350</v>
      </c>
      <c r="AS17" s="56">
        <f t="shared" si="7"/>
        <v>2</v>
      </c>
      <c r="AU17" s="11">
        <f ca="1">IFERROR(OFFSET(ITEM_RES!$A$1,MATCH(AV17,ITEM_RES!$J:$J,0)-1,0),0)</f>
        <v>211010501</v>
      </c>
      <c r="AV17" s="10" t="s">
        <v>427</v>
      </c>
      <c r="AW17" s="11">
        <v>8600000</v>
      </c>
      <c r="AZ17" s="11">
        <f ca="1">IFERROR(OFFSET(ITEM_RES!$A$1,MATCH(BA17,ITEM_RES!$J:$J,0)-1,0),0)</f>
        <v>211020101</v>
      </c>
      <c r="BA17" s="10" t="s">
        <v>448</v>
      </c>
      <c r="BB17" s="11">
        <v>8600000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O17" s="11">
        <f ca="1">IFERROR(OFFSET(ITEM_RES!$A$1,MATCH(BP17,ITEM_RES!$J:$J,0)-1,0),0)</f>
        <v>0</v>
      </c>
      <c r="BQ17" s="11">
        <f t="shared" si="5"/>
        <v>0</v>
      </c>
    </row>
    <row r="18" spans="1:70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566</v>
      </c>
      <c r="M18" s="9" t="s">
        <v>943</v>
      </c>
      <c r="N18" s="9" t="s">
        <v>963</v>
      </c>
      <c r="O18" s="9">
        <v>1</v>
      </c>
      <c r="P18" s="9">
        <v>15</v>
      </c>
      <c r="Q18" s="9" t="s">
        <v>776</v>
      </c>
      <c r="U18" s="9" t="s">
        <v>697</v>
      </c>
      <c r="X18" s="9">
        <f ca="1">IFERROR(OFFSET(ITEM_RES!$A$5,MATCH(BUILDING!W18,ITEM_RES!$J$5:$J$226,0)-1,0),0)</f>
        <v>0</v>
      </c>
      <c r="Z18" s="85" t="s">
        <v>538</v>
      </c>
      <c r="AA18" s="9">
        <f ca="1">IFERROR(OFFSET(ITEM_RES!$A$5,MATCH(BUILDING!Z18,ITEM_RES!$J$5:$J$226,0)-1,0),0)</f>
        <v>211010101</v>
      </c>
      <c r="AC18" s="9" t="s">
        <v>508</v>
      </c>
      <c r="AD18" s="9">
        <v>14</v>
      </c>
      <c r="AF18" s="11">
        <f ca="1">IFERROR(OFFSET(MANOR_LEVEL!$B$1,MATCH(AG18-1,MANOR_LEVEL!$A:$A,0)-1,0),0)</f>
        <v>456800</v>
      </c>
      <c r="AG18" s="56">
        <v>11</v>
      </c>
      <c r="AI18" s="56">
        <f t="shared" ca="1" si="3"/>
        <v>396900</v>
      </c>
      <c r="AJ18" s="10">
        <f ca="1">AO18+AQ18+(IFERROR(OFFSET(ITEM_RES!$S$1,MATCH(AU18,ITEM_RES!$A:$A,0)-1,0),0)*AW18+IFERROR(OFFSET(ITEM_RES!$S$1,MATCH(AZ18,ITEM_RES!$A:$A,0)-1,0),0)*BB18+IFERROR(OFFSET(ITEM_RES!$S$1,MATCH(BE18,ITEM_RES!$A:$A,0)-1,0),0)*BG18+IFERROR(OFFSET(ITEM_RES!$S$1,MATCH(BJ18,ITEM_RES!$A:$A,0)-1,0),0)*BL18+IFERROR(OFFSET(ITEM_RES!$S$1,MATCH(BO18,ITEM_RES!$A:$A,0)-1,0),0)*BQ18)/1000</f>
        <v>396900</v>
      </c>
      <c r="AK18" s="183">
        <f t="shared" ca="1" si="8"/>
        <v>655600</v>
      </c>
      <c r="AM18" s="11">
        <f t="shared" si="4"/>
        <v>70</v>
      </c>
      <c r="AN18" s="10">
        <v>70</v>
      </c>
      <c r="AO18" s="11">
        <f t="shared" si="6"/>
        <v>450</v>
      </c>
      <c r="AP18" s="10">
        <v>450</v>
      </c>
      <c r="AQ18" s="11">
        <f t="shared" si="6"/>
        <v>450</v>
      </c>
      <c r="AR18" s="10">
        <v>450</v>
      </c>
      <c r="AS18" s="56">
        <f t="shared" si="7"/>
        <v>2</v>
      </c>
      <c r="AU18" s="11">
        <f ca="1">IFERROR(OFFSET(ITEM_RES!$A$1,MATCH(AV18,ITEM_RES!$J:$J,0)-1,0),0)</f>
        <v>211010501</v>
      </c>
      <c r="AV18" s="10" t="s">
        <v>427</v>
      </c>
      <c r="AW18" s="11">
        <v>13200000</v>
      </c>
      <c r="AZ18" s="11">
        <f ca="1">IFERROR(OFFSET(ITEM_RES!$A$1,MATCH(BA18,ITEM_RES!$J:$J,0)-1,0),0)</f>
        <v>211020101</v>
      </c>
      <c r="BA18" s="10" t="s">
        <v>448</v>
      </c>
      <c r="BB18" s="11">
        <v>13200000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O18" s="11">
        <f ca="1">IFERROR(OFFSET(ITEM_RES!$A$1,MATCH(BP18,ITEM_RES!$J:$J,0)-1,0),0)</f>
        <v>0</v>
      </c>
      <c r="BQ18" s="11">
        <f t="shared" si="5"/>
        <v>0</v>
      </c>
    </row>
    <row r="19" spans="1:70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566</v>
      </c>
      <c r="M19" s="9" t="s">
        <v>943</v>
      </c>
      <c r="N19" s="9" t="s">
        <v>963</v>
      </c>
      <c r="O19" s="9">
        <v>1</v>
      </c>
      <c r="P19" s="9">
        <v>15</v>
      </c>
      <c r="Q19" s="9" t="s">
        <v>776</v>
      </c>
      <c r="U19" s="9" t="s">
        <v>697</v>
      </c>
      <c r="X19" s="9">
        <f ca="1">IFERROR(OFFSET(ITEM_RES!$A$5,MATCH(BUILDING!W19,ITEM_RES!$J$5:$J$226,0)-1,0),0)</f>
        <v>0</v>
      </c>
      <c r="Z19" s="85" t="s">
        <v>538</v>
      </c>
      <c r="AA19" s="9">
        <f ca="1">IFERROR(OFFSET(ITEM_RES!$A$5,MATCH(BUILDING!Z19,ITEM_RES!$J$5:$J$226,0)-1,0),0)</f>
        <v>211010101</v>
      </c>
      <c r="AC19" s="9" t="s">
        <v>508</v>
      </c>
      <c r="AD19" s="9">
        <v>15</v>
      </c>
      <c r="AF19" s="11">
        <f ca="1">IFERROR(OFFSET(MANOR_LEVEL!$B$1,MATCH(AG19-1,MANOR_LEVEL!$A:$A,0)-1,0),0)</f>
        <v>796000</v>
      </c>
      <c r="AG19" s="56">
        <v>12</v>
      </c>
      <c r="AI19" s="56">
        <f t="shared" ca="1" si="3"/>
        <v>661100</v>
      </c>
      <c r="AJ19" s="10">
        <f ca="1">AO19+AQ19+(IFERROR(OFFSET(ITEM_RES!$S$1,MATCH(AU19,ITEM_RES!$A:$A,0)-1,0),0)*AW19+IFERROR(OFFSET(ITEM_RES!$S$1,MATCH(AZ19,ITEM_RES!$A:$A,0)-1,0),0)*BB19+IFERROR(OFFSET(ITEM_RES!$S$1,MATCH(BE19,ITEM_RES!$A:$A,0)-1,0),0)*BG19+IFERROR(OFFSET(ITEM_RES!$S$1,MATCH(BJ19,ITEM_RES!$A:$A,0)-1,0),0)*BL19+IFERROR(OFFSET(ITEM_RES!$S$1,MATCH(BO19,ITEM_RES!$A:$A,0)-1,0),0)*BQ19)/1000</f>
        <v>661100</v>
      </c>
      <c r="AK19" s="183">
        <f t="shared" ca="1" si="8"/>
        <v>1058000</v>
      </c>
      <c r="AM19" s="11">
        <f t="shared" si="4"/>
        <v>75</v>
      </c>
      <c r="AN19" s="10">
        <v>75</v>
      </c>
      <c r="AO19" s="11">
        <f t="shared" si="6"/>
        <v>550</v>
      </c>
      <c r="AP19" s="10">
        <v>550</v>
      </c>
      <c r="AQ19" s="11">
        <f t="shared" si="6"/>
        <v>550</v>
      </c>
      <c r="AR19" s="10">
        <v>550</v>
      </c>
      <c r="AS19" s="56">
        <f t="shared" si="7"/>
        <v>2</v>
      </c>
      <c r="AU19" s="11">
        <f ca="1">IFERROR(OFFSET(ITEM_RES!$A$1,MATCH(AV19,ITEM_RES!$J:$J,0)-1,0),0)</f>
        <v>211010501</v>
      </c>
      <c r="AV19" s="10" t="s">
        <v>427</v>
      </c>
      <c r="AW19" s="11">
        <v>22000000</v>
      </c>
      <c r="AZ19" s="11">
        <f ca="1">IFERROR(OFFSET(ITEM_RES!$A$1,MATCH(BA19,ITEM_RES!$J:$J,0)-1,0),0)</f>
        <v>211020101</v>
      </c>
      <c r="BA19" s="10" t="s">
        <v>448</v>
      </c>
      <c r="BB19" s="11">
        <v>22000000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O19" s="11">
        <f ca="1">IFERROR(OFFSET(ITEM_RES!$A$1,MATCH(BP19,ITEM_RES!$J:$J,0)-1,0),0)</f>
        <v>0</v>
      </c>
      <c r="BQ19" s="11">
        <f t="shared" si="5"/>
        <v>0</v>
      </c>
    </row>
    <row r="20" spans="1:70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566</v>
      </c>
      <c r="M20" s="9" t="s">
        <v>943</v>
      </c>
      <c r="N20" s="9" t="s">
        <v>963</v>
      </c>
      <c r="O20" s="9">
        <v>0</v>
      </c>
      <c r="P20" s="9">
        <v>15</v>
      </c>
      <c r="Q20" s="9" t="s">
        <v>776</v>
      </c>
      <c r="U20" s="9" t="s">
        <v>698</v>
      </c>
      <c r="X20" s="9">
        <f ca="1">IFERROR(OFFSET(ITEM_RES!$A$5,MATCH(BUILDING!W20,ITEM_RES!$J$5:$J$226,0)-1,0),0)</f>
        <v>0</v>
      </c>
      <c r="Z20" s="85" t="s">
        <v>538</v>
      </c>
      <c r="AA20" s="9">
        <f ca="1">IFERROR(OFFSET(ITEM_RES!$A$5,MATCH(BUILDING!Z20,ITEM_RES!$J$5:$J$226,0)-1,0),0)</f>
        <v>211010101</v>
      </c>
      <c r="AC20" s="9" t="s">
        <v>508</v>
      </c>
      <c r="AD20" s="9">
        <v>16</v>
      </c>
      <c r="AF20" s="11">
        <f ca="1">IFERROR(OFFSET(MANOR_LEVEL!$B$1,MATCH(AG20-1,MANOR_LEVEL!$A:$A,0)-1,0),0)</f>
        <v>1156400</v>
      </c>
      <c r="AG20" s="56">
        <v>13</v>
      </c>
      <c r="AI20" s="56">
        <f t="shared" ca="1" si="3"/>
        <v>1201400</v>
      </c>
      <c r="AJ20" s="10">
        <f ca="1">AO20+AQ20+(IFERROR(OFFSET(ITEM_RES!$S$1,MATCH(AU20,ITEM_RES!$A:$A,0)-1,0),0)*AW20+IFERROR(OFFSET(ITEM_RES!$S$1,MATCH(AZ20,ITEM_RES!$A:$A,0)-1,0),0)*BB20+IFERROR(OFFSET(ITEM_RES!$S$1,MATCH(BE20,ITEM_RES!$A:$A,0)-1,0),0)*BG20+IFERROR(OFFSET(ITEM_RES!$S$1,MATCH(BJ20,ITEM_RES!$A:$A,0)-1,0),0)*BL20+IFERROR(OFFSET(ITEM_RES!$S$1,MATCH(BO20,ITEM_RES!$A:$A,0)-1,0),0)*BQ20)/1000</f>
        <v>1201400</v>
      </c>
      <c r="AK20" s="183">
        <f t="shared" ca="1" si="8"/>
        <v>1862500</v>
      </c>
      <c r="AM20" s="11">
        <f t="shared" si="4"/>
        <v>80</v>
      </c>
      <c r="AN20" s="10">
        <v>80</v>
      </c>
      <c r="AO20" s="11">
        <f t="shared" si="6"/>
        <v>700</v>
      </c>
      <c r="AP20" s="10">
        <v>700</v>
      </c>
      <c r="AQ20" s="11">
        <f t="shared" si="6"/>
        <v>700</v>
      </c>
      <c r="AR20" s="10">
        <v>700</v>
      </c>
      <c r="AS20" s="56">
        <f t="shared" si="7"/>
        <v>2</v>
      </c>
      <c r="AU20" s="11">
        <f ca="1">IFERROR(OFFSET(ITEM_RES!$A$1,MATCH(AV20,ITEM_RES!$J:$J,0)-1,0),0)</f>
        <v>211010601</v>
      </c>
      <c r="AV20" s="10" t="s">
        <v>443</v>
      </c>
      <c r="AW20" s="11">
        <v>30000000</v>
      </c>
      <c r="AZ20" s="11">
        <f ca="1">IFERROR(OFFSET(ITEM_RES!$A$1,MATCH(BA20,ITEM_RES!$J:$J,0)-1,0),0)</f>
        <v>211020101</v>
      </c>
      <c r="BA20" s="10" t="s">
        <v>448</v>
      </c>
      <c r="BB20" s="11">
        <v>30000000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O20" s="11">
        <f ca="1">IFERROR(OFFSET(ITEM_RES!$A$1,MATCH(BP20,ITEM_RES!$J:$J,0)-1,0),0)</f>
        <v>0</v>
      </c>
      <c r="BQ20" s="11">
        <f t="shared" si="5"/>
        <v>0</v>
      </c>
    </row>
    <row r="21" spans="1:70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566</v>
      </c>
      <c r="M21" s="9" t="s">
        <v>943</v>
      </c>
      <c r="N21" s="9" t="s">
        <v>963</v>
      </c>
      <c r="O21" s="9">
        <v>0</v>
      </c>
      <c r="P21" s="9">
        <v>15</v>
      </c>
      <c r="Q21" s="9" t="s">
        <v>776</v>
      </c>
      <c r="U21" s="9" t="s">
        <v>698</v>
      </c>
      <c r="X21" s="9">
        <f ca="1">IFERROR(OFFSET(ITEM_RES!$A$5,MATCH(BUILDING!W21,ITEM_RES!$J$5:$J$226,0)-1,0),0)</f>
        <v>0</v>
      </c>
      <c r="Z21" s="85" t="s">
        <v>538</v>
      </c>
      <c r="AA21" s="9">
        <f ca="1">IFERROR(OFFSET(ITEM_RES!$A$5,MATCH(BUILDING!Z21,ITEM_RES!$J$5:$J$226,0)-1,0),0)</f>
        <v>211010101</v>
      </c>
      <c r="AC21" s="9" t="s">
        <v>508</v>
      </c>
      <c r="AD21" s="9">
        <v>17</v>
      </c>
      <c r="AF21" s="11">
        <f ca="1">IFERROR(OFFSET(MANOR_LEVEL!$B$1,MATCH(AG21-1,MANOR_LEVEL!$A:$A,0)-1,0),0)</f>
        <v>1661200</v>
      </c>
      <c r="AG21" s="56">
        <v>14</v>
      </c>
      <c r="AI21" s="56">
        <f t="shared" ca="1" si="3"/>
        <v>1841700</v>
      </c>
      <c r="AJ21" s="10">
        <f ca="1">AO21+AQ21+(IFERROR(OFFSET(ITEM_RES!$S$1,MATCH(AU21,ITEM_RES!$A:$A,0)-1,0),0)*AW21+IFERROR(OFFSET(ITEM_RES!$S$1,MATCH(AZ21,ITEM_RES!$A:$A,0)-1,0),0)*BB21+IFERROR(OFFSET(ITEM_RES!$S$1,MATCH(BE21,ITEM_RES!$A:$A,0)-1,0),0)*BG21+IFERROR(OFFSET(ITEM_RES!$S$1,MATCH(BJ21,ITEM_RES!$A:$A,0)-1,0),0)*BL21+IFERROR(OFFSET(ITEM_RES!$S$1,MATCH(BO21,ITEM_RES!$A:$A,0)-1,0),0)*BQ21)/1000</f>
        <v>1841700</v>
      </c>
      <c r="AK21" s="183">
        <f t="shared" ca="1" si="8"/>
        <v>3043100</v>
      </c>
      <c r="AM21" s="11">
        <f t="shared" si="4"/>
        <v>85</v>
      </c>
      <c r="AN21" s="10">
        <v>85</v>
      </c>
      <c r="AO21" s="11">
        <f t="shared" si="6"/>
        <v>850</v>
      </c>
      <c r="AP21" s="10">
        <v>850</v>
      </c>
      <c r="AQ21" s="11">
        <f t="shared" si="6"/>
        <v>850</v>
      </c>
      <c r="AR21" s="10">
        <v>850</v>
      </c>
      <c r="AS21" s="56">
        <f t="shared" si="7"/>
        <v>2</v>
      </c>
      <c r="AU21" s="11">
        <f ca="1">IFERROR(OFFSET(ITEM_RES!$A$1,MATCH(AV21,ITEM_RES!$J:$J,0)-1,0),0)</f>
        <v>211010601</v>
      </c>
      <c r="AV21" s="10" t="s">
        <v>443</v>
      </c>
      <c r="AW21" s="11">
        <v>46000000</v>
      </c>
      <c r="AZ21" s="11">
        <f ca="1">IFERROR(OFFSET(ITEM_RES!$A$1,MATCH(BA21,ITEM_RES!$J:$J,0)-1,0),0)</f>
        <v>211020101</v>
      </c>
      <c r="BA21" s="10" t="s">
        <v>448</v>
      </c>
      <c r="BB21" s="11">
        <v>46000000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O21" s="11">
        <f ca="1">IFERROR(OFFSET(ITEM_RES!$A$1,MATCH(BP21,ITEM_RES!$J:$J,0)-1,0),0)</f>
        <v>0</v>
      </c>
      <c r="BQ21" s="11">
        <f t="shared" si="5"/>
        <v>0</v>
      </c>
    </row>
    <row r="22" spans="1:70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566</v>
      </c>
      <c r="M22" s="9" t="s">
        <v>943</v>
      </c>
      <c r="N22" s="9" t="s">
        <v>963</v>
      </c>
      <c r="O22" s="9">
        <v>0</v>
      </c>
      <c r="P22" s="9">
        <v>15</v>
      </c>
      <c r="Q22" s="9" t="s">
        <v>776</v>
      </c>
      <c r="U22" s="9" t="s">
        <v>698</v>
      </c>
      <c r="X22" s="9">
        <f ca="1">IFERROR(OFFSET(ITEM_RES!$A$5,MATCH(BUILDING!W22,ITEM_RES!$J$5:$J$226,0)-1,0),0)</f>
        <v>0</v>
      </c>
      <c r="Z22" s="85" t="s">
        <v>538</v>
      </c>
      <c r="AA22" s="9">
        <f ca="1">IFERROR(OFFSET(ITEM_RES!$A$5,MATCH(BUILDING!Z22,ITEM_RES!$J$5:$J$226,0)-1,0),0)</f>
        <v>211010101</v>
      </c>
      <c r="AC22" s="9" t="s">
        <v>508</v>
      </c>
      <c r="AD22" s="9">
        <v>18</v>
      </c>
      <c r="AF22" s="11">
        <f ca="1">IFERROR(OFFSET(MANOR_LEVEL!$B$1,MATCH(AG22-1,MANOR_LEVEL!$A:$A,0)-1,0),0)</f>
        <v>2622400</v>
      </c>
      <c r="AG22" s="56">
        <v>15</v>
      </c>
      <c r="AI22" s="56">
        <f t="shared" ca="1" si="3"/>
        <v>2802100</v>
      </c>
      <c r="AJ22" s="10">
        <f ca="1">AO22+AQ22+(IFERROR(OFFSET(ITEM_RES!$S$1,MATCH(AU22,ITEM_RES!$A:$A,0)-1,0),0)*AW22+IFERROR(OFFSET(ITEM_RES!$S$1,MATCH(AZ22,ITEM_RES!$A:$A,0)-1,0),0)*BB22+IFERROR(OFFSET(ITEM_RES!$S$1,MATCH(BE22,ITEM_RES!$A:$A,0)-1,0),0)*BG22+IFERROR(OFFSET(ITEM_RES!$S$1,MATCH(BJ22,ITEM_RES!$A:$A,0)-1,0),0)*BL22+IFERROR(OFFSET(ITEM_RES!$S$1,MATCH(BO22,ITEM_RES!$A:$A,0)-1,0),0)*BQ22)/1000</f>
        <v>2802100</v>
      </c>
      <c r="AK22" s="183">
        <f t="shared" ca="1" si="8"/>
        <v>4643800</v>
      </c>
      <c r="AM22" s="11">
        <f t="shared" si="4"/>
        <v>90</v>
      </c>
      <c r="AN22" s="10">
        <v>90</v>
      </c>
      <c r="AO22" s="11">
        <f t="shared" si="6"/>
        <v>1050</v>
      </c>
      <c r="AP22" s="10">
        <v>1050</v>
      </c>
      <c r="AQ22" s="11">
        <f t="shared" si="6"/>
        <v>1050</v>
      </c>
      <c r="AR22" s="10">
        <v>1050</v>
      </c>
      <c r="AS22" s="56">
        <f t="shared" si="7"/>
        <v>2</v>
      </c>
      <c r="AU22" s="11">
        <f ca="1">IFERROR(OFFSET(ITEM_RES!$A$1,MATCH(AV22,ITEM_RES!$J:$J,0)-1,0),0)</f>
        <v>211010601</v>
      </c>
      <c r="AV22" s="10" t="s">
        <v>443</v>
      </c>
      <c r="AW22" s="11">
        <v>70000000</v>
      </c>
      <c r="AZ22" s="11">
        <f ca="1">IFERROR(OFFSET(ITEM_RES!$A$1,MATCH(BA22,ITEM_RES!$J:$J,0)-1,0),0)</f>
        <v>211020101</v>
      </c>
      <c r="BA22" s="10" t="s">
        <v>448</v>
      </c>
      <c r="BB22" s="11">
        <v>70000000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O22" s="11">
        <f ca="1">IFERROR(OFFSET(ITEM_RES!$A$1,MATCH(BP22,ITEM_RES!$J:$J,0)-1,0),0)</f>
        <v>0</v>
      </c>
      <c r="BQ22" s="11">
        <f t="shared" si="5"/>
        <v>0</v>
      </c>
    </row>
    <row r="23" spans="1:70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566</v>
      </c>
      <c r="M23" s="9" t="s">
        <v>943</v>
      </c>
      <c r="N23" s="9" t="s">
        <v>963</v>
      </c>
      <c r="O23" s="9">
        <v>0</v>
      </c>
      <c r="P23" s="9">
        <v>15</v>
      </c>
      <c r="Q23" s="9" t="s">
        <v>776</v>
      </c>
      <c r="U23" s="9" t="s">
        <v>698</v>
      </c>
      <c r="X23" s="9">
        <f ca="1">IFERROR(OFFSET(ITEM_RES!$A$5,MATCH(BUILDING!W23,ITEM_RES!$J$5:$J$226,0)-1,0),0)</f>
        <v>0</v>
      </c>
      <c r="Z23" s="85" t="s">
        <v>538</v>
      </c>
      <c r="AA23" s="9">
        <f ca="1">IFERROR(OFFSET(ITEM_RES!$A$5,MATCH(BUILDING!Z23,ITEM_RES!$J$5:$J$226,0)-1,0),0)</f>
        <v>211010101</v>
      </c>
      <c r="AC23" s="9" t="s">
        <v>508</v>
      </c>
      <c r="AD23" s="9">
        <v>19</v>
      </c>
      <c r="AF23" s="11">
        <f ca="1">IFERROR(OFFSET(MANOR_LEVEL!$B$1,MATCH(AG23-1,MANOR_LEVEL!$A:$A,0)-1,0),0)</f>
        <v>4232000</v>
      </c>
      <c r="AG23" s="56">
        <v>16</v>
      </c>
      <c r="AI23" s="56">
        <f t="shared" ca="1" si="3"/>
        <v>3842500</v>
      </c>
      <c r="AJ23" s="10">
        <f ca="1">AO23+AQ23+(IFERROR(OFFSET(ITEM_RES!$S$1,MATCH(AU23,ITEM_RES!$A:$A,0)-1,0),0)*AW23+IFERROR(OFFSET(ITEM_RES!$S$1,MATCH(AZ23,ITEM_RES!$A:$A,0)-1,0),0)*BB23+IFERROR(OFFSET(ITEM_RES!$S$1,MATCH(BE23,ITEM_RES!$A:$A,0)-1,0),0)*BG23+IFERROR(OFFSET(ITEM_RES!$S$1,MATCH(BJ23,ITEM_RES!$A:$A,0)-1,0),0)*BL23+IFERROR(OFFSET(ITEM_RES!$S$1,MATCH(BO23,ITEM_RES!$A:$A,0)-1,0),0)*BQ23)/1000</f>
        <v>3842500</v>
      </c>
      <c r="AK23" s="183">
        <f t="shared" ca="1" si="8"/>
        <v>6644600</v>
      </c>
      <c r="AM23" s="11">
        <f t="shared" si="4"/>
        <v>95</v>
      </c>
      <c r="AN23" s="10">
        <v>95</v>
      </c>
      <c r="AO23" s="11">
        <f t="shared" si="6"/>
        <v>1250</v>
      </c>
      <c r="AP23" s="10">
        <v>1250</v>
      </c>
      <c r="AQ23" s="11">
        <f t="shared" si="6"/>
        <v>1250</v>
      </c>
      <c r="AR23" s="10">
        <v>1250</v>
      </c>
      <c r="AS23" s="56">
        <f t="shared" si="7"/>
        <v>2</v>
      </c>
      <c r="AU23" s="11">
        <f ca="1">IFERROR(OFFSET(ITEM_RES!$A$1,MATCH(AV23,ITEM_RES!$J:$J,0)-1,0),0)</f>
        <v>211010601</v>
      </c>
      <c r="AV23" s="10" t="s">
        <v>443</v>
      </c>
      <c r="AW23" s="11">
        <v>96000000</v>
      </c>
      <c r="AZ23" s="11">
        <f ca="1">IFERROR(OFFSET(ITEM_RES!$A$1,MATCH(BA23,ITEM_RES!$J:$J,0)-1,0),0)</f>
        <v>211020101</v>
      </c>
      <c r="BA23" s="10" t="s">
        <v>448</v>
      </c>
      <c r="BB23" s="11">
        <v>96000000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O23" s="11">
        <f ca="1">IFERROR(OFFSET(ITEM_RES!$A$1,MATCH(BP23,ITEM_RES!$J:$J,0)-1,0),0)</f>
        <v>0</v>
      </c>
      <c r="BQ23" s="11">
        <f t="shared" si="5"/>
        <v>0</v>
      </c>
    </row>
    <row r="24" spans="1:70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566</v>
      </c>
      <c r="M24" s="9" t="s">
        <v>943</v>
      </c>
      <c r="N24" s="9" t="s">
        <v>963</v>
      </c>
      <c r="O24" s="9">
        <v>0</v>
      </c>
      <c r="P24" s="9">
        <v>15</v>
      </c>
      <c r="Q24" s="9" t="s">
        <v>776</v>
      </c>
      <c r="U24" s="9" t="s">
        <v>699</v>
      </c>
      <c r="X24" s="9">
        <f ca="1">IFERROR(OFFSET(ITEM_RES!$A$5,MATCH(BUILDING!W24,ITEM_RES!$J$5:$J$226,0)-1,0),0)</f>
        <v>0</v>
      </c>
      <c r="Z24" s="85" t="s">
        <v>538</v>
      </c>
      <c r="AA24" s="9">
        <f ca="1">IFERROR(OFFSET(ITEM_RES!$A$5,MATCH(BUILDING!Z24,ITEM_RES!$J$5:$J$226,0)-1,0),0)</f>
        <v>211010101</v>
      </c>
      <c r="AC24" s="9" t="s">
        <v>508</v>
      </c>
      <c r="AD24" s="9">
        <v>20</v>
      </c>
      <c r="AF24" s="11">
        <f ca="1">IFERROR(OFFSET(MANOR_LEVEL!$B$1,MATCH(AG24-1,MANOR_LEVEL!$A:$A,0)-1,0),0)</f>
        <v>7450000</v>
      </c>
      <c r="AG24" s="56">
        <v>17</v>
      </c>
      <c r="AI24" s="56">
        <f t="shared" ca="1" si="3"/>
        <v>6083000</v>
      </c>
      <c r="AJ24" s="10">
        <f ca="1">AO24+AQ24+(IFERROR(OFFSET(ITEM_RES!$S$1,MATCH(AU24,ITEM_RES!$A:$A,0)-1,0),0)*AW24+IFERROR(OFFSET(ITEM_RES!$S$1,MATCH(AZ24,ITEM_RES!$A:$A,0)-1,0),0)*BB24+IFERROR(OFFSET(ITEM_RES!$S$1,MATCH(BE24,ITEM_RES!$A:$A,0)-1,0),0)*BG24+IFERROR(OFFSET(ITEM_RES!$S$1,MATCH(BJ24,ITEM_RES!$A:$A,0)-1,0),0)*BL24+IFERROR(OFFSET(ITEM_RES!$S$1,MATCH(BO24,ITEM_RES!$A:$A,0)-1,0),0)*BQ24)/1000</f>
        <v>6083000</v>
      </c>
      <c r="AK24" s="183">
        <f t="shared" ca="1" si="8"/>
        <v>9925500</v>
      </c>
      <c r="AM24" s="11">
        <f t="shared" si="4"/>
        <v>100</v>
      </c>
      <c r="AN24" s="10">
        <v>100</v>
      </c>
      <c r="AO24" s="11">
        <f t="shared" si="6"/>
        <v>1500</v>
      </c>
      <c r="AP24" s="10">
        <v>1500</v>
      </c>
      <c r="AQ24" s="11">
        <f t="shared" si="6"/>
        <v>1500</v>
      </c>
      <c r="AR24" s="10">
        <v>1500</v>
      </c>
      <c r="AS24" s="56">
        <f t="shared" si="7"/>
        <v>2</v>
      </c>
      <c r="AU24" s="11">
        <f ca="1">IFERROR(OFFSET(ITEM_RES!$A$1,MATCH(AV24,ITEM_RES!$J:$J,0)-1,0),0)</f>
        <v>211010601</v>
      </c>
      <c r="AV24" s="10" t="s">
        <v>443</v>
      </c>
      <c r="AW24" s="11">
        <v>152000000</v>
      </c>
      <c r="AZ24" s="11">
        <f ca="1">IFERROR(OFFSET(ITEM_RES!$A$1,MATCH(BA24,ITEM_RES!$J:$J,0)-1,0),0)</f>
        <v>211020101</v>
      </c>
      <c r="BA24" s="10" t="s">
        <v>448</v>
      </c>
      <c r="BB24" s="11">
        <v>152000000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O24" s="11">
        <f ca="1">IFERROR(OFFSET(ITEM_RES!$A$1,MATCH(BP24,ITEM_RES!$J:$J,0)-1,0),0)</f>
        <v>0</v>
      </c>
      <c r="BQ24" s="11">
        <f t="shared" si="5"/>
        <v>0</v>
      </c>
    </row>
    <row r="25" spans="1:70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9"/>
      <c r="H25" s="16">
        <v>1</v>
      </c>
      <c r="I25" s="16">
        <v>1</v>
      </c>
      <c r="J25" s="79"/>
      <c r="K25" s="16" t="s">
        <v>567</v>
      </c>
      <c r="L25" s="16">
        <v>5</v>
      </c>
      <c r="M25" s="16" t="s">
        <v>944</v>
      </c>
      <c r="N25" s="16" t="s">
        <v>964</v>
      </c>
      <c r="O25" s="16">
        <v>1</v>
      </c>
      <c r="P25" s="16">
        <v>15</v>
      </c>
      <c r="Q25" s="16" t="s">
        <v>778</v>
      </c>
      <c r="R25" s="17"/>
      <c r="S25" s="17"/>
      <c r="T25" s="18"/>
      <c r="U25" s="16" t="s">
        <v>701</v>
      </c>
      <c r="V25" s="79"/>
      <c r="W25" s="87"/>
      <c r="X25" s="16">
        <f ca="1">IFERROR(OFFSET(ITEM_RES!$A$5,MATCH(BUILDING!W25,ITEM_RES!$J$5:$J$226,0)-1,0),0)</f>
        <v>0</v>
      </c>
      <c r="Y25" s="18"/>
      <c r="Z25" s="87" t="s">
        <v>539</v>
      </c>
      <c r="AA25" s="16">
        <f ca="1">IFERROR(OFFSET(ITEM_RES!$A$5,MATCH(BUILDING!Z25,ITEM_RES!$J$5:$J$226,0)-1,0),0)</f>
        <v>211010201</v>
      </c>
      <c r="AB25" s="79"/>
      <c r="AC25" s="16" t="s">
        <v>509</v>
      </c>
      <c r="AD25" s="16">
        <v>1</v>
      </c>
      <c r="AE25" s="79"/>
      <c r="AF25" s="18">
        <f ca="1">IFERROR(OFFSET(MANOR_LEVEL!$B$1,MATCH(AG25-1,MANOR_LEVEL!$A:$A,0)-1,0),0)</f>
        <v>1500</v>
      </c>
      <c r="AG25" s="57">
        <v>5</v>
      </c>
      <c r="AH25" s="79"/>
      <c r="AI25" s="57">
        <f ca="1">ROUND(AJ25,0)</f>
        <v>111</v>
      </c>
      <c r="AJ25" s="17">
        <f ca="1">AO25+AQ25+(IFERROR(OFFSET(ITEM_RES!$S$1,MATCH(AU25,ITEM_RES!$A:$A,0)-1,0),0)*AW25+IFERROR(OFFSET(ITEM_RES!$S$1,MATCH(AZ25,ITEM_RES!$A:$A,0)-1,0),0)*BB25+IFERROR(OFFSET(ITEM_RES!$S$1,MATCH(BE25,ITEM_RES!$A:$A,0)-1,0),0)*BG25+IFERROR(OFFSET(ITEM_RES!$S$1,MATCH(BJ25,ITEM_RES!$A:$A,0)-1,0),0)*BL25+IFERROR(OFFSET(ITEM_RES!$S$1,MATCH(BO25,ITEM_RES!$A:$A,0)-1,0),0)*BQ25)/1000</f>
        <v>110.6</v>
      </c>
      <c r="AK25" s="185">
        <f ca="1">AI25</f>
        <v>111</v>
      </c>
      <c r="AL25" s="79"/>
      <c r="AM25" s="18">
        <f t="shared" si="4"/>
        <v>5</v>
      </c>
      <c r="AN25" s="17">
        <v>5</v>
      </c>
      <c r="AO25" s="18">
        <f t="shared" si="6"/>
        <v>5</v>
      </c>
      <c r="AP25" s="17">
        <v>5</v>
      </c>
      <c r="AQ25" s="18">
        <f t="shared" si="6"/>
        <v>5</v>
      </c>
      <c r="AR25" s="17">
        <v>5</v>
      </c>
      <c r="AS25" s="57">
        <f t="shared" si="7"/>
        <v>3</v>
      </c>
      <c r="AT25" s="18"/>
      <c r="AU25" s="18">
        <f ca="1">IFERROR(OFFSET(ITEM_RES!$A$1,MATCH(AV25,ITEM_RES!$J:$J,0)-1,0),0)</f>
        <v>211010501</v>
      </c>
      <c r="AV25" s="17" t="s">
        <v>428</v>
      </c>
      <c r="AW25" s="18">
        <v>20</v>
      </c>
      <c r="AX25" s="17"/>
      <c r="AY25" s="18"/>
      <c r="AZ25" s="18">
        <f ca="1">IFERROR(OFFSET(ITEM_RES!$A$1,MATCH(BA25,ITEM_RES!$J:$J,0)-1,0),0)</f>
        <v>211020101</v>
      </c>
      <c r="BA25" s="17" t="s">
        <v>448</v>
      </c>
      <c r="BB25" s="18">
        <v>20</v>
      </c>
      <c r="BC25" s="17"/>
      <c r="BD25" s="18"/>
      <c r="BE25" s="18">
        <f ca="1">IFERROR(OFFSET(ITEM_RES!$A$1,MATCH(BF25,ITEM_RES!$J:$J,0)-1,0),0)</f>
        <v>213010101</v>
      </c>
      <c r="BF25" s="17" t="s">
        <v>452</v>
      </c>
      <c r="BG25" s="18">
        <v>1</v>
      </c>
      <c r="BH25" s="17"/>
      <c r="BI25" s="18"/>
      <c r="BJ25" s="18">
        <f ca="1">IFERROR(OFFSET(ITEM_RES!$A$1,MATCH(BK25,ITEM_RES!$J:$J,0)-1,0),0)</f>
        <v>0</v>
      </c>
      <c r="BK25" s="17"/>
      <c r="BL25" s="18"/>
      <c r="BM25" s="17"/>
      <c r="BN25" s="18"/>
      <c r="BO25" s="18">
        <f ca="1">IFERROR(OFFSET(ITEM_RES!$A$1,MATCH(BP25,ITEM_RES!$J:$J,0)-1,0),0)</f>
        <v>0</v>
      </c>
      <c r="BP25" s="17"/>
      <c r="BQ25" s="18">
        <f t="shared" si="5"/>
        <v>0</v>
      </c>
      <c r="BR25" s="17"/>
    </row>
    <row r="26" spans="1:70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M26" s="9" t="s">
        <v>944</v>
      </c>
      <c r="N26" s="9" t="s">
        <v>964</v>
      </c>
      <c r="O26" s="9">
        <v>1</v>
      </c>
      <c r="P26" s="9">
        <v>15</v>
      </c>
      <c r="Q26" s="9" t="s">
        <v>778</v>
      </c>
      <c r="U26" s="9" t="s">
        <v>701</v>
      </c>
      <c r="X26" s="9">
        <f ca="1">IFERROR(OFFSET(ITEM_RES!$A$5,MATCH(BUILDING!W26,ITEM_RES!$J$5:$J$226,0)-1,0),0)</f>
        <v>0</v>
      </c>
      <c r="Z26" s="85" t="s">
        <v>539</v>
      </c>
      <c r="AA26" s="9">
        <f ca="1">IFERROR(OFFSET(ITEM_RES!$A$5,MATCH(BUILDING!Z26,ITEM_RES!$J$5:$J$226,0)-1,0),0)</f>
        <v>211010201</v>
      </c>
      <c r="AC26" s="9" t="s">
        <v>509</v>
      </c>
      <c r="AD26" s="9">
        <v>2</v>
      </c>
      <c r="AF26" s="11">
        <f ca="1">IFERROR(OFFSET(MANOR_LEVEL!$B$1,MATCH(AG26-1,MANOR_LEVEL!$A:$A,0)-1,0),0)</f>
        <v>1500</v>
      </c>
      <c r="AG26" s="56">
        <v>5</v>
      </c>
      <c r="AI26" s="56">
        <f t="shared" ref="AI26:AI89" ca="1" si="9">ROUND(AJ26,0)</f>
        <v>21</v>
      </c>
      <c r="AJ26" s="10">
        <f ca="1">AO26+AQ26+(IFERROR(OFFSET(ITEM_RES!$S$1,MATCH(AU26,ITEM_RES!$A:$A,0)-1,0),0)*AW26+IFERROR(OFFSET(ITEM_RES!$S$1,MATCH(AZ26,ITEM_RES!$A:$A,0)-1,0),0)*BB26+IFERROR(OFFSET(ITEM_RES!$S$1,MATCH(BE26,ITEM_RES!$A:$A,0)-1,0),0)*BG26+IFERROR(OFFSET(ITEM_RES!$S$1,MATCH(BJ26,ITEM_RES!$A:$A,0)-1,0),0)*BL26+IFERROR(OFFSET(ITEM_RES!$S$1,MATCH(BO26,ITEM_RES!$A:$A,0)-1,0),0)*BQ26)/1000</f>
        <v>20.6</v>
      </c>
      <c r="AK26" s="183">
        <f ca="1">AI25+AI26</f>
        <v>132</v>
      </c>
      <c r="AM26" s="11">
        <f t="shared" si="4"/>
        <v>10</v>
      </c>
      <c r="AN26" s="10">
        <v>10</v>
      </c>
      <c r="AO26" s="11">
        <f t="shared" si="6"/>
        <v>10</v>
      </c>
      <c r="AP26" s="10">
        <v>10</v>
      </c>
      <c r="AQ26" s="11">
        <f t="shared" si="6"/>
        <v>10</v>
      </c>
      <c r="AR26" s="10">
        <v>10</v>
      </c>
      <c r="AS26" s="56">
        <f t="shared" si="7"/>
        <v>2</v>
      </c>
      <c r="AU26" s="11">
        <f ca="1">IFERROR(OFFSET(ITEM_RES!$A$1,MATCH(AV26,ITEM_RES!$J:$J,0)-1,0),0)</f>
        <v>211010501</v>
      </c>
      <c r="AV26" s="10" t="s">
        <v>428</v>
      </c>
      <c r="AW26" s="11">
        <v>20</v>
      </c>
      <c r="AZ26" s="11">
        <f ca="1">IFERROR(OFFSET(ITEM_RES!$A$1,MATCH(BA26,ITEM_RES!$J:$J,0)-1,0),0)</f>
        <v>211020101</v>
      </c>
      <c r="BA26" s="10" t="s">
        <v>448</v>
      </c>
      <c r="BB26" s="11">
        <v>20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O26" s="11">
        <f ca="1">IFERROR(OFFSET(ITEM_RES!$A$1,MATCH(BP26,ITEM_RES!$J:$J,0)-1,0),0)</f>
        <v>0</v>
      </c>
      <c r="BQ26" s="11">
        <f t="shared" si="5"/>
        <v>0</v>
      </c>
    </row>
    <row r="27" spans="1:70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M27" s="9" t="s">
        <v>944</v>
      </c>
      <c r="N27" s="9" t="s">
        <v>964</v>
      </c>
      <c r="O27" s="9">
        <v>1</v>
      </c>
      <c r="P27" s="9">
        <v>15</v>
      </c>
      <c r="Q27" s="9" t="s">
        <v>778</v>
      </c>
      <c r="U27" s="9" t="s">
        <v>701</v>
      </c>
      <c r="X27" s="9">
        <f ca="1">IFERROR(OFFSET(ITEM_RES!$A$5,MATCH(BUILDING!W27,ITEM_RES!$J$5:$J$226,0)-1,0),0)</f>
        <v>0</v>
      </c>
      <c r="Z27" s="85" t="s">
        <v>539</v>
      </c>
      <c r="AA27" s="9">
        <f ca="1">IFERROR(OFFSET(ITEM_RES!$A$5,MATCH(BUILDING!Z27,ITEM_RES!$J$5:$J$226,0)-1,0),0)</f>
        <v>211010201</v>
      </c>
      <c r="AC27" s="9" t="s">
        <v>509</v>
      </c>
      <c r="AD27" s="9">
        <v>3</v>
      </c>
      <c r="AF27" s="11">
        <f ca="1">IFERROR(OFFSET(MANOR_LEVEL!$B$1,MATCH(AG27-1,MANOR_LEVEL!$A:$A,0)-1,0),0)</f>
        <v>1500</v>
      </c>
      <c r="AG27" s="56">
        <v>5</v>
      </c>
      <c r="AI27" s="56">
        <f t="shared" ca="1" si="9"/>
        <v>35</v>
      </c>
      <c r="AJ27" s="10">
        <f ca="1">AO27+AQ27+(IFERROR(OFFSET(ITEM_RES!$S$1,MATCH(AU27,ITEM_RES!$A:$A,0)-1,0),0)*AW27+IFERROR(OFFSET(ITEM_RES!$S$1,MATCH(AZ27,ITEM_RES!$A:$A,0)-1,0),0)*BB27+IFERROR(OFFSET(ITEM_RES!$S$1,MATCH(BE27,ITEM_RES!$A:$A,0)-1,0),0)*BG27+IFERROR(OFFSET(ITEM_RES!$S$1,MATCH(BJ27,ITEM_RES!$A:$A,0)-1,0),0)*BL27+IFERROR(OFFSET(ITEM_RES!$S$1,MATCH(BO27,ITEM_RES!$A:$A,0)-1,0),0)*BQ27)/1000</f>
        <v>34.799999999999997</v>
      </c>
      <c r="AK27" s="183">
        <f t="shared" ref="AK27:AK44" ca="1" si="10">AI26+AI27</f>
        <v>56</v>
      </c>
      <c r="AM27" s="11">
        <f t="shared" si="4"/>
        <v>15</v>
      </c>
      <c r="AN27" s="10">
        <v>15</v>
      </c>
      <c r="AO27" s="11">
        <f t="shared" si="6"/>
        <v>15</v>
      </c>
      <c r="AP27" s="10">
        <v>15</v>
      </c>
      <c r="AQ27" s="11">
        <f t="shared" si="6"/>
        <v>15</v>
      </c>
      <c r="AR27" s="10">
        <v>15</v>
      </c>
      <c r="AS27" s="56">
        <f t="shared" si="7"/>
        <v>2</v>
      </c>
      <c r="AU27" s="11">
        <f ca="1">IFERROR(OFFSET(ITEM_RES!$A$1,MATCH(AV27,ITEM_RES!$J:$J,0)-1,0),0)</f>
        <v>211010501</v>
      </c>
      <c r="AV27" s="10" t="s">
        <v>428</v>
      </c>
      <c r="AW27" s="11">
        <v>160</v>
      </c>
      <c r="AZ27" s="11">
        <f ca="1">IFERROR(OFFSET(ITEM_RES!$A$1,MATCH(BA27,ITEM_RES!$J:$J,0)-1,0),0)</f>
        <v>211020101</v>
      </c>
      <c r="BA27" s="10" t="s">
        <v>448</v>
      </c>
      <c r="BB27" s="11">
        <v>160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O27" s="11">
        <f ca="1">IFERROR(OFFSET(ITEM_RES!$A$1,MATCH(BP27,ITEM_RES!$J:$J,0)-1,0),0)</f>
        <v>0</v>
      </c>
      <c r="BQ27" s="11">
        <f t="shared" si="5"/>
        <v>0</v>
      </c>
    </row>
    <row r="28" spans="1:70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M28" s="9" t="s">
        <v>944</v>
      </c>
      <c r="N28" s="9" t="s">
        <v>964</v>
      </c>
      <c r="O28" s="9">
        <v>1</v>
      </c>
      <c r="P28" s="9">
        <v>15</v>
      </c>
      <c r="Q28" s="9" t="s">
        <v>778</v>
      </c>
      <c r="U28" s="9" t="s">
        <v>701</v>
      </c>
      <c r="X28" s="9">
        <f ca="1">IFERROR(OFFSET(ITEM_RES!$A$5,MATCH(BUILDING!W28,ITEM_RES!$J$5:$J$226,0)-1,0),0)</f>
        <v>0</v>
      </c>
      <c r="Z28" s="85" t="s">
        <v>539</v>
      </c>
      <c r="AA28" s="9">
        <f ca="1">IFERROR(OFFSET(ITEM_RES!$A$5,MATCH(BUILDING!Z28,ITEM_RES!$J$5:$J$226,0)-1,0),0)</f>
        <v>211010201</v>
      </c>
      <c r="AC28" s="9" t="s">
        <v>509</v>
      </c>
      <c r="AD28" s="9">
        <v>4</v>
      </c>
      <c r="AF28" s="11">
        <f ca="1">IFERROR(OFFSET(MANOR_LEVEL!$B$1,MATCH(AG28-1,MANOR_LEVEL!$A:$A,0)-1,0),0)</f>
        <v>3872</v>
      </c>
      <c r="AG28" s="56">
        <v>6</v>
      </c>
      <c r="AI28" s="56">
        <f t="shared" ca="1" si="9"/>
        <v>108</v>
      </c>
      <c r="AJ28" s="10">
        <f ca="1">AO28+AQ28+(IFERROR(OFFSET(ITEM_RES!$S$1,MATCH(AU28,ITEM_RES!$A:$A,0)-1,0),0)*AW28+IFERROR(OFFSET(ITEM_RES!$S$1,MATCH(AZ28,ITEM_RES!$A:$A,0)-1,0),0)*BB28+IFERROR(OFFSET(ITEM_RES!$S$1,MATCH(BE28,ITEM_RES!$A:$A,0)-1,0),0)*BG28+IFERROR(OFFSET(ITEM_RES!$S$1,MATCH(BJ28,ITEM_RES!$A:$A,0)-1,0),0)*BL28+IFERROR(OFFSET(ITEM_RES!$S$1,MATCH(BO28,ITEM_RES!$A:$A,0)-1,0),0)*BQ28)/1000</f>
        <v>107.6</v>
      </c>
      <c r="AK28" s="183">
        <f t="shared" ca="1" si="10"/>
        <v>143</v>
      </c>
      <c r="AM28" s="11">
        <f t="shared" si="4"/>
        <v>20</v>
      </c>
      <c r="AN28" s="10">
        <v>20</v>
      </c>
      <c r="AO28" s="11">
        <f t="shared" si="6"/>
        <v>25</v>
      </c>
      <c r="AP28" s="10">
        <v>25</v>
      </c>
      <c r="AQ28" s="11">
        <f t="shared" si="6"/>
        <v>25</v>
      </c>
      <c r="AR28" s="10">
        <v>25</v>
      </c>
      <c r="AS28" s="56">
        <f t="shared" si="7"/>
        <v>2</v>
      </c>
      <c r="AU28" s="11">
        <f ca="1">IFERROR(OFFSET(ITEM_RES!$A$1,MATCH(AV28,ITEM_RES!$J:$J,0)-1,0),0)</f>
        <v>211010501</v>
      </c>
      <c r="AV28" s="10" t="s">
        <v>428</v>
      </c>
      <c r="AW28" s="11">
        <v>1920</v>
      </c>
      <c r="AZ28" s="11">
        <f ca="1">IFERROR(OFFSET(ITEM_RES!$A$1,MATCH(BA28,ITEM_RES!$J:$J,0)-1,0),0)</f>
        <v>211020101</v>
      </c>
      <c r="BA28" s="10" t="s">
        <v>448</v>
      </c>
      <c r="BB28" s="11">
        <v>1920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O28" s="11">
        <f ca="1">IFERROR(OFFSET(ITEM_RES!$A$1,MATCH(BP28,ITEM_RES!$J:$J,0)-1,0),0)</f>
        <v>0</v>
      </c>
      <c r="BQ28" s="11">
        <f t="shared" si="5"/>
        <v>0</v>
      </c>
    </row>
    <row r="29" spans="1:70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M29" s="9" t="s">
        <v>944</v>
      </c>
      <c r="N29" s="9" t="s">
        <v>964</v>
      </c>
      <c r="O29" s="9">
        <v>1</v>
      </c>
      <c r="P29" s="9">
        <v>15</v>
      </c>
      <c r="Q29" s="9" t="s">
        <v>778</v>
      </c>
      <c r="U29" s="9" t="s">
        <v>701</v>
      </c>
      <c r="X29" s="9">
        <f ca="1">IFERROR(OFFSET(ITEM_RES!$A$5,MATCH(BUILDING!W29,ITEM_RES!$J$5:$J$226,0)-1,0),0)</f>
        <v>0</v>
      </c>
      <c r="Z29" s="85" t="s">
        <v>539</v>
      </c>
      <c r="AA29" s="9">
        <f ca="1">IFERROR(OFFSET(ITEM_RES!$A$5,MATCH(BUILDING!Z29,ITEM_RES!$J$5:$J$226,0)-1,0),0)</f>
        <v>211010201</v>
      </c>
      <c r="AC29" s="9" t="s">
        <v>509</v>
      </c>
      <c r="AD29" s="9">
        <v>5</v>
      </c>
      <c r="AF29" s="11">
        <f ca="1">IFERROR(OFFSET(MANOR_LEVEL!$B$1,MATCH(AG29-1,MANOR_LEVEL!$A:$A,0)-1,0),0)</f>
        <v>3872</v>
      </c>
      <c r="AG29" s="56">
        <v>6</v>
      </c>
      <c r="AI29" s="56">
        <f t="shared" ca="1" si="9"/>
        <v>860</v>
      </c>
      <c r="AJ29" s="10">
        <f ca="1">AO29+AQ29+(IFERROR(OFFSET(ITEM_RES!$S$1,MATCH(AU29,ITEM_RES!$A:$A,0)-1,0),0)*AW29+IFERROR(OFFSET(ITEM_RES!$S$1,MATCH(AZ29,ITEM_RES!$A:$A,0)-1,0),0)*BB29+IFERROR(OFFSET(ITEM_RES!$S$1,MATCH(BE29,ITEM_RES!$A:$A,0)-1,0),0)*BG29+IFERROR(OFFSET(ITEM_RES!$S$1,MATCH(BJ29,ITEM_RES!$A:$A,0)-1,0),0)*BL29+IFERROR(OFFSET(ITEM_RES!$S$1,MATCH(BO29,ITEM_RES!$A:$A,0)-1,0),0)*BQ29)/1000</f>
        <v>860</v>
      </c>
      <c r="AK29" s="183">
        <f t="shared" ca="1" si="10"/>
        <v>968</v>
      </c>
      <c r="AM29" s="11">
        <f t="shared" si="4"/>
        <v>25</v>
      </c>
      <c r="AN29" s="10">
        <v>25</v>
      </c>
      <c r="AO29" s="11">
        <f t="shared" si="6"/>
        <v>40</v>
      </c>
      <c r="AP29" s="10">
        <v>40</v>
      </c>
      <c r="AQ29" s="11">
        <f t="shared" si="6"/>
        <v>40</v>
      </c>
      <c r="AR29" s="10">
        <v>40</v>
      </c>
      <c r="AS29" s="56">
        <f t="shared" si="7"/>
        <v>2</v>
      </c>
      <c r="AU29" s="11">
        <f ca="1">IFERROR(OFFSET(ITEM_RES!$A$1,MATCH(AV29,ITEM_RES!$J:$J,0)-1,0),0)</f>
        <v>211010501</v>
      </c>
      <c r="AV29" s="10" t="s">
        <v>428</v>
      </c>
      <c r="AW29" s="11">
        <v>26000</v>
      </c>
      <c r="AZ29" s="11">
        <f ca="1">IFERROR(OFFSET(ITEM_RES!$A$1,MATCH(BA29,ITEM_RES!$J:$J,0)-1,0),0)</f>
        <v>211020101</v>
      </c>
      <c r="BA29" s="10" t="s">
        <v>448</v>
      </c>
      <c r="BB29" s="11">
        <v>26000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O29" s="11">
        <f ca="1">IFERROR(OFFSET(ITEM_RES!$A$1,MATCH(BP29,ITEM_RES!$J:$J,0)-1,0),0)</f>
        <v>0</v>
      </c>
      <c r="BQ29" s="11">
        <f t="shared" si="5"/>
        <v>0</v>
      </c>
    </row>
    <row r="30" spans="1:70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M30" s="9" t="s">
        <v>944</v>
      </c>
      <c r="N30" s="9" t="s">
        <v>964</v>
      </c>
      <c r="O30" s="9">
        <v>1</v>
      </c>
      <c r="P30" s="9">
        <v>15</v>
      </c>
      <c r="Q30" s="9" t="s">
        <v>778</v>
      </c>
      <c r="U30" s="9" t="s">
        <v>701</v>
      </c>
      <c r="X30" s="9">
        <f ca="1">IFERROR(OFFSET(ITEM_RES!$A$5,MATCH(BUILDING!W30,ITEM_RES!$J$5:$J$226,0)-1,0),0)</f>
        <v>0</v>
      </c>
      <c r="Z30" s="85" t="s">
        <v>539</v>
      </c>
      <c r="AA30" s="9">
        <f ca="1">IFERROR(OFFSET(ITEM_RES!$A$5,MATCH(BUILDING!Z30,ITEM_RES!$J$5:$J$226,0)-1,0),0)</f>
        <v>211010201</v>
      </c>
      <c r="AC30" s="9" t="s">
        <v>509</v>
      </c>
      <c r="AD30" s="9">
        <v>6</v>
      </c>
      <c r="AF30" s="11">
        <f ca="1">IFERROR(OFFSET(MANOR_LEVEL!$B$1,MATCH(AG30-1,MANOR_LEVEL!$A:$A,0)-1,0),0)</f>
        <v>3872</v>
      </c>
      <c r="AG30" s="56">
        <v>6</v>
      </c>
      <c r="AI30" s="56">
        <f t="shared" ca="1" si="9"/>
        <v>7300</v>
      </c>
      <c r="AJ30" s="10">
        <f ca="1">AO30+AQ30+(IFERROR(OFFSET(ITEM_RES!$S$1,MATCH(AU30,ITEM_RES!$A:$A,0)-1,0),0)*AW30+IFERROR(OFFSET(ITEM_RES!$S$1,MATCH(AZ30,ITEM_RES!$A:$A,0)-1,0),0)*BB30+IFERROR(OFFSET(ITEM_RES!$S$1,MATCH(BE30,ITEM_RES!$A:$A,0)-1,0),0)*BG30+IFERROR(OFFSET(ITEM_RES!$S$1,MATCH(BJ30,ITEM_RES!$A:$A,0)-1,0),0)*BL30+IFERROR(OFFSET(ITEM_RES!$S$1,MATCH(BO30,ITEM_RES!$A:$A,0)-1,0),0)*BQ30)/1000</f>
        <v>7300</v>
      </c>
      <c r="AK30" s="183">
        <f t="shared" ca="1" si="10"/>
        <v>8160</v>
      </c>
      <c r="AM30" s="11">
        <f t="shared" si="4"/>
        <v>30</v>
      </c>
      <c r="AN30" s="10">
        <v>30</v>
      </c>
      <c r="AO30" s="11">
        <f t="shared" si="6"/>
        <v>50</v>
      </c>
      <c r="AP30" s="10">
        <v>50</v>
      </c>
      <c r="AQ30" s="11">
        <f t="shared" si="6"/>
        <v>50</v>
      </c>
      <c r="AR30" s="10">
        <v>50</v>
      </c>
      <c r="AS30" s="56">
        <f t="shared" si="7"/>
        <v>2</v>
      </c>
      <c r="AU30" s="11">
        <f ca="1">IFERROR(OFFSET(ITEM_RES!$A$1,MATCH(AV30,ITEM_RES!$J:$J,0)-1,0),0)</f>
        <v>211010501</v>
      </c>
      <c r="AV30" s="10" t="s">
        <v>428</v>
      </c>
      <c r="AW30" s="11">
        <v>240000</v>
      </c>
      <c r="AZ30" s="11">
        <f ca="1">IFERROR(OFFSET(ITEM_RES!$A$1,MATCH(BA30,ITEM_RES!$J:$J,0)-1,0),0)</f>
        <v>211020101</v>
      </c>
      <c r="BA30" s="10" t="s">
        <v>448</v>
      </c>
      <c r="BB30" s="11">
        <v>240000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O30" s="11">
        <f ca="1">IFERROR(OFFSET(ITEM_RES!$A$1,MATCH(BP30,ITEM_RES!$J:$J,0)-1,0),0)</f>
        <v>0</v>
      </c>
      <c r="BQ30" s="11">
        <f t="shared" si="5"/>
        <v>0</v>
      </c>
    </row>
    <row r="31" spans="1:70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M31" s="9" t="s">
        <v>944</v>
      </c>
      <c r="N31" s="9" t="s">
        <v>964</v>
      </c>
      <c r="O31" s="9">
        <v>1</v>
      </c>
      <c r="P31" s="9">
        <v>15</v>
      </c>
      <c r="Q31" s="9" t="s">
        <v>778</v>
      </c>
      <c r="U31" s="9" t="s">
        <v>701</v>
      </c>
      <c r="X31" s="9">
        <f ca="1">IFERROR(OFFSET(ITEM_RES!$A$5,MATCH(BUILDING!W31,ITEM_RES!$J$5:$J$226,0)-1,0),0)</f>
        <v>0</v>
      </c>
      <c r="Z31" s="85" t="s">
        <v>539</v>
      </c>
      <c r="AA31" s="9">
        <f ca="1">IFERROR(OFFSET(ITEM_RES!$A$5,MATCH(BUILDING!Z31,ITEM_RES!$J$5:$J$226,0)-1,0),0)</f>
        <v>211010201</v>
      </c>
      <c r="AC31" s="9" t="s">
        <v>509</v>
      </c>
      <c r="AD31" s="9">
        <v>7</v>
      </c>
      <c r="AF31" s="11">
        <f ca="1">IFERROR(OFFSET(MANOR_LEVEL!$B$1,MATCH(AG31-1,MANOR_LEVEL!$A:$A,0)-1,0),0)</f>
        <v>3872</v>
      </c>
      <c r="AG31" s="56">
        <v>6</v>
      </c>
      <c r="AI31" s="56">
        <f t="shared" ca="1" si="9"/>
        <v>16400</v>
      </c>
      <c r="AJ31" s="10">
        <f ca="1">AO31+AQ31+(IFERROR(OFFSET(ITEM_RES!$S$1,MATCH(AU31,ITEM_RES!$A:$A,0)-1,0),0)*AW31+IFERROR(OFFSET(ITEM_RES!$S$1,MATCH(AZ31,ITEM_RES!$A:$A,0)-1,0),0)*BB31+IFERROR(OFFSET(ITEM_RES!$S$1,MATCH(BE31,ITEM_RES!$A:$A,0)-1,0),0)*BG31+IFERROR(OFFSET(ITEM_RES!$S$1,MATCH(BJ31,ITEM_RES!$A:$A,0)-1,0),0)*BL31+IFERROR(OFFSET(ITEM_RES!$S$1,MATCH(BO31,ITEM_RES!$A:$A,0)-1,0),0)*BQ31)/1000</f>
        <v>16400</v>
      </c>
      <c r="AK31" s="183">
        <f t="shared" ca="1" si="10"/>
        <v>23700</v>
      </c>
      <c r="AM31" s="11">
        <f t="shared" si="4"/>
        <v>35</v>
      </c>
      <c r="AN31" s="10">
        <v>35</v>
      </c>
      <c r="AO31" s="11">
        <f t="shared" si="6"/>
        <v>100</v>
      </c>
      <c r="AP31" s="10">
        <v>100</v>
      </c>
      <c r="AQ31" s="11">
        <f t="shared" si="6"/>
        <v>100</v>
      </c>
      <c r="AR31" s="10">
        <v>100</v>
      </c>
      <c r="AS31" s="56">
        <f t="shared" si="7"/>
        <v>2</v>
      </c>
      <c r="AU31" s="11">
        <f ca="1">IFERROR(OFFSET(ITEM_RES!$A$1,MATCH(AV31,ITEM_RES!$J:$J,0)-1,0),0)</f>
        <v>211010501</v>
      </c>
      <c r="AV31" s="10" t="s">
        <v>428</v>
      </c>
      <c r="AW31" s="11">
        <v>540000</v>
      </c>
      <c r="AZ31" s="11">
        <f ca="1">IFERROR(OFFSET(ITEM_RES!$A$1,MATCH(BA31,ITEM_RES!$J:$J,0)-1,0),0)</f>
        <v>211020101</v>
      </c>
      <c r="BA31" s="10" t="s">
        <v>448</v>
      </c>
      <c r="BB31" s="11">
        <v>540000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O31" s="11">
        <f ca="1">IFERROR(OFFSET(ITEM_RES!$A$1,MATCH(BP31,ITEM_RES!$J:$J,0)-1,0),0)</f>
        <v>0</v>
      </c>
      <c r="BQ31" s="11">
        <f t="shared" si="5"/>
        <v>0</v>
      </c>
    </row>
    <row r="32" spans="1:70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M32" s="9" t="s">
        <v>944</v>
      </c>
      <c r="N32" s="9" t="s">
        <v>964</v>
      </c>
      <c r="O32" s="9">
        <v>1</v>
      </c>
      <c r="P32" s="9">
        <v>15</v>
      </c>
      <c r="Q32" s="9" t="s">
        <v>778</v>
      </c>
      <c r="U32" s="9" t="s">
        <v>701</v>
      </c>
      <c r="X32" s="9">
        <f ca="1">IFERROR(OFFSET(ITEM_RES!$A$5,MATCH(BUILDING!W32,ITEM_RES!$J$5:$J$226,0)-1,0),0)</f>
        <v>0</v>
      </c>
      <c r="Z32" s="85" t="s">
        <v>539</v>
      </c>
      <c r="AA32" s="9">
        <f ca="1">IFERROR(OFFSET(ITEM_RES!$A$5,MATCH(BUILDING!Z32,ITEM_RES!$J$5:$J$226,0)-1,0),0)</f>
        <v>211010201</v>
      </c>
      <c r="AC32" s="9" t="s">
        <v>509</v>
      </c>
      <c r="AD32" s="9">
        <v>8</v>
      </c>
      <c r="AF32" s="11">
        <f ca="1">IFERROR(OFFSET(MANOR_LEVEL!$B$1,MATCH(AG32-1,MANOR_LEVEL!$A:$A,0)-1,0),0)</f>
        <v>32640</v>
      </c>
      <c r="AG32" s="56">
        <v>7</v>
      </c>
      <c r="AI32" s="56">
        <f t="shared" ca="1" si="9"/>
        <v>30200</v>
      </c>
      <c r="AJ32" s="10">
        <f ca="1">AO32+AQ32+(IFERROR(OFFSET(ITEM_RES!$S$1,MATCH(AU32,ITEM_RES!$A:$A,0)-1,0),0)*AW32+IFERROR(OFFSET(ITEM_RES!$S$1,MATCH(AZ32,ITEM_RES!$A:$A,0)-1,0),0)*BB32+IFERROR(OFFSET(ITEM_RES!$S$1,MATCH(BE32,ITEM_RES!$A:$A,0)-1,0),0)*BG32+IFERROR(OFFSET(ITEM_RES!$S$1,MATCH(BJ32,ITEM_RES!$A:$A,0)-1,0),0)*BL32+IFERROR(OFFSET(ITEM_RES!$S$1,MATCH(BO32,ITEM_RES!$A:$A,0)-1,0),0)*BQ32)/1000</f>
        <v>30200</v>
      </c>
      <c r="AK32" s="183">
        <f t="shared" ca="1" si="10"/>
        <v>46600</v>
      </c>
      <c r="AM32" s="11">
        <f t="shared" si="4"/>
        <v>40</v>
      </c>
      <c r="AN32" s="10">
        <v>40</v>
      </c>
      <c r="AO32" s="11">
        <f t="shared" si="6"/>
        <v>100</v>
      </c>
      <c r="AP32" s="10">
        <v>100</v>
      </c>
      <c r="AQ32" s="11">
        <f t="shared" si="6"/>
        <v>100</v>
      </c>
      <c r="AR32" s="10">
        <v>100</v>
      </c>
      <c r="AS32" s="56">
        <f t="shared" si="7"/>
        <v>2</v>
      </c>
      <c r="AU32" s="11">
        <f ca="1">IFERROR(OFFSET(ITEM_RES!$A$1,MATCH(AV32,ITEM_RES!$J:$J,0)-1,0),0)</f>
        <v>211010501</v>
      </c>
      <c r="AV32" s="10" t="s">
        <v>428</v>
      </c>
      <c r="AW32" s="11">
        <v>1000000</v>
      </c>
      <c r="AZ32" s="11">
        <f ca="1">IFERROR(OFFSET(ITEM_RES!$A$1,MATCH(BA32,ITEM_RES!$J:$J,0)-1,0),0)</f>
        <v>211020101</v>
      </c>
      <c r="BA32" s="10" t="s">
        <v>448</v>
      </c>
      <c r="BB32" s="11">
        <v>1000000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O32" s="11">
        <f ca="1">IFERROR(OFFSET(ITEM_RES!$A$1,MATCH(BP32,ITEM_RES!$J:$J,0)-1,0),0)</f>
        <v>0</v>
      </c>
      <c r="BQ32" s="11">
        <f t="shared" si="5"/>
        <v>0</v>
      </c>
    </row>
    <row r="33" spans="1:70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M33" s="9" t="s">
        <v>944</v>
      </c>
      <c r="N33" s="9" t="s">
        <v>964</v>
      </c>
      <c r="O33" s="9">
        <v>1</v>
      </c>
      <c r="P33" s="9">
        <v>15</v>
      </c>
      <c r="Q33" s="9" t="s">
        <v>778</v>
      </c>
      <c r="U33" s="9" t="s">
        <v>701</v>
      </c>
      <c r="X33" s="9">
        <f ca="1">IFERROR(OFFSET(ITEM_RES!$A$5,MATCH(BUILDING!W33,ITEM_RES!$J$5:$J$226,0)-1,0),0)</f>
        <v>0</v>
      </c>
      <c r="Z33" s="85" t="s">
        <v>539</v>
      </c>
      <c r="AA33" s="9">
        <f ca="1">IFERROR(OFFSET(ITEM_RES!$A$5,MATCH(BUILDING!Z33,ITEM_RES!$J$5:$J$226,0)-1,0),0)</f>
        <v>211010201</v>
      </c>
      <c r="AC33" s="9" t="s">
        <v>509</v>
      </c>
      <c r="AD33" s="9">
        <v>9</v>
      </c>
      <c r="AF33" s="11">
        <f ca="1">IFERROR(OFFSET(MANOR_LEVEL!$B$1,MATCH(AG33-1,MANOR_LEVEL!$A:$A,0)-1,0),0)</f>
        <v>32640</v>
      </c>
      <c r="AG33" s="56">
        <v>7</v>
      </c>
      <c r="AI33" s="56">
        <f t="shared" ca="1" si="9"/>
        <v>47700</v>
      </c>
      <c r="AJ33" s="10">
        <f ca="1">AO33+AQ33+(IFERROR(OFFSET(ITEM_RES!$S$1,MATCH(AU33,ITEM_RES!$A:$A,0)-1,0),0)*AW33+IFERROR(OFFSET(ITEM_RES!$S$1,MATCH(AZ33,ITEM_RES!$A:$A,0)-1,0),0)*BB33+IFERROR(OFFSET(ITEM_RES!$S$1,MATCH(BE33,ITEM_RES!$A:$A,0)-1,0),0)*BG33+IFERROR(OFFSET(ITEM_RES!$S$1,MATCH(BJ33,ITEM_RES!$A:$A,0)-1,0),0)*BL33+IFERROR(OFFSET(ITEM_RES!$S$1,MATCH(BO33,ITEM_RES!$A:$A,0)-1,0),0)*BQ33)/1000</f>
        <v>47700</v>
      </c>
      <c r="AK33" s="183">
        <f t="shared" ca="1" si="10"/>
        <v>77900</v>
      </c>
      <c r="AM33" s="11">
        <f t="shared" si="4"/>
        <v>45</v>
      </c>
      <c r="AN33" s="10">
        <v>45</v>
      </c>
      <c r="AO33" s="11">
        <f t="shared" si="6"/>
        <v>150</v>
      </c>
      <c r="AP33" s="10">
        <v>150</v>
      </c>
      <c r="AQ33" s="11">
        <f t="shared" si="6"/>
        <v>150</v>
      </c>
      <c r="AR33" s="10">
        <v>150</v>
      </c>
      <c r="AS33" s="56">
        <f t="shared" si="7"/>
        <v>2</v>
      </c>
      <c r="AU33" s="11">
        <f ca="1">IFERROR(OFFSET(ITEM_RES!$A$1,MATCH(AV33,ITEM_RES!$J:$J,0)-1,0),0)</f>
        <v>211010501</v>
      </c>
      <c r="AV33" s="10" t="s">
        <v>428</v>
      </c>
      <c r="AW33" s="11">
        <v>1580000</v>
      </c>
      <c r="AZ33" s="11">
        <f ca="1">IFERROR(OFFSET(ITEM_RES!$A$1,MATCH(BA33,ITEM_RES!$J:$J,0)-1,0),0)</f>
        <v>211020101</v>
      </c>
      <c r="BA33" s="10" t="s">
        <v>448</v>
      </c>
      <c r="BB33" s="11">
        <v>1580000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O33" s="11">
        <f ca="1">IFERROR(OFFSET(ITEM_RES!$A$1,MATCH(BP33,ITEM_RES!$J:$J,0)-1,0),0)</f>
        <v>0</v>
      </c>
      <c r="BQ33" s="11">
        <f t="shared" si="5"/>
        <v>0</v>
      </c>
    </row>
    <row r="34" spans="1:70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M34" s="9" t="s">
        <v>944</v>
      </c>
      <c r="N34" s="9" t="s">
        <v>964</v>
      </c>
      <c r="O34" s="9">
        <v>1</v>
      </c>
      <c r="P34" s="9">
        <v>15</v>
      </c>
      <c r="Q34" s="9" t="s">
        <v>778</v>
      </c>
      <c r="U34" s="9" t="s">
        <v>701</v>
      </c>
      <c r="X34" s="9">
        <f ca="1">IFERROR(OFFSET(ITEM_RES!$A$5,MATCH(BUILDING!W34,ITEM_RES!$J$5:$J$226,0)-1,0),0)</f>
        <v>0</v>
      </c>
      <c r="Z34" s="85" t="s">
        <v>539</v>
      </c>
      <c r="AA34" s="9">
        <f ca="1">IFERROR(OFFSET(ITEM_RES!$A$5,MATCH(BUILDING!Z34,ITEM_RES!$J$5:$J$226,0)-1,0),0)</f>
        <v>211010201</v>
      </c>
      <c r="AC34" s="9" t="s">
        <v>509</v>
      </c>
      <c r="AD34" s="9">
        <v>10</v>
      </c>
      <c r="AF34" s="11">
        <f ca="1">IFERROR(OFFSET(MANOR_LEVEL!$B$1,MATCH(AG34-1,MANOR_LEVEL!$A:$A,0)-1,0),0)</f>
        <v>32640</v>
      </c>
      <c r="AG34" s="56">
        <v>7</v>
      </c>
      <c r="AI34" s="56">
        <f t="shared" ca="1" si="9"/>
        <v>66400</v>
      </c>
      <c r="AJ34" s="10">
        <f ca="1">AO34+AQ34+(IFERROR(OFFSET(ITEM_RES!$S$1,MATCH(AU34,ITEM_RES!$A:$A,0)-1,0),0)*AW34+IFERROR(OFFSET(ITEM_RES!$S$1,MATCH(AZ34,ITEM_RES!$A:$A,0)-1,0),0)*BB34+IFERROR(OFFSET(ITEM_RES!$S$1,MATCH(BE34,ITEM_RES!$A:$A,0)-1,0),0)*BG34+IFERROR(OFFSET(ITEM_RES!$S$1,MATCH(BJ34,ITEM_RES!$A:$A,0)-1,0),0)*BL34+IFERROR(OFFSET(ITEM_RES!$S$1,MATCH(BO34,ITEM_RES!$A:$A,0)-1,0),0)*BQ34)/1000</f>
        <v>66400</v>
      </c>
      <c r="AK34" s="183">
        <f t="shared" ca="1" si="10"/>
        <v>114100</v>
      </c>
      <c r="AM34" s="11">
        <f t="shared" si="4"/>
        <v>50</v>
      </c>
      <c r="AN34" s="10">
        <v>50</v>
      </c>
      <c r="AO34" s="11">
        <f t="shared" si="6"/>
        <v>200</v>
      </c>
      <c r="AP34" s="10">
        <v>200</v>
      </c>
      <c r="AQ34" s="11">
        <f t="shared" si="6"/>
        <v>200</v>
      </c>
      <c r="AR34" s="10">
        <v>200</v>
      </c>
      <c r="AS34" s="56">
        <f t="shared" si="7"/>
        <v>2</v>
      </c>
      <c r="AU34" s="11">
        <f ca="1">IFERROR(OFFSET(ITEM_RES!$A$1,MATCH(AV34,ITEM_RES!$J:$J,0)-1,0),0)</f>
        <v>211010501</v>
      </c>
      <c r="AV34" s="10" t="s">
        <v>428</v>
      </c>
      <c r="AW34" s="11">
        <v>2200000</v>
      </c>
      <c r="AZ34" s="11">
        <f ca="1">IFERROR(OFFSET(ITEM_RES!$A$1,MATCH(BA34,ITEM_RES!$J:$J,0)-1,0),0)</f>
        <v>211020101</v>
      </c>
      <c r="BA34" s="10" t="s">
        <v>448</v>
      </c>
      <c r="BB34" s="11">
        <v>2200000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O34" s="11">
        <f ca="1">IFERROR(OFFSET(ITEM_RES!$A$1,MATCH(BP34,ITEM_RES!$J:$J,0)-1,0),0)</f>
        <v>0</v>
      </c>
      <c r="BQ34" s="11">
        <f t="shared" si="5"/>
        <v>0</v>
      </c>
    </row>
    <row r="35" spans="1:70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373</v>
      </c>
      <c r="M35" s="9" t="s">
        <v>944</v>
      </c>
      <c r="N35" s="9" t="s">
        <v>964</v>
      </c>
      <c r="O35" s="9">
        <v>1</v>
      </c>
      <c r="P35" s="9">
        <v>15</v>
      </c>
      <c r="Q35" s="9" t="s">
        <v>778</v>
      </c>
      <c r="U35" s="9" t="s">
        <v>701</v>
      </c>
      <c r="X35" s="9">
        <f ca="1">IFERROR(OFFSET(ITEM_RES!$A$5,MATCH(BUILDING!W35,ITEM_RES!$J$5:$J$226,0)-1,0),0)</f>
        <v>0</v>
      </c>
      <c r="Z35" s="85" t="s">
        <v>539</v>
      </c>
      <c r="AA35" s="9">
        <f ca="1">IFERROR(OFFSET(ITEM_RES!$A$5,MATCH(BUILDING!Z35,ITEM_RES!$J$5:$J$226,0)-1,0),0)</f>
        <v>211010201</v>
      </c>
      <c r="AC35" s="9" t="s">
        <v>509</v>
      </c>
      <c r="AD35" s="9">
        <v>11</v>
      </c>
      <c r="AF35" s="11">
        <f ca="1">IFERROR(OFFSET(MANOR_LEVEL!$B$1,MATCH(AG35-1,MANOR_LEVEL!$A:$A,0)-1,0),0)</f>
        <v>94800</v>
      </c>
      <c r="AG35" s="56">
        <v>8</v>
      </c>
      <c r="AI35" s="56">
        <f t="shared" ca="1" si="9"/>
        <v>132500</v>
      </c>
      <c r="AJ35" s="10">
        <f ca="1">AO35+AQ35+(IFERROR(OFFSET(ITEM_RES!$S$1,MATCH(AU35,ITEM_RES!$A:$A,0)-1,0),0)*AW35+IFERROR(OFFSET(ITEM_RES!$S$1,MATCH(AZ35,ITEM_RES!$A:$A,0)-1,0),0)*BB35+IFERROR(OFFSET(ITEM_RES!$S$1,MATCH(BE35,ITEM_RES!$A:$A,0)-1,0),0)*BG35+IFERROR(OFFSET(ITEM_RES!$S$1,MATCH(BJ35,ITEM_RES!$A:$A,0)-1,0),0)*BL35+IFERROR(OFFSET(ITEM_RES!$S$1,MATCH(BO35,ITEM_RES!$A:$A,0)-1,0),0)*BQ35)/1000</f>
        <v>132500</v>
      </c>
      <c r="AK35" s="183">
        <f t="shared" ca="1" si="10"/>
        <v>198900</v>
      </c>
      <c r="AM35" s="11">
        <f t="shared" si="4"/>
        <v>55</v>
      </c>
      <c r="AN35" s="10">
        <v>55</v>
      </c>
      <c r="AO35" s="11">
        <f t="shared" si="6"/>
        <v>250</v>
      </c>
      <c r="AP35" s="10">
        <v>250</v>
      </c>
      <c r="AQ35" s="11">
        <f t="shared" si="6"/>
        <v>250</v>
      </c>
      <c r="AR35" s="10">
        <v>250</v>
      </c>
      <c r="AS35" s="56">
        <f t="shared" si="7"/>
        <v>2</v>
      </c>
      <c r="AU35" s="11">
        <f ca="1">IFERROR(OFFSET(ITEM_RES!$A$1,MATCH(AV35,ITEM_RES!$J:$J,0)-1,0),0)</f>
        <v>211010501</v>
      </c>
      <c r="AV35" s="10" t="s">
        <v>428</v>
      </c>
      <c r="AW35" s="11">
        <v>4400000</v>
      </c>
      <c r="AZ35" s="11">
        <f ca="1">IFERROR(OFFSET(ITEM_RES!$A$1,MATCH(BA35,ITEM_RES!$J:$J,0)-1,0),0)</f>
        <v>211020101</v>
      </c>
      <c r="BA35" s="10" t="s">
        <v>448</v>
      </c>
      <c r="BB35" s="11">
        <v>4400000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O35" s="11">
        <f ca="1">IFERROR(OFFSET(ITEM_RES!$A$1,MATCH(BP35,ITEM_RES!$J:$J,0)-1,0),0)</f>
        <v>0</v>
      </c>
      <c r="BQ35" s="11">
        <f t="shared" si="5"/>
        <v>0</v>
      </c>
    </row>
    <row r="36" spans="1:70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M36" s="9" t="s">
        <v>944</v>
      </c>
      <c r="N36" s="9" t="s">
        <v>964</v>
      </c>
      <c r="O36" s="9">
        <v>1</v>
      </c>
      <c r="P36" s="9">
        <v>15</v>
      </c>
      <c r="Q36" s="9" t="s">
        <v>778</v>
      </c>
      <c r="U36" s="9" t="s">
        <v>701</v>
      </c>
      <c r="X36" s="9">
        <f ca="1">IFERROR(OFFSET(ITEM_RES!$A$5,MATCH(BUILDING!W36,ITEM_RES!$J$5:$J$226,0)-1,0),0)</f>
        <v>0</v>
      </c>
      <c r="Z36" s="85" t="s">
        <v>539</v>
      </c>
      <c r="AA36" s="9">
        <f ca="1">IFERROR(OFFSET(ITEM_RES!$A$5,MATCH(BUILDING!Z36,ITEM_RES!$J$5:$J$226,0)-1,0),0)</f>
        <v>211010201</v>
      </c>
      <c r="AC36" s="9" t="s">
        <v>509</v>
      </c>
      <c r="AD36" s="9">
        <v>12</v>
      </c>
      <c r="AF36" s="11">
        <f ca="1">IFERROR(OFFSET(MANOR_LEVEL!$B$1,MATCH(AG36-1,MANOR_LEVEL!$A:$A,0)-1,0),0)</f>
        <v>94800</v>
      </c>
      <c r="AG36" s="56">
        <v>8</v>
      </c>
      <c r="AI36" s="56">
        <f t="shared" ca="1" si="9"/>
        <v>156600</v>
      </c>
      <c r="AJ36" s="10">
        <f ca="1">AO36+AQ36+(IFERROR(OFFSET(ITEM_RES!$S$1,MATCH(AU36,ITEM_RES!$A:$A,0)-1,0),0)*AW36+IFERROR(OFFSET(ITEM_RES!$S$1,MATCH(AZ36,ITEM_RES!$A:$A,0)-1,0),0)*BB36+IFERROR(OFFSET(ITEM_RES!$S$1,MATCH(BE36,ITEM_RES!$A:$A,0)-1,0),0)*BG36+IFERROR(OFFSET(ITEM_RES!$S$1,MATCH(BJ36,ITEM_RES!$A:$A,0)-1,0),0)*BL36+IFERROR(OFFSET(ITEM_RES!$S$1,MATCH(BO36,ITEM_RES!$A:$A,0)-1,0),0)*BQ36)/1000</f>
        <v>156600</v>
      </c>
      <c r="AK36" s="183">
        <f t="shared" ca="1" si="10"/>
        <v>289100</v>
      </c>
      <c r="AM36" s="11">
        <f t="shared" si="4"/>
        <v>60</v>
      </c>
      <c r="AN36" s="10">
        <v>60</v>
      </c>
      <c r="AO36" s="11">
        <f t="shared" si="6"/>
        <v>300</v>
      </c>
      <c r="AP36" s="10">
        <v>300</v>
      </c>
      <c r="AQ36" s="11">
        <f t="shared" si="6"/>
        <v>300</v>
      </c>
      <c r="AR36" s="10">
        <v>300</v>
      </c>
      <c r="AS36" s="56">
        <f t="shared" si="7"/>
        <v>2</v>
      </c>
      <c r="AU36" s="11">
        <f ca="1">IFERROR(OFFSET(ITEM_RES!$A$1,MATCH(AV36,ITEM_RES!$J:$J,0)-1,0),0)</f>
        <v>211010501</v>
      </c>
      <c r="AV36" s="10" t="s">
        <v>428</v>
      </c>
      <c r="AW36" s="11">
        <v>5200000</v>
      </c>
      <c r="AZ36" s="11">
        <f ca="1">IFERROR(OFFSET(ITEM_RES!$A$1,MATCH(BA36,ITEM_RES!$J:$J,0)-1,0),0)</f>
        <v>211020101</v>
      </c>
      <c r="BA36" s="10" t="s">
        <v>448</v>
      </c>
      <c r="BB36" s="11">
        <v>5200000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O36" s="11">
        <f ca="1">IFERROR(OFFSET(ITEM_RES!$A$1,MATCH(BP36,ITEM_RES!$J:$J,0)-1,0),0)</f>
        <v>0</v>
      </c>
      <c r="BQ36" s="11">
        <f t="shared" si="5"/>
        <v>0</v>
      </c>
    </row>
    <row r="37" spans="1:70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M37" s="9" t="s">
        <v>944</v>
      </c>
      <c r="N37" s="9" t="s">
        <v>964</v>
      </c>
      <c r="O37" s="9">
        <v>1</v>
      </c>
      <c r="P37" s="9">
        <v>15</v>
      </c>
      <c r="Q37" s="9" t="s">
        <v>778</v>
      </c>
      <c r="U37" s="9" t="s">
        <v>701</v>
      </c>
      <c r="X37" s="9">
        <f ca="1">IFERROR(OFFSET(ITEM_RES!$A$5,MATCH(BUILDING!W37,ITEM_RES!$J$5:$J$226,0)-1,0),0)</f>
        <v>0</v>
      </c>
      <c r="Z37" s="85" t="s">
        <v>539</v>
      </c>
      <c r="AA37" s="9">
        <f ca="1">IFERROR(OFFSET(ITEM_RES!$A$5,MATCH(BUILDING!Z37,ITEM_RES!$J$5:$J$226,0)-1,0),0)</f>
        <v>211010201</v>
      </c>
      <c r="AC37" s="9" t="s">
        <v>509</v>
      </c>
      <c r="AD37" s="9">
        <v>13</v>
      </c>
      <c r="AF37" s="11">
        <f ca="1">IFERROR(OFFSET(MANOR_LEVEL!$B$1,MATCH(AG37-1,MANOR_LEVEL!$A:$A,0)-1,0),0)</f>
        <v>94800</v>
      </c>
      <c r="AG37" s="56">
        <v>8</v>
      </c>
      <c r="AI37" s="56">
        <f t="shared" ca="1" si="9"/>
        <v>258700</v>
      </c>
      <c r="AJ37" s="10">
        <f ca="1">AO37+AQ37+(IFERROR(OFFSET(ITEM_RES!$S$1,MATCH(AU37,ITEM_RES!$A:$A,0)-1,0),0)*AW37+IFERROR(OFFSET(ITEM_RES!$S$1,MATCH(AZ37,ITEM_RES!$A:$A,0)-1,0),0)*BB37+IFERROR(OFFSET(ITEM_RES!$S$1,MATCH(BE37,ITEM_RES!$A:$A,0)-1,0),0)*BG37+IFERROR(OFFSET(ITEM_RES!$S$1,MATCH(BJ37,ITEM_RES!$A:$A,0)-1,0),0)*BL37+IFERROR(OFFSET(ITEM_RES!$S$1,MATCH(BO37,ITEM_RES!$A:$A,0)-1,0),0)*BQ37)/1000</f>
        <v>258700</v>
      </c>
      <c r="AK37" s="183">
        <f t="shared" ca="1" si="10"/>
        <v>415300</v>
      </c>
      <c r="AM37" s="11">
        <f t="shared" si="4"/>
        <v>65</v>
      </c>
      <c r="AN37" s="10">
        <v>65</v>
      </c>
      <c r="AO37" s="11">
        <f t="shared" si="6"/>
        <v>350</v>
      </c>
      <c r="AP37" s="10">
        <v>350</v>
      </c>
      <c r="AQ37" s="11">
        <f t="shared" si="6"/>
        <v>350</v>
      </c>
      <c r="AR37" s="10">
        <v>350</v>
      </c>
      <c r="AS37" s="56">
        <f t="shared" si="7"/>
        <v>2</v>
      </c>
      <c r="AU37" s="11">
        <f ca="1">IFERROR(OFFSET(ITEM_RES!$A$1,MATCH(AV37,ITEM_RES!$J:$J,0)-1,0),0)</f>
        <v>211010501</v>
      </c>
      <c r="AV37" s="10" t="s">
        <v>428</v>
      </c>
      <c r="AW37" s="11">
        <v>8600000</v>
      </c>
      <c r="AZ37" s="11">
        <f ca="1">IFERROR(OFFSET(ITEM_RES!$A$1,MATCH(BA37,ITEM_RES!$J:$J,0)-1,0),0)</f>
        <v>211020101</v>
      </c>
      <c r="BA37" s="10" t="s">
        <v>448</v>
      </c>
      <c r="BB37" s="11">
        <v>8600000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O37" s="11">
        <f ca="1">IFERROR(OFFSET(ITEM_RES!$A$1,MATCH(BP37,ITEM_RES!$J:$J,0)-1,0),0)</f>
        <v>0</v>
      </c>
      <c r="BQ37" s="11">
        <f t="shared" si="5"/>
        <v>0</v>
      </c>
    </row>
    <row r="38" spans="1:70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M38" s="9" t="s">
        <v>944</v>
      </c>
      <c r="N38" s="9" t="s">
        <v>964</v>
      </c>
      <c r="O38" s="9">
        <v>1</v>
      </c>
      <c r="P38" s="9">
        <v>15</v>
      </c>
      <c r="Q38" s="9" t="s">
        <v>778</v>
      </c>
      <c r="U38" s="9" t="s">
        <v>701</v>
      </c>
      <c r="X38" s="9">
        <f ca="1">IFERROR(OFFSET(ITEM_RES!$A$5,MATCH(BUILDING!W38,ITEM_RES!$J$5:$J$226,0)-1,0),0)</f>
        <v>0</v>
      </c>
      <c r="Z38" s="85" t="s">
        <v>539</v>
      </c>
      <c r="AA38" s="9">
        <f ca="1">IFERROR(OFFSET(ITEM_RES!$A$5,MATCH(BUILDING!Z38,ITEM_RES!$J$5:$J$226,0)-1,0),0)</f>
        <v>211010201</v>
      </c>
      <c r="AC38" s="9" t="s">
        <v>509</v>
      </c>
      <c r="AD38" s="9">
        <v>14</v>
      </c>
      <c r="AF38" s="11">
        <f ca="1">IFERROR(OFFSET(MANOR_LEVEL!$B$1,MATCH(AG38-1,MANOR_LEVEL!$A:$A,0)-1,0),0)</f>
        <v>94800</v>
      </c>
      <c r="AG38" s="56">
        <v>8</v>
      </c>
      <c r="AI38" s="56">
        <f t="shared" ca="1" si="9"/>
        <v>396900</v>
      </c>
      <c r="AJ38" s="10">
        <f ca="1">AO38+AQ38+(IFERROR(OFFSET(ITEM_RES!$S$1,MATCH(AU38,ITEM_RES!$A:$A,0)-1,0),0)*AW38+IFERROR(OFFSET(ITEM_RES!$S$1,MATCH(AZ38,ITEM_RES!$A:$A,0)-1,0),0)*BB38+IFERROR(OFFSET(ITEM_RES!$S$1,MATCH(BE38,ITEM_RES!$A:$A,0)-1,0),0)*BG38+IFERROR(OFFSET(ITEM_RES!$S$1,MATCH(BJ38,ITEM_RES!$A:$A,0)-1,0),0)*BL38+IFERROR(OFFSET(ITEM_RES!$S$1,MATCH(BO38,ITEM_RES!$A:$A,0)-1,0),0)*BQ38)/1000</f>
        <v>396900</v>
      </c>
      <c r="AK38" s="183">
        <f t="shared" ca="1" si="10"/>
        <v>655600</v>
      </c>
      <c r="AM38" s="11">
        <f t="shared" si="4"/>
        <v>70</v>
      </c>
      <c r="AN38" s="10">
        <v>70</v>
      </c>
      <c r="AO38" s="11">
        <f t="shared" si="6"/>
        <v>450</v>
      </c>
      <c r="AP38" s="10">
        <v>450</v>
      </c>
      <c r="AQ38" s="11">
        <f t="shared" si="6"/>
        <v>450</v>
      </c>
      <c r="AR38" s="10">
        <v>450</v>
      </c>
      <c r="AS38" s="56">
        <f t="shared" si="7"/>
        <v>2</v>
      </c>
      <c r="AU38" s="11">
        <f ca="1">IFERROR(OFFSET(ITEM_RES!$A$1,MATCH(AV38,ITEM_RES!$J:$J,0)-1,0),0)</f>
        <v>211010501</v>
      </c>
      <c r="AV38" s="10" t="s">
        <v>428</v>
      </c>
      <c r="AW38" s="11">
        <v>13200000</v>
      </c>
      <c r="AZ38" s="11">
        <f ca="1">IFERROR(OFFSET(ITEM_RES!$A$1,MATCH(BA38,ITEM_RES!$J:$J,0)-1,0),0)</f>
        <v>211020101</v>
      </c>
      <c r="BA38" s="10" t="s">
        <v>448</v>
      </c>
      <c r="BB38" s="11">
        <v>13200000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O38" s="11">
        <f ca="1">IFERROR(OFFSET(ITEM_RES!$A$1,MATCH(BP38,ITEM_RES!$J:$J,0)-1,0),0)</f>
        <v>0</v>
      </c>
      <c r="BQ38" s="11">
        <f t="shared" si="5"/>
        <v>0</v>
      </c>
    </row>
    <row r="39" spans="1:70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M39" s="9" t="s">
        <v>944</v>
      </c>
      <c r="N39" s="9" t="s">
        <v>964</v>
      </c>
      <c r="O39" s="9">
        <v>1</v>
      </c>
      <c r="P39" s="9">
        <v>15</v>
      </c>
      <c r="Q39" s="9" t="s">
        <v>778</v>
      </c>
      <c r="U39" s="9" t="s">
        <v>701</v>
      </c>
      <c r="X39" s="9">
        <f ca="1">IFERROR(OFFSET(ITEM_RES!$A$5,MATCH(BUILDING!W39,ITEM_RES!$J$5:$J$226,0)-1,0),0)</f>
        <v>0</v>
      </c>
      <c r="Z39" s="85" t="s">
        <v>539</v>
      </c>
      <c r="AA39" s="9">
        <f ca="1">IFERROR(OFFSET(ITEM_RES!$A$5,MATCH(BUILDING!Z39,ITEM_RES!$J$5:$J$226,0)-1,0),0)</f>
        <v>211010201</v>
      </c>
      <c r="AC39" s="9" t="s">
        <v>509</v>
      </c>
      <c r="AD39" s="9">
        <v>15</v>
      </c>
      <c r="AF39" s="11">
        <f ca="1">IFERROR(OFFSET(MANOR_LEVEL!$B$1,MATCH(AG39-1,MANOR_LEVEL!$A:$A,0)-1,0),0)</f>
        <v>94800</v>
      </c>
      <c r="AG39" s="56">
        <v>8</v>
      </c>
      <c r="AI39" s="56">
        <f t="shared" ca="1" si="9"/>
        <v>881100</v>
      </c>
      <c r="AJ39" s="10">
        <f ca="1">AO39+AQ39+(IFERROR(OFFSET(ITEM_RES!$S$1,MATCH(AU39,ITEM_RES!$A:$A,0)-1,0),0)*AW39+IFERROR(OFFSET(ITEM_RES!$S$1,MATCH(AZ39,ITEM_RES!$A:$A,0)-1,0),0)*BB39+IFERROR(OFFSET(ITEM_RES!$S$1,MATCH(BE39,ITEM_RES!$A:$A,0)-1,0),0)*BG39+IFERROR(OFFSET(ITEM_RES!$S$1,MATCH(BJ39,ITEM_RES!$A:$A,0)-1,0),0)*BL39+IFERROR(OFFSET(ITEM_RES!$S$1,MATCH(BO39,ITEM_RES!$A:$A,0)-1,0),0)*BQ39)/1000</f>
        <v>881100</v>
      </c>
      <c r="AK39" s="183">
        <f t="shared" ca="1" si="10"/>
        <v>1278000</v>
      </c>
      <c r="AM39" s="11">
        <f t="shared" si="4"/>
        <v>75</v>
      </c>
      <c r="AN39" s="10">
        <v>75</v>
      </c>
      <c r="AO39" s="11">
        <f t="shared" si="6"/>
        <v>550</v>
      </c>
      <c r="AP39" s="10">
        <v>550</v>
      </c>
      <c r="AQ39" s="11">
        <f t="shared" si="6"/>
        <v>550</v>
      </c>
      <c r="AR39" s="10">
        <v>550</v>
      </c>
      <c r="AS39" s="56">
        <f t="shared" si="7"/>
        <v>2</v>
      </c>
      <c r="AU39" s="11">
        <f ca="1">IFERROR(OFFSET(ITEM_RES!$A$1,MATCH(AV39,ITEM_RES!$J:$J,0)-1,0),0)</f>
        <v>211010601</v>
      </c>
      <c r="AV39" s="10" t="s">
        <v>443</v>
      </c>
      <c r="AW39" s="11">
        <v>22000000</v>
      </c>
      <c r="AZ39" s="11">
        <f ca="1">IFERROR(OFFSET(ITEM_RES!$A$1,MATCH(BA39,ITEM_RES!$J:$J,0)-1,0),0)</f>
        <v>211020101</v>
      </c>
      <c r="BA39" s="10" t="s">
        <v>448</v>
      </c>
      <c r="BB39" s="11">
        <v>22000000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O39" s="11">
        <f ca="1">IFERROR(OFFSET(ITEM_RES!$A$1,MATCH(BP39,ITEM_RES!$J:$J,0)-1,0),0)</f>
        <v>0</v>
      </c>
      <c r="BQ39" s="11">
        <f t="shared" si="5"/>
        <v>0</v>
      </c>
    </row>
    <row r="40" spans="1:70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M40" s="9" t="s">
        <v>944</v>
      </c>
      <c r="N40" s="9" t="s">
        <v>964</v>
      </c>
      <c r="O40" s="9">
        <v>0</v>
      </c>
      <c r="P40" s="9">
        <v>15</v>
      </c>
      <c r="Q40" s="9" t="s">
        <v>778</v>
      </c>
      <c r="U40" s="9" t="s">
        <v>701</v>
      </c>
      <c r="X40" s="9">
        <f ca="1">IFERROR(OFFSET(ITEM_RES!$A$5,MATCH(BUILDING!W40,ITEM_RES!$J$5:$J$226,0)-1,0),0)</f>
        <v>0</v>
      </c>
      <c r="Z40" s="85" t="s">
        <v>539</v>
      </c>
      <c r="AA40" s="9">
        <f ca="1">IFERROR(OFFSET(ITEM_RES!$A$5,MATCH(BUILDING!Z40,ITEM_RES!$J$5:$J$226,0)-1,0),0)</f>
        <v>211010201</v>
      </c>
      <c r="AC40" s="9" t="s">
        <v>509</v>
      </c>
      <c r="AD40" s="9">
        <v>16</v>
      </c>
      <c r="AF40" s="11">
        <f ca="1">IFERROR(OFFSET(MANOR_LEVEL!$B$1,MATCH(AG40-1,MANOR_LEVEL!$A:$A,0)-1,0),0)</f>
        <v>186400</v>
      </c>
      <c r="AG40" s="56">
        <v>9</v>
      </c>
      <c r="AI40" s="56">
        <f t="shared" ca="1" si="9"/>
        <v>1201400</v>
      </c>
      <c r="AJ40" s="10">
        <f ca="1">AO40+AQ40+(IFERROR(OFFSET(ITEM_RES!$S$1,MATCH(AU40,ITEM_RES!$A:$A,0)-1,0),0)*AW40+IFERROR(OFFSET(ITEM_RES!$S$1,MATCH(AZ40,ITEM_RES!$A:$A,0)-1,0),0)*BB40+IFERROR(OFFSET(ITEM_RES!$S$1,MATCH(BE40,ITEM_RES!$A:$A,0)-1,0),0)*BG40+IFERROR(OFFSET(ITEM_RES!$S$1,MATCH(BJ40,ITEM_RES!$A:$A,0)-1,0),0)*BL40+IFERROR(OFFSET(ITEM_RES!$S$1,MATCH(BO40,ITEM_RES!$A:$A,0)-1,0),0)*BQ40)/1000</f>
        <v>1201400</v>
      </c>
      <c r="AK40" s="183">
        <f t="shared" ca="1" si="10"/>
        <v>2082500</v>
      </c>
      <c r="AM40" s="11">
        <f t="shared" si="4"/>
        <v>80</v>
      </c>
      <c r="AN40" s="10">
        <v>80</v>
      </c>
      <c r="AO40" s="11">
        <f t="shared" si="6"/>
        <v>700</v>
      </c>
      <c r="AP40" s="10">
        <v>700</v>
      </c>
      <c r="AQ40" s="11">
        <f t="shared" si="6"/>
        <v>700</v>
      </c>
      <c r="AR40" s="10">
        <v>700</v>
      </c>
      <c r="AS40" s="56">
        <f t="shared" si="7"/>
        <v>2</v>
      </c>
      <c r="AU40" s="11">
        <f ca="1">IFERROR(OFFSET(ITEM_RES!$A$1,MATCH(AV40,ITEM_RES!$J:$J,0)-1,0),0)</f>
        <v>211010601</v>
      </c>
      <c r="AV40" s="10" t="s">
        <v>443</v>
      </c>
      <c r="AW40" s="11">
        <v>30000000</v>
      </c>
      <c r="AZ40" s="11">
        <f ca="1">IFERROR(OFFSET(ITEM_RES!$A$1,MATCH(BA40,ITEM_RES!$J:$J,0)-1,0),0)</f>
        <v>211020101</v>
      </c>
      <c r="BA40" s="10" t="s">
        <v>448</v>
      </c>
      <c r="BB40" s="11">
        <v>30000000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O40" s="11">
        <f ca="1">IFERROR(OFFSET(ITEM_RES!$A$1,MATCH(BP40,ITEM_RES!$J:$J,0)-1,0),0)</f>
        <v>0</v>
      </c>
      <c r="BQ40" s="11">
        <f t="shared" si="5"/>
        <v>0</v>
      </c>
    </row>
    <row r="41" spans="1:70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M41" s="9" t="s">
        <v>944</v>
      </c>
      <c r="N41" s="9" t="s">
        <v>964</v>
      </c>
      <c r="O41" s="9">
        <v>0</v>
      </c>
      <c r="P41" s="9">
        <v>15</v>
      </c>
      <c r="Q41" s="9" t="s">
        <v>778</v>
      </c>
      <c r="U41" s="9" t="s">
        <v>701</v>
      </c>
      <c r="X41" s="9">
        <f ca="1">IFERROR(OFFSET(ITEM_RES!$A$5,MATCH(BUILDING!W41,ITEM_RES!$J$5:$J$226,0)-1,0),0)</f>
        <v>0</v>
      </c>
      <c r="Z41" s="85" t="s">
        <v>539</v>
      </c>
      <c r="AA41" s="9">
        <f ca="1">IFERROR(OFFSET(ITEM_RES!$A$5,MATCH(BUILDING!Z41,ITEM_RES!$J$5:$J$226,0)-1,0),0)</f>
        <v>211010201</v>
      </c>
      <c r="AC41" s="9" t="s">
        <v>509</v>
      </c>
      <c r="AD41" s="9">
        <v>17</v>
      </c>
      <c r="AF41" s="11">
        <f ca="1">IFERROR(OFFSET(MANOR_LEVEL!$B$1,MATCH(AG41-1,MANOR_LEVEL!$A:$A,0)-1,0),0)</f>
        <v>311600</v>
      </c>
      <c r="AG41" s="56">
        <v>10</v>
      </c>
      <c r="AI41" s="56">
        <f t="shared" ca="1" si="9"/>
        <v>1841700</v>
      </c>
      <c r="AJ41" s="10">
        <f ca="1">AO41+AQ41+(IFERROR(OFFSET(ITEM_RES!$S$1,MATCH(AU41,ITEM_RES!$A:$A,0)-1,0),0)*AW41+IFERROR(OFFSET(ITEM_RES!$S$1,MATCH(AZ41,ITEM_RES!$A:$A,0)-1,0),0)*BB41+IFERROR(OFFSET(ITEM_RES!$S$1,MATCH(BE41,ITEM_RES!$A:$A,0)-1,0),0)*BG41+IFERROR(OFFSET(ITEM_RES!$S$1,MATCH(BJ41,ITEM_RES!$A:$A,0)-1,0),0)*BL41+IFERROR(OFFSET(ITEM_RES!$S$1,MATCH(BO41,ITEM_RES!$A:$A,0)-1,0),0)*BQ41)/1000</f>
        <v>1841700</v>
      </c>
      <c r="AK41" s="183">
        <f t="shared" ca="1" si="10"/>
        <v>3043100</v>
      </c>
      <c r="AM41" s="11">
        <f t="shared" si="4"/>
        <v>85</v>
      </c>
      <c r="AN41" s="10">
        <v>85</v>
      </c>
      <c r="AO41" s="11">
        <f t="shared" si="6"/>
        <v>850</v>
      </c>
      <c r="AP41" s="10">
        <v>850</v>
      </c>
      <c r="AQ41" s="11">
        <f t="shared" si="6"/>
        <v>850</v>
      </c>
      <c r="AR41" s="10">
        <v>850</v>
      </c>
      <c r="AS41" s="56">
        <f t="shared" si="7"/>
        <v>2</v>
      </c>
      <c r="AU41" s="11">
        <f ca="1">IFERROR(OFFSET(ITEM_RES!$A$1,MATCH(AV41,ITEM_RES!$J:$J,0)-1,0),0)</f>
        <v>211010601</v>
      </c>
      <c r="AV41" s="10" t="s">
        <v>443</v>
      </c>
      <c r="AW41" s="11">
        <v>46000000</v>
      </c>
      <c r="AZ41" s="11">
        <f ca="1">IFERROR(OFFSET(ITEM_RES!$A$1,MATCH(BA41,ITEM_RES!$J:$J,0)-1,0),0)</f>
        <v>211020101</v>
      </c>
      <c r="BA41" s="10" t="s">
        <v>448</v>
      </c>
      <c r="BB41" s="11">
        <v>46000000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O41" s="11">
        <f ca="1">IFERROR(OFFSET(ITEM_RES!$A$1,MATCH(BP41,ITEM_RES!$J:$J,0)-1,0),0)</f>
        <v>0</v>
      </c>
      <c r="BQ41" s="11">
        <f t="shared" si="5"/>
        <v>0</v>
      </c>
    </row>
    <row r="42" spans="1:70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M42" s="9" t="s">
        <v>944</v>
      </c>
      <c r="N42" s="9" t="s">
        <v>964</v>
      </c>
      <c r="O42" s="9">
        <v>0</v>
      </c>
      <c r="P42" s="9">
        <v>15</v>
      </c>
      <c r="Q42" s="9" t="s">
        <v>778</v>
      </c>
      <c r="U42" s="9" t="s">
        <v>701</v>
      </c>
      <c r="X42" s="9">
        <f ca="1">IFERROR(OFFSET(ITEM_RES!$A$5,MATCH(BUILDING!W42,ITEM_RES!$J$5:$J$226,0)-1,0),0)</f>
        <v>0</v>
      </c>
      <c r="Z42" s="85" t="s">
        <v>539</v>
      </c>
      <c r="AA42" s="9">
        <f ca="1">IFERROR(OFFSET(ITEM_RES!$A$5,MATCH(BUILDING!Z42,ITEM_RES!$J$5:$J$226,0)-1,0),0)</f>
        <v>211010201</v>
      </c>
      <c r="AC42" s="9" t="s">
        <v>509</v>
      </c>
      <c r="AD42" s="9">
        <v>18</v>
      </c>
      <c r="AF42" s="11">
        <f ca="1">IFERROR(OFFSET(MANOR_LEVEL!$B$1,MATCH(AG42-1,MANOR_LEVEL!$A:$A,0)-1,0),0)</f>
        <v>456800</v>
      </c>
      <c r="AG42" s="56">
        <v>11</v>
      </c>
      <c r="AI42" s="56">
        <f t="shared" ca="1" si="9"/>
        <v>2802100</v>
      </c>
      <c r="AJ42" s="10">
        <f ca="1">AO42+AQ42+(IFERROR(OFFSET(ITEM_RES!$S$1,MATCH(AU42,ITEM_RES!$A:$A,0)-1,0),0)*AW42+IFERROR(OFFSET(ITEM_RES!$S$1,MATCH(AZ42,ITEM_RES!$A:$A,0)-1,0),0)*BB42+IFERROR(OFFSET(ITEM_RES!$S$1,MATCH(BE42,ITEM_RES!$A:$A,0)-1,0),0)*BG42+IFERROR(OFFSET(ITEM_RES!$S$1,MATCH(BJ42,ITEM_RES!$A:$A,0)-1,0),0)*BL42+IFERROR(OFFSET(ITEM_RES!$S$1,MATCH(BO42,ITEM_RES!$A:$A,0)-1,0),0)*BQ42)/1000</f>
        <v>2802100</v>
      </c>
      <c r="AK42" s="183">
        <f t="shared" ca="1" si="10"/>
        <v>4643800</v>
      </c>
      <c r="AM42" s="11">
        <f t="shared" si="4"/>
        <v>90</v>
      </c>
      <c r="AN42" s="10">
        <v>90</v>
      </c>
      <c r="AO42" s="11">
        <f t="shared" si="6"/>
        <v>1050</v>
      </c>
      <c r="AP42" s="10">
        <v>1050</v>
      </c>
      <c r="AQ42" s="11">
        <f t="shared" si="6"/>
        <v>1050</v>
      </c>
      <c r="AR42" s="10">
        <v>1050</v>
      </c>
      <c r="AS42" s="56">
        <f t="shared" si="7"/>
        <v>2</v>
      </c>
      <c r="AU42" s="11">
        <f ca="1">IFERROR(OFFSET(ITEM_RES!$A$1,MATCH(AV42,ITEM_RES!$J:$J,0)-1,0),0)</f>
        <v>211010601</v>
      </c>
      <c r="AV42" s="10" t="s">
        <v>443</v>
      </c>
      <c r="AW42" s="11">
        <v>70000000</v>
      </c>
      <c r="AZ42" s="11">
        <f ca="1">IFERROR(OFFSET(ITEM_RES!$A$1,MATCH(BA42,ITEM_RES!$J:$J,0)-1,0),0)</f>
        <v>211020101</v>
      </c>
      <c r="BA42" s="10" t="s">
        <v>448</v>
      </c>
      <c r="BB42" s="11">
        <v>70000000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O42" s="11">
        <f ca="1">IFERROR(OFFSET(ITEM_RES!$A$1,MATCH(BP42,ITEM_RES!$J:$J,0)-1,0),0)</f>
        <v>0</v>
      </c>
      <c r="BQ42" s="11">
        <f t="shared" si="5"/>
        <v>0</v>
      </c>
    </row>
    <row r="43" spans="1:70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M43" s="9" t="s">
        <v>944</v>
      </c>
      <c r="N43" s="9" t="s">
        <v>964</v>
      </c>
      <c r="O43" s="9">
        <v>0</v>
      </c>
      <c r="P43" s="9">
        <v>15</v>
      </c>
      <c r="Q43" s="9" t="s">
        <v>778</v>
      </c>
      <c r="U43" s="9" t="s">
        <v>701</v>
      </c>
      <c r="X43" s="9">
        <f ca="1">IFERROR(OFFSET(ITEM_RES!$A$5,MATCH(BUILDING!W43,ITEM_RES!$J$5:$J$226,0)-1,0),0)</f>
        <v>0</v>
      </c>
      <c r="Z43" s="85" t="s">
        <v>539</v>
      </c>
      <c r="AA43" s="9">
        <f ca="1">IFERROR(OFFSET(ITEM_RES!$A$5,MATCH(BUILDING!Z43,ITEM_RES!$J$5:$J$226,0)-1,0),0)</f>
        <v>211010201</v>
      </c>
      <c r="AC43" s="9" t="s">
        <v>509</v>
      </c>
      <c r="AD43" s="9">
        <v>19</v>
      </c>
      <c r="AF43" s="11">
        <f ca="1">IFERROR(OFFSET(MANOR_LEVEL!$B$1,MATCH(AG43-1,MANOR_LEVEL!$A:$A,0)-1,0),0)</f>
        <v>796000</v>
      </c>
      <c r="AG43" s="56">
        <v>12</v>
      </c>
      <c r="AI43" s="56">
        <f t="shared" ca="1" si="9"/>
        <v>3842500</v>
      </c>
      <c r="AJ43" s="10">
        <f ca="1">AO43+AQ43+(IFERROR(OFFSET(ITEM_RES!$S$1,MATCH(AU43,ITEM_RES!$A:$A,0)-1,0),0)*AW43+IFERROR(OFFSET(ITEM_RES!$S$1,MATCH(AZ43,ITEM_RES!$A:$A,0)-1,0),0)*BB43+IFERROR(OFFSET(ITEM_RES!$S$1,MATCH(BE43,ITEM_RES!$A:$A,0)-1,0),0)*BG43+IFERROR(OFFSET(ITEM_RES!$S$1,MATCH(BJ43,ITEM_RES!$A:$A,0)-1,0),0)*BL43+IFERROR(OFFSET(ITEM_RES!$S$1,MATCH(BO43,ITEM_RES!$A:$A,0)-1,0),0)*BQ43)/1000</f>
        <v>3842500</v>
      </c>
      <c r="AK43" s="183">
        <f t="shared" ca="1" si="10"/>
        <v>6644600</v>
      </c>
      <c r="AM43" s="11">
        <f t="shared" si="4"/>
        <v>95</v>
      </c>
      <c r="AN43" s="10">
        <v>95</v>
      </c>
      <c r="AO43" s="11">
        <f t="shared" si="6"/>
        <v>1250</v>
      </c>
      <c r="AP43" s="10">
        <v>1250</v>
      </c>
      <c r="AQ43" s="11">
        <f t="shared" si="6"/>
        <v>1250</v>
      </c>
      <c r="AR43" s="10">
        <v>1250</v>
      </c>
      <c r="AS43" s="56">
        <f t="shared" si="7"/>
        <v>2</v>
      </c>
      <c r="AU43" s="11">
        <f ca="1">IFERROR(OFFSET(ITEM_RES!$A$1,MATCH(AV43,ITEM_RES!$J:$J,0)-1,0),0)</f>
        <v>211010601</v>
      </c>
      <c r="AV43" s="10" t="s">
        <v>443</v>
      </c>
      <c r="AW43" s="11">
        <v>96000000</v>
      </c>
      <c r="AZ43" s="11">
        <f ca="1">IFERROR(OFFSET(ITEM_RES!$A$1,MATCH(BA43,ITEM_RES!$J:$J,0)-1,0),0)</f>
        <v>211020101</v>
      </c>
      <c r="BA43" s="10" t="s">
        <v>448</v>
      </c>
      <c r="BB43" s="11">
        <v>96000000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O43" s="11">
        <f ca="1">IFERROR(OFFSET(ITEM_RES!$A$1,MATCH(BP43,ITEM_RES!$J:$J,0)-1,0),0)</f>
        <v>0</v>
      </c>
      <c r="BQ43" s="11">
        <f t="shared" si="5"/>
        <v>0</v>
      </c>
    </row>
    <row r="44" spans="1:70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M44" s="9" t="s">
        <v>944</v>
      </c>
      <c r="N44" s="9" t="s">
        <v>964</v>
      </c>
      <c r="O44" s="9">
        <v>0</v>
      </c>
      <c r="P44" s="9">
        <v>15</v>
      </c>
      <c r="Q44" s="9" t="s">
        <v>778</v>
      </c>
      <c r="U44" s="9" t="s">
        <v>701</v>
      </c>
      <c r="X44" s="9">
        <f ca="1">IFERROR(OFFSET(ITEM_RES!$A$5,MATCH(BUILDING!W44,ITEM_RES!$J$5:$J$226,0)-1,0),0)</f>
        <v>0</v>
      </c>
      <c r="Z44" s="85" t="s">
        <v>539</v>
      </c>
      <c r="AA44" s="9">
        <f ca="1">IFERROR(OFFSET(ITEM_RES!$A$5,MATCH(BUILDING!Z44,ITEM_RES!$J$5:$J$226,0)-1,0),0)</f>
        <v>211010201</v>
      </c>
      <c r="AC44" s="9" t="s">
        <v>509</v>
      </c>
      <c r="AD44" s="9">
        <v>20</v>
      </c>
      <c r="AF44" s="11">
        <f ca="1">IFERROR(OFFSET(MANOR_LEVEL!$B$1,MATCH(AG44-1,MANOR_LEVEL!$A:$A,0)-1,0),0)</f>
        <v>1156400</v>
      </c>
      <c r="AG44" s="56">
        <v>13</v>
      </c>
      <c r="AI44" s="56">
        <f t="shared" ca="1" si="9"/>
        <v>6083000</v>
      </c>
      <c r="AJ44" s="10">
        <f ca="1">AO44+AQ44+(IFERROR(OFFSET(ITEM_RES!$S$1,MATCH(AU44,ITEM_RES!$A:$A,0)-1,0),0)*AW44+IFERROR(OFFSET(ITEM_RES!$S$1,MATCH(AZ44,ITEM_RES!$A:$A,0)-1,0),0)*BB44+IFERROR(OFFSET(ITEM_RES!$S$1,MATCH(BE44,ITEM_RES!$A:$A,0)-1,0),0)*BG44+IFERROR(OFFSET(ITEM_RES!$S$1,MATCH(BJ44,ITEM_RES!$A:$A,0)-1,0),0)*BL44+IFERROR(OFFSET(ITEM_RES!$S$1,MATCH(BO44,ITEM_RES!$A:$A,0)-1,0),0)*BQ44)/1000</f>
        <v>6083000</v>
      </c>
      <c r="AK44" s="183">
        <f t="shared" ca="1" si="10"/>
        <v>9925500</v>
      </c>
      <c r="AM44" s="11">
        <f t="shared" si="4"/>
        <v>100</v>
      </c>
      <c r="AN44" s="10">
        <v>100</v>
      </c>
      <c r="AO44" s="11">
        <f t="shared" si="6"/>
        <v>1500</v>
      </c>
      <c r="AP44" s="10">
        <v>1500</v>
      </c>
      <c r="AQ44" s="11">
        <f t="shared" si="6"/>
        <v>1500</v>
      </c>
      <c r="AR44" s="10">
        <v>1500</v>
      </c>
      <c r="AS44" s="56">
        <f t="shared" si="7"/>
        <v>2</v>
      </c>
      <c r="AU44" s="11">
        <f ca="1">IFERROR(OFFSET(ITEM_RES!$A$1,MATCH(AV44,ITEM_RES!$J:$J,0)-1,0),0)</f>
        <v>211010601</v>
      </c>
      <c r="AV44" s="10" t="s">
        <v>443</v>
      </c>
      <c r="AW44" s="11">
        <v>152000000</v>
      </c>
      <c r="AZ44" s="11">
        <f ca="1">IFERROR(OFFSET(ITEM_RES!$A$1,MATCH(BA44,ITEM_RES!$J:$J,0)-1,0),0)</f>
        <v>211020101</v>
      </c>
      <c r="BA44" s="10" t="s">
        <v>448</v>
      </c>
      <c r="BB44" s="11">
        <v>152000000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O44" s="11">
        <f ca="1">IFERROR(OFFSET(ITEM_RES!$A$1,MATCH(BP44,ITEM_RES!$J:$J,0)-1,0),0)</f>
        <v>0</v>
      </c>
      <c r="BQ44" s="11">
        <f t="shared" si="5"/>
        <v>0</v>
      </c>
    </row>
    <row r="45" spans="1:70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9"/>
      <c r="H45" s="16">
        <v>1</v>
      </c>
      <c r="I45" s="16">
        <v>1</v>
      </c>
      <c r="J45" s="79"/>
      <c r="K45" s="16" t="s">
        <v>358</v>
      </c>
      <c r="L45" s="16">
        <v>10</v>
      </c>
      <c r="M45" s="16" t="s">
        <v>945</v>
      </c>
      <c r="N45" s="16" t="s">
        <v>965</v>
      </c>
      <c r="O45" s="16">
        <v>1</v>
      </c>
      <c r="P45" s="16">
        <v>15</v>
      </c>
      <c r="Q45" s="16" t="s">
        <v>777</v>
      </c>
      <c r="R45" s="17"/>
      <c r="S45" s="17"/>
      <c r="T45" s="18"/>
      <c r="U45" s="16" t="s">
        <v>702</v>
      </c>
      <c r="V45" s="79"/>
      <c r="W45" s="87"/>
      <c r="X45" s="16">
        <f ca="1">IFERROR(OFFSET(ITEM_RES!$A$5,MATCH(BUILDING!W45,ITEM_RES!$J$5:$J$226,0)-1,0),0)</f>
        <v>0</v>
      </c>
      <c r="Y45" s="18"/>
      <c r="Z45" s="87" t="s">
        <v>540</v>
      </c>
      <c r="AA45" s="16">
        <f ca="1">IFERROR(OFFSET(ITEM_RES!$A$5,MATCH(BUILDING!Z45,ITEM_RES!$J$5:$J$226,0)-1,0),0)</f>
        <v>211010301</v>
      </c>
      <c r="AB45" s="79"/>
      <c r="AC45" s="16" t="s">
        <v>510</v>
      </c>
      <c r="AD45" s="16">
        <v>1</v>
      </c>
      <c r="AE45" s="79"/>
      <c r="AF45" s="18">
        <f ca="1">IFERROR(OFFSET(MANOR_LEVEL!$B$1,MATCH(AG45-1,MANOR_LEVEL!$A:$A,0)-1,0),0)</f>
        <v>0</v>
      </c>
      <c r="AG45" s="57">
        <v>1</v>
      </c>
      <c r="AH45" s="79"/>
      <c r="AI45" s="57">
        <f t="shared" ca="1" si="9"/>
        <v>111</v>
      </c>
      <c r="AJ45" s="17">
        <f ca="1">AO45+AQ45+(IFERROR(OFFSET(ITEM_RES!$S$1,MATCH(AU45,ITEM_RES!$A:$A,0)-1,0),0)*AW45+IFERROR(OFFSET(ITEM_RES!$S$1,MATCH(AZ45,ITEM_RES!$A:$A,0)-1,0),0)*BB45+IFERROR(OFFSET(ITEM_RES!$S$1,MATCH(BE45,ITEM_RES!$A:$A,0)-1,0),0)*BG45+IFERROR(OFFSET(ITEM_RES!$S$1,MATCH(BJ45,ITEM_RES!$A:$A,0)-1,0),0)*BL45+IFERROR(OFFSET(ITEM_RES!$S$1,MATCH(BO45,ITEM_RES!$A:$A,0)-1,0),0)*BQ45)/1000</f>
        <v>110.6</v>
      </c>
      <c r="AK45" s="185">
        <f ca="1">AI45</f>
        <v>111</v>
      </c>
      <c r="AL45" s="79"/>
      <c r="AM45" s="18">
        <f t="shared" si="4"/>
        <v>5</v>
      </c>
      <c r="AN45" s="17">
        <v>5</v>
      </c>
      <c r="AO45" s="18">
        <f t="shared" si="6"/>
        <v>5</v>
      </c>
      <c r="AP45" s="17">
        <v>5</v>
      </c>
      <c r="AQ45" s="18">
        <f t="shared" si="6"/>
        <v>5</v>
      </c>
      <c r="AR45" s="17">
        <v>5</v>
      </c>
      <c r="AS45" s="57">
        <f t="shared" si="7"/>
        <v>3</v>
      </c>
      <c r="AT45" s="18"/>
      <c r="AU45" s="18">
        <f ca="1">IFERROR(OFFSET(ITEM_RES!$A$1,MATCH(AV45,ITEM_RES!$J:$J,0)-1,0),0)</f>
        <v>211010501</v>
      </c>
      <c r="AV45" s="17" t="s">
        <v>429</v>
      </c>
      <c r="AW45" s="18">
        <v>20</v>
      </c>
      <c r="AX45" s="17"/>
      <c r="AY45" s="18"/>
      <c r="AZ45" s="18">
        <f ca="1">IFERROR(OFFSET(ITEM_RES!$A$1,MATCH(BA45,ITEM_RES!$J:$J,0)-1,0),0)</f>
        <v>211020101</v>
      </c>
      <c r="BA45" s="17" t="s">
        <v>448</v>
      </c>
      <c r="BB45" s="18">
        <v>20</v>
      </c>
      <c r="BC45" s="17"/>
      <c r="BD45" s="18"/>
      <c r="BE45" s="18">
        <f ca="1">IFERROR(OFFSET(ITEM_RES!$A$1,MATCH(BF45,ITEM_RES!$J:$J,0)-1,0),0)</f>
        <v>213010101</v>
      </c>
      <c r="BF45" s="17" t="s">
        <v>452</v>
      </c>
      <c r="BG45" s="18">
        <v>1</v>
      </c>
      <c r="BH45" s="17"/>
      <c r="BI45" s="18"/>
      <c r="BJ45" s="18">
        <f ca="1">IFERROR(OFFSET(ITEM_RES!$A$1,MATCH(BK45,ITEM_RES!$J:$J,0)-1,0),0)</f>
        <v>0</v>
      </c>
      <c r="BK45" s="17"/>
      <c r="BL45" s="18"/>
      <c r="BM45" s="17"/>
      <c r="BN45" s="18"/>
      <c r="BO45" s="18">
        <f ca="1">IFERROR(OFFSET(ITEM_RES!$A$1,MATCH(BP45,ITEM_RES!$J:$J,0)-1,0),0)</f>
        <v>0</v>
      </c>
      <c r="BP45" s="17"/>
      <c r="BQ45" s="18">
        <f t="shared" si="5"/>
        <v>0</v>
      </c>
      <c r="BR45" s="17"/>
    </row>
    <row r="46" spans="1:70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M46" s="9" t="s">
        <v>945</v>
      </c>
      <c r="N46" s="9" t="s">
        <v>965</v>
      </c>
      <c r="O46" s="9">
        <v>1</v>
      </c>
      <c r="P46" s="9">
        <v>15</v>
      </c>
      <c r="Q46" s="9" t="s">
        <v>777</v>
      </c>
      <c r="U46" s="9" t="s">
        <v>702</v>
      </c>
      <c r="X46" s="9">
        <f ca="1">IFERROR(OFFSET(ITEM_RES!$A$5,MATCH(BUILDING!W46,ITEM_RES!$J$5:$J$226,0)-1,0),0)</f>
        <v>0</v>
      </c>
      <c r="Z46" s="85" t="s">
        <v>540</v>
      </c>
      <c r="AA46" s="9">
        <f ca="1">IFERROR(OFFSET(ITEM_RES!$A$5,MATCH(BUILDING!Z46,ITEM_RES!$J$5:$J$226,0)-1,0),0)</f>
        <v>211010301</v>
      </c>
      <c r="AC46" s="9" t="s">
        <v>510</v>
      </c>
      <c r="AD46" s="9">
        <v>2</v>
      </c>
      <c r="AF46" s="11">
        <f ca="1">IFERROR(OFFSET(MANOR_LEVEL!$B$1,MATCH(AG46-1,MANOR_LEVEL!$A:$A,0)-1,0),0)</f>
        <v>0</v>
      </c>
      <c r="AG46" s="56">
        <v>1</v>
      </c>
      <c r="AI46" s="56">
        <f t="shared" ca="1" si="9"/>
        <v>21</v>
      </c>
      <c r="AJ46" s="10">
        <f ca="1">AO46+AQ46+(IFERROR(OFFSET(ITEM_RES!$S$1,MATCH(AU46,ITEM_RES!$A:$A,0)-1,0),0)*AW46+IFERROR(OFFSET(ITEM_RES!$S$1,MATCH(AZ46,ITEM_RES!$A:$A,0)-1,0),0)*BB46+IFERROR(OFFSET(ITEM_RES!$S$1,MATCH(BE46,ITEM_RES!$A:$A,0)-1,0),0)*BG46+IFERROR(OFFSET(ITEM_RES!$S$1,MATCH(BJ46,ITEM_RES!$A:$A,0)-1,0),0)*BL46+IFERROR(OFFSET(ITEM_RES!$S$1,MATCH(BO46,ITEM_RES!$A:$A,0)-1,0),0)*BQ46)/1000</f>
        <v>20.6</v>
      </c>
      <c r="AK46" s="183">
        <f ca="1">AI45+AI46</f>
        <v>132</v>
      </c>
      <c r="AM46" s="11">
        <f t="shared" si="4"/>
        <v>10</v>
      </c>
      <c r="AN46" s="10">
        <v>10</v>
      </c>
      <c r="AO46" s="11">
        <f t="shared" si="6"/>
        <v>10</v>
      </c>
      <c r="AP46" s="10">
        <v>10</v>
      </c>
      <c r="AQ46" s="11">
        <f t="shared" si="6"/>
        <v>10</v>
      </c>
      <c r="AR46" s="10">
        <v>10</v>
      </c>
      <c r="AS46" s="56">
        <f t="shared" si="7"/>
        <v>2</v>
      </c>
      <c r="AU46" s="11">
        <f ca="1">IFERROR(OFFSET(ITEM_RES!$A$1,MATCH(AV46,ITEM_RES!$J:$J,0)-1,0),0)</f>
        <v>211010501</v>
      </c>
      <c r="AV46" s="10" t="s">
        <v>429</v>
      </c>
      <c r="AW46" s="11">
        <v>20</v>
      </c>
      <c r="AZ46" s="11">
        <f ca="1">IFERROR(OFFSET(ITEM_RES!$A$1,MATCH(BA46,ITEM_RES!$J:$J,0)-1,0),0)</f>
        <v>211020101</v>
      </c>
      <c r="BA46" s="10" t="s">
        <v>448</v>
      </c>
      <c r="BB46" s="11">
        <v>20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O46" s="11">
        <f ca="1">IFERROR(OFFSET(ITEM_RES!$A$1,MATCH(BP46,ITEM_RES!$J:$J,0)-1,0),0)</f>
        <v>0</v>
      </c>
      <c r="BQ46" s="11">
        <f t="shared" si="5"/>
        <v>0</v>
      </c>
    </row>
    <row r="47" spans="1:70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M47" s="9" t="s">
        <v>945</v>
      </c>
      <c r="N47" s="9" t="s">
        <v>965</v>
      </c>
      <c r="O47" s="9">
        <v>1</v>
      </c>
      <c r="P47" s="9">
        <v>15</v>
      </c>
      <c r="Q47" s="9" t="s">
        <v>777</v>
      </c>
      <c r="U47" s="9" t="s">
        <v>702</v>
      </c>
      <c r="X47" s="9">
        <f ca="1">IFERROR(OFFSET(ITEM_RES!$A$5,MATCH(BUILDING!W47,ITEM_RES!$J$5:$J$226,0)-1,0),0)</f>
        <v>0</v>
      </c>
      <c r="Z47" s="85" t="s">
        <v>540</v>
      </c>
      <c r="AA47" s="9">
        <f ca="1">IFERROR(OFFSET(ITEM_RES!$A$5,MATCH(BUILDING!Z47,ITEM_RES!$J$5:$J$226,0)-1,0),0)</f>
        <v>211010301</v>
      </c>
      <c r="AC47" s="9" t="s">
        <v>510</v>
      </c>
      <c r="AD47" s="9">
        <v>3</v>
      </c>
      <c r="AF47" s="11">
        <f ca="1">IFERROR(OFFSET(MANOR_LEVEL!$B$1,MATCH(AG47-1,MANOR_LEVEL!$A:$A,0)-1,0),0)</f>
        <v>0</v>
      </c>
      <c r="AG47" s="56">
        <v>1</v>
      </c>
      <c r="AI47" s="56">
        <f t="shared" ca="1" si="9"/>
        <v>35</v>
      </c>
      <c r="AJ47" s="10">
        <f ca="1">AO47+AQ47+(IFERROR(OFFSET(ITEM_RES!$S$1,MATCH(AU47,ITEM_RES!$A:$A,0)-1,0),0)*AW47+IFERROR(OFFSET(ITEM_RES!$S$1,MATCH(AZ47,ITEM_RES!$A:$A,0)-1,0),0)*BB47+IFERROR(OFFSET(ITEM_RES!$S$1,MATCH(BE47,ITEM_RES!$A:$A,0)-1,0),0)*BG47+IFERROR(OFFSET(ITEM_RES!$S$1,MATCH(BJ47,ITEM_RES!$A:$A,0)-1,0),0)*BL47+IFERROR(OFFSET(ITEM_RES!$S$1,MATCH(BO47,ITEM_RES!$A:$A,0)-1,0),0)*BQ47)/1000</f>
        <v>34.799999999999997</v>
      </c>
      <c r="AK47" s="183">
        <f t="shared" ref="AK47:AK64" ca="1" si="11">AI46+AI47</f>
        <v>56</v>
      </c>
      <c r="AM47" s="11">
        <f t="shared" si="4"/>
        <v>15</v>
      </c>
      <c r="AN47" s="10">
        <v>15</v>
      </c>
      <c r="AO47" s="11">
        <f t="shared" si="6"/>
        <v>15</v>
      </c>
      <c r="AP47" s="10">
        <v>15</v>
      </c>
      <c r="AQ47" s="11">
        <f t="shared" si="6"/>
        <v>15</v>
      </c>
      <c r="AR47" s="10">
        <v>15</v>
      </c>
      <c r="AS47" s="56">
        <f t="shared" si="7"/>
        <v>2</v>
      </c>
      <c r="AU47" s="11">
        <f ca="1">IFERROR(OFFSET(ITEM_RES!$A$1,MATCH(AV47,ITEM_RES!$J:$J,0)-1,0),0)</f>
        <v>211010501</v>
      </c>
      <c r="AV47" s="10" t="s">
        <v>429</v>
      </c>
      <c r="AW47" s="11">
        <v>160</v>
      </c>
      <c r="AZ47" s="11">
        <f ca="1">IFERROR(OFFSET(ITEM_RES!$A$1,MATCH(BA47,ITEM_RES!$J:$J,0)-1,0),0)</f>
        <v>211020101</v>
      </c>
      <c r="BA47" s="10" t="s">
        <v>448</v>
      </c>
      <c r="BB47" s="11">
        <v>160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O47" s="11">
        <f ca="1">IFERROR(OFFSET(ITEM_RES!$A$1,MATCH(BP47,ITEM_RES!$J:$J,0)-1,0),0)</f>
        <v>0</v>
      </c>
      <c r="BQ47" s="11">
        <f t="shared" si="5"/>
        <v>0</v>
      </c>
    </row>
    <row r="48" spans="1:70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M48" s="9" t="s">
        <v>945</v>
      </c>
      <c r="N48" s="9" t="s">
        <v>965</v>
      </c>
      <c r="O48" s="9">
        <v>1</v>
      </c>
      <c r="P48" s="9">
        <v>15</v>
      </c>
      <c r="Q48" s="9" t="s">
        <v>777</v>
      </c>
      <c r="U48" s="9" t="s">
        <v>702</v>
      </c>
      <c r="X48" s="9">
        <f ca="1">IFERROR(OFFSET(ITEM_RES!$A$5,MATCH(BUILDING!W48,ITEM_RES!$J$5:$J$226,0)-1,0),0)</f>
        <v>0</v>
      </c>
      <c r="Z48" s="85" t="s">
        <v>540</v>
      </c>
      <c r="AA48" s="9">
        <f ca="1">IFERROR(OFFSET(ITEM_RES!$A$5,MATCH(BUILDING!Z48,ITEM_RES!$J$5:$J$226,0)-1,0),0)</f>
        <v>211010301</v>
      </c>
      <c r="AC48" s="9" t="s">
        <v>510</v>
      </c>
      <c r="AD48" s="9">
        <v>4</v>
      </c>
      <c r="AF48" s="11">
        <f ca="1">IFERROR(OFFSET(MANOR_LEVEL!$B$1,MATCH(AG48-1,MANOR_LEVEL!$A:$A,0)-1,0),0)</f>
        <v>444</v>
      </c>
      <c r="AG48" s="56">
        <v>2</v>
      </c>
      <c r="AI48" s="56">
        <f t="shared" ca="1" si="9"/>
        <v>108</v>
      </c>
      <c r="AJ48" s="10">
        <f ca="1">AO48+AQ48+(IFERROR(OFFSET(ITEM_RES!$S$1,MATCH(AU48,ITEM_RES!$A:$A,0)-1,0),0)*AW48+IFERROR(OFFSET(ITEM_RES!$S$1,MATCH(AZ48,ITEM_RES!$A:$A,0)-1,0),0)*BB48+IFERROR(OFFSET(ITEM_RES!$S$1,MATCH(BE48,ITEM_RES!$A:$A,0)-1,0),0)*BG48+IFERROR(OFFSET(ITEM_RES!$S$1,MATCH(BJ48,ITEM_RES!$A:$A,0)-1,0),0)*BL48+IFERROR(OFFSET(ITEM_RES!$S$1,MATCH(BO48,ITEM_RES!$A:$A,0)-1,0),0)*BQ48)/1000</f>
        <v>107.6</v>
      </c>
      <c r="AK48" s="183">
        <f t="shared" ca="1" si="11"/>
        <v>143</v>
      </c>
      <c r="AM48" s="11">
        <f t="shared" si="4"/>
        <v>20</v>
      </c>
      <c r="AN48" s="10">
        <v>20</v>
      </c>
      <c r="AO48" s="11">
        <f t="shared" si="6"/>
        <v>25</v>
      </c>
      <c r="AP48" s="10">
        <v>25</v>
      </c>
      <c r="AQ48" s="11">
        <f t="shared" si="6"/>
        <v>25</v>
      </c>
      <c r="AR48" s="10">
        <v>25</v>
      </c>
      <c r="AS48" s="56">
        <f t="shared" si="7"/>
        <v>2</v>
      </c>
      <c r="AU48" s="11">
        <f ca="1">IFERROR(OFFSET(ITEM_RES!$A$1,MATCH(AV48,ITEM_RES!$J:$J,0)-1,0),0)</f>
        <v>211010501</v>
      </c>
      <c r="AV48" s="10" t="s">
        <v>429</v>
      </c>
      <c r="AW48" s="11">
        <v>1920</v>
      </c>
      <c r="AZ48" s="11">
        <f ca="1">IFERROR(OFFSET(ITEM_RES!$A$1,MATCH(BA48,ITEM_RES!$J:$J,0)-1,0),0)</f>
        <v>211020101</v>
      </c>
      <c r="BA48" s="10" t="s">
        <v>448</v>
      </c>
      <c r="BB48" s="11">
        <v>1920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O48" s="11">
        <f ca="1">IFERROR(OFFSET(ITEM_RES!$A$1,MATCH(BP48,ITEM_RES!$J:$J,0)-1,0),0)</f>
        <v>0</v>
      </c>
      <c r="BQ48" s="11">
        <f t="shared" si="5"/>
        <v>0</v>
      </c>
    </row>
    <row r="49" spans="1:69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M49" s="9" t="s">
        <v>945</v>
      </c>
      <c r="N49" s="9" t="s">
        <v>965</v>
      </c>
      <c r="O49" s="9">
        <v>1</v>
      </c>
      <c r="P49" s="9">
        <v>15</v>
      </c>
      <c r="Q49" s="9" t="s">
        <v>777</v>
      </c>
      <c r="U49" s="9" t="s">
        <v>702</v>
      </c>
      <c r="X49" s="9">
        <f ca="1">IFERROR(OFFSET(ITEM_RES!$A$5,MATCH(BUILDING!W49,ITEM_RES!$J$5:$J$226,0)-1,0),0)</f>
        <v>0</v>
      </c>
      <c r="Z49" s="85" t="s">
        <v>540</v>
      </c>
      <c r="AA49" s="9">
        <f ca="1">IFERROR(OFFSET(ITEM_RES!$A$5,MATCH(BUILDING!Z49,ITEM_RES!$J$5:$J$226,0)-1,0),0)</f>
        <v>211010301</v>
      </c>
      <c r="AC49" s="9" t="s">
        <v>510</v>
      </c>
      <c r="AD49" s="9">
        <v>5</v>
      </c>
      <c r="AF49" s="11">
        <f ca="1">IFERROR(OFFSET(MANOR_LEVEL!$B$1,MATCH(AG49-1,MANOR_LEVEL!$A:$A,0)-1,0),0)</f>
        <v>444</v>
      </c>
      <c r="AG49" s="56">
        <v>2</v>
      </c>
      <c r="AI49" s="56">
        <f t="shared" ca="1" si="9"/>
        <v>860</v>
      </c>
      <c r="AJ49" s="10">
        <f ca="1">AO49+AQ49+(IFERROR(OFFSET(ITEM_RES!$S$1,MATCH(AU49,ITEM_RES!$A:$A,0)-1,0),0)*AW49+IFERROR(OFFSET(ITEM_RES!$S$1,MATCH(AZ49,ITEM_RES!$A:$A,0)-1,0),0)*BB49+IFERROR(OFFSET(ITEM_RES!$S$1,MATCH(BE49,ITEM_RES!$A:$A,0)-1,0),0)*BG49+IFERROR(OFFSET(ITEM_RES!$S$1,MATCH(BJ49,ITEM_RES!$A:$A,0)-1,0),0)*BL49+IFERROR(OFFSET(ITEM_RES!$S$1,MATCH(BO49,ITEM_RES!$A:$A,0)-1,0),0)*BQ49)/1000</f>
        <v>860</v>
      </c>
      <c r="AK49" s="183">
        <f t="shared" ca="1" si="11"/>
        <v>968</v>
      </c>
      <c r="AM49" s="11">
        <f t="shared" si="4"/>
        <v>25</v>
      </c>
      <c r="AN49" s="10">
        <v>25</v>
      </c>
      <c r="AO49" s="11">
        <f t="shared" si="6"/>
        <v>40</v>
      </c>
      <c r="AP49" s="10">
        <v>40</v>
      </c>
      <c r="AQ49" s="11">
        <f t="shared" si="6"/>
        <v>40</v>
      </c>
      <c r="AR49" s="10">
        <v>40</v>
      </c>
      <c r="AS49" s="56">
        <f t="shared" si="7"/>
        <v>2</v>
      </c>
      <c r="AU49" s="11">
        <f ca="1">IFERROR(OFFSET(ITEM_RES!$A$1,MATCH(AV49,ITEM_RES!$J:$J,0)-1,0),0)</f>
        <v>211010501</v>
      </c>
      <c r="AV49" s="10" t="s">
        <v>429</v>
      </c>
      <c r="AW49" s="11">
        <v>26000</v>
      </c>
      <c r="AZ49" s="11">
        <f ca="1">IFERROR(OFFSET(ITEM_RES!$A$1,MATCH(BA49,ITEM_RES!$J:$J,0)-1,0),0)</f>
        <v>211020101</v>
      </c>
      <c r="BA49" s="10" t="s">
        <v>448</v>
      </c>
      <c r="BB49" s="11">
        <v>26000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O49" s="11">
        <f ca="1">IFERROR(OFFSET(ITEM_RES!$A$1,MATCH(BP49,ITEM_RES!$J:$J,0)-1,0),0)</f>
        <v>0</v>
      </c>
      <c r="BQ49" s="11">
        <f t="shared" si="5"/>
        <v>0</v>
      </c>
    </row>
    <row r="50" spans="1:69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M50" s="9" t="s">
        <v>945</v>
      </c>
      <c r="N50" s="9" t="s">
        <v>965</v>
      </c>
      <c r="O50" s="9">
        <v>1</v>
      </c>
      <c r="P50" s="9">
        <v>15</v>
      </c>
      <c r="Q50" s="9" t="s">
        <v>777</v>
      </c>
      <c r="U50" s="9" t="s">
        <v>702</v>
      </c>
      <c r="X50" s="9">
        <f ca="1">IFERROR(OFFSET(ITEM_RES!$A$5,MATCH(BUILDING!W50,ITEM_RES!$J$5:$J$226,0)-1,0),0)</f>
        <v>0</v>
      </c>
      <c r="Z50" s="85" t="s">
        <v>540</v>
      </c>
      <c r="AA50" s="9">
        <f ca="1">IFERROR(OFFSET(ITEM_RES!$A$5,MATCH(BUILDING!Z50,ITEM_RES!$J$5:$J$226,0)-1,0),0)</f>
        <v>211010301</v>
      </c>
      <c r="AC50" s="9" t="s">
        <v>510</v>
      </c>
      <c r="AD50" s="9">
        <v>6</v>
      </c>
      <c r="AF50" s="11">
        <f ca="1">IFERROR(OFFSET(MANOR_LEVEL!$B$1,MATCH(AG50-1,MANOR_LEVEL!$A:$A,0)-1,0),0)</f>
        <v>444</v>
      </c>
      <c r="AG50" s="56">
        <v>2</v>
      </c>
      <c r="AI50" s="56">
        <f t="shared" ca="1" si="9"/>
        <v>7300</v>
      </c>
      <c r="AJ50" s="10">
        <f ca="1">AO50+AQ50+(IFERROR(OFFSET(ITEM_RES!$S$1,MATCH(AU50,ITEM_RES!$A:$A,0)-1,0),0)*AW50+IFERROR(OFFSET(ITEM_RES!$S$1,MATCH(AZ50,ITEM_RES!$A:$A,0)-1,0),0)*BB50+IFERROR(OFFSET(ITEM_RES!$S$1,MATCH(BE50,ITEM_RES!$A:$A,0)-1,0),0)*BG50+IFERROR(OFFSET(ITEM_RES!$S$1,MATCH(BJ50,ITEM_RES!$A:$A,0)-1,0),0)*BL50+IFERROR(OFFSET(ITEM_RES!$S$1,MATCH(BO50,ITEM_RES!$A:$A,0)-1,0),0)*BQ50)/1000</f>
        <v>7300</v>
      </c>
      <c r="AK50" s="183">
        <f t="shared" ca="1" si="11"/>
        <v>8160</v>
      </c>
      <c r="AM50" s="11">
        <f t="shared" si="4"/>
        <v>30</v>
      </c>
      <c r="AN50" s="10">
        <v>30</v>
      </c>
      <c r="AO50" s="11">
        <f t="shared" si="6"/>
        <v>50</v>
      </c>
      <c r="AP50" s="10">
        <v>50</v>
      </c>
      <c r="AQ50" s="11">
        <f t="shared" si="6"/>
        <v>50</v>
      </c>
      <c r="AR50" s="10">
        <v>50</v>
      </c>
      <c r="AS50" s="56">
        <f t="shared" si="7"/>
        <v>2</v>
      </c>
      <c r="AU50" s="11">
        <f ca="1">IFERROR(OFFSET(ITEM_RES!$A$1,MATCH(AV50,ITEM_RES!$J:$J,0)-1,0),0)</f>
        <v>211010501</v>
      </c>
      <c r="AV50" s="10" t="s">
        <v>429</v>
      </c>
      <c r="AW50" s="11">
        <v>240000</v>
      </c>
      <c r="AZ50" s="11">
        <f ca="1">IFERROR(OFFSET(ITEM_RES!$A$1,MATCH(BA50,ITEM_RES!$J:$J,0)-1,0),0)</f>
        <v>211020101</v>
      </c>
      <c r="BA50" s="10" t="s">
        <v>448</v>
      </c>
      <c r="BB50" s="11">
        <v>240000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O50" s="11">
        <f ca="1">IFERROR(OFFSET(ITEM_RES!$A$1,MATCH(BP50,ITEM_RES!$J:$J,0)-1,0),0)</f>
        <v>0</v>
      </c>
      <c r="BQ50" s="11">
        <f t="shared" si="5"/>
        <v>0</v>
      </c>
    </row>
    <row r="51" spans="1:69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M51" s="9" t="s">
        <v>945</v>
      </c>
      <c r="N51" s="9" t="s">
        <v>965</v>
      </c>
      <c r="O51" s="9">
        <v>1</v>
      </c>
      <c r="P51" s="9">
        <v>15</v>
      </c>
      <c r="Q51" s="9" t="s">
        <v>777</v>
      </c>
      <c r="U51" s="9" t="s">
        <v>702</v>
      </c>
      <c r="X51" s="9">
        <f ca="1">IFERROR(OFFSET(ITEM_RES!$A$5,MATCH(BUILDING!W51,ITEM_RES!$J$5:$J$226,0)-1,0),0)</f>
        <v>0</v>
      </c>
      <c r="Z51" s="85" t="s">
        <v>540</v>
      </c>
      <c r="AA51" s="9">
        <f ca="1">IFERROR(OFFSET(ITEM_RES!$A$5,MATCH(BUILDING!Z51,ITEM_RES!$J$5:$J$226,0)-1,0),0)</f>
        <v>211010301</v>
      </c>
      <c r="AC51" s="9" t="s">
        <v>510</v>
      </c>
      <c r="AD51" s="9">
        <v>7</v>
      </c>
      <c r="AF51" s="11">
        <f ca="1">IFERROR(OFFSET(MANOR_LEVEL!$B$1,MATCH(AG51-1,MANOR_LEVEL!$A:$A,0)-1,0),0)</f>
        <v>444</v>
      </c>
      <c r="AG51" s="56">
        <v>2</v>
      </c>
      <c r="AI51" s="56">
        <f t="shared" ca="1" si="9"/>
        <v>16400</v>
      </c>
      <c r="AJ51" s="10">
        <f ca="1">AO51+AQ51+(IFERROR(OFFSET(ITEM_RES!$S$1,MATCH(AU51,ITEM_RES!$A:$A,0)-1,0),0)*AW51+IFERROR(OFFSET(ITEM_RES!$S$1,MATCH(AZ51,ITEM_RES!$A:$A,0)-1,0),0)*BB51+IFERROR(OFFSET(ITEM_RES!$S$1,MATCH(BE51,ITEM_RES!$A:$A,0)-1,0),0)*BG51+IFERROR(OFFSET(ITEM_RES!$S$1,MATCH(BJ51,ITEM_RES!$A:$A,0)-1,0),0)*BL51+IFERROR(OFFSET(ITEM_RES!$S$1,MATCH(BO51,ITEM_RES!$A:$A,0)-1,0),0)*BQ51)/1000</f>
        <v>16400</v>
      </c>
      <c r="AK51" s="183">
        <f t="shared" ca="1" si="11"/>
        <v>23700</v>
      </c>
      <c r="AM51" s="11">
        <f t="shared" si="4"/>
        <v>35</v>
      </c>
      <c r="AN51" s="10">
        <v>35</v>
      </c>
      <c r="AO51" s="11">
        <f t="shared" si="6"/>
        <v>100</v>
      </c>
      <c r="AP51" s="10">
        <v>100</v>
      </c>
      <c r="AQ51" s="11">
        <f t="shared" si="6"/>
        <v>100</v>
      </c>
      <c r="AR51" s="10">
        <v>100</v>
      </c>
      <c r="AS51" s="56">
        <f t="shared" si="7"/>
        <v>2</v>
      </c>
      <c r="AU51" s="11">
        <f ca="1">IFERROR(OFFSET(ITEM_RES!$A$1,MATCH(AV51,ITEM_RES!$J:$J,0)-1,0),0)</f>
        <v>211010501</v>
      </c>
      <c r="AV51" s="10" t="s">
        <v>429</v>
      </c>
      <c r="AW51" s="11">
        <v>540000</v>
      </c>
      <c r="AZ51" s="11">
        <f ca="1">IFERROR(OFFSET(ITEM_RES!$A$1,MATCH(BA51,ITEM_RES!$J:$J,0)-1,0),0)</f>
        <v>211020101</v>
      </c>
      <c r="BA51" s="10" t="s">
        <v>448</v>
      </c>
      <c r="BB51" s="11">
        <v>540000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O51" s="11">
        <f ca="1">IFERROR(OFFSET(ITEM_RES!$A$1,MATCH(BP51,ITEM_RES!$J:$J,0)-1,0),0)</f>
        <v>0</v>
      </c>
      <c r="BQ51" s="11">
        <f t="shared" si="5"/>
        <v>0</v>
      </c>
    </row>
    <row r="52" spans="1:69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M52" s="9" t="s">
        <v>945</v>
      </c>
      <c r="N52" s="9" t="s">
        <v>965</v>
      </c>
      <c r="O52" s="9">
        <v>1</v>
      </c>
      <c r="P52" s="9">
        <v>15</v>
      </c>
      <c r="Q52" s="9" t="s">
        <v>777</v>
      </c>
      <c r="U52" s="9" t="s">
        <v>702</v>
      </c>
      <c r="X52" s="9">
        <f ca="1">IFERROR(OFFSET(ITEM_RES!$A$5,MATCH(BUILDING!W52,ITEM_RES!$J$5:$J$226,0)-1,0),0)</f>
        <v>0</v>
      </c>
      <c r="Z52" s="85" t="s">
        <v>540</v>
      </c>
      <c r="AA52" s="9">
        <f ca="1">IFERROR(OFFSET(ITEM_RES!$A$5,MATCH(BUILDING!Z52,ITEM_RES!$J$5:$J$226,0)-1,0),0)</f>
        <v>211010301</v>
      </c>
      <c r="AC52" s="9" t="s">
        <v>510</v>
      </c>
      <c r="AD52" s="9">
        <v>8</v>
      </c>
      <c r="AF52" s="11">
        <f ca="1">IFERROR(OFFSET(MANOR_LEVEL!$B$1,MATCH(AG52-1,MANOR_LEVEL!$A:$A,0)-1,0),0)</f>
        <v>528</v>
      </c>
      <c r="AG52" s="56">
        <v>3</v>
      </c>
      <c r="AI52" s="56">
        <f t="shared" ca="1" si="9"/>
        <v>30200</v>
      </c>
      <c r="AJ52" s="10">
        <f ca="1">AO52+AQ52+(IFERROR(OFFSET(ITEM_RES!$S$1,MATCH(AU52,ITEM_RES!$A:$A,0)-1,0),0)*AW52+IFERROR(OFFSET(ITEM_RES!$S$1,MATCH(AZ52,ITEM_RES!$A:$A,0)-1,0),0)*BB52+IFERROR(OFFSET(ITEM_RES!$S$1,MATCH(BE52,ITEM_RES!$A:$A,0)-1,0),0)*BG52+IFERROR(OFFSET(ITEM_RES!$S$1,MATCH(BJ52,ITEM_RES!$A:$A,0)-1,0),0)*BL52+IFERROR(OFFSET(ITEM_RES!$S$1,MATCH(BO52,ITEM_RES!$A:$A,0)-1,0),0)*BQ52)/1000</f>
        <v>30200</v>
      </c>
      <c r="AK52" s="183">
        <f t="shared" ca="1" si="11"/>
        <v>46600</v>
      </c>
      <c r="AM52" s="11">
        <f t="shared" si="4"/>
        <v>40</v>
      </c>
      <c r="AN52" s="10">
        <v>40</v>
      </c>
      <c r="AO52" s="11">
        <f t="shared" si="6"/>
        <v>100</v>
      </c>
      <c r="AP52" s="10">
        <v>100</v>
      </c>
      <c r="AQ52" s="11">
        <f t="shared" si="6"/>
        <v>100</v>
      </c>
      <c r="AR52" s="10">
        <v>100</v>
      </c>
      <c r="AS52" s="56">
        <f t="shared" si="7"/>
        <v>2</v>
      </c>
      <c r="AU52" s="11">
        <f ca="1">IFERROR(OFFSET(ITEM_RES!$A$1,MATCH(AV52,ITEM_RES!$J:$J,0)-1,0),0)</f>
        <v>211010501</v>
      </c>
      <c r="AV52" s="10" t="s">
        <v>429</v>
      </c>
      <c r="AW52" s="11">
        <v>1000000</v>
      </c>
      <c r="AZ52" s="11">
        <f ca="1">IFERROR(OFFSET(ITEM_RES!$A$1,MATCH(BA52,ITEM_RES!$J:$J,0)-1,0),0)</f>
        <v>211020101</v>
      </c>
      <c r="BA52" s="10" t="s">
        <v>448</v>
      </c>
      <c r="BB52" s="11">
        <v>1000000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O52" s="11">
        <f ca="1">IFERROR(OFFSET(ITEM_RES!$A$1,MATCH(BP52,ITEM_RES!$J:$J,0)-1,0),0)</f>
        <v>0</v>
      </c>
      <c r="BQ52" s="11">
        <f t="shared" si="5"/>
        <v>0</v>
      </c>
    </row>
    <row r="53" spans="1:69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374</v>
      </c>
      <c r="M53" s="9" t="s">
        <v>945</v>
      </c>
      <c r="N53" s="9" t="s">
        <v>965</v>
      </c>
      <c r="O53" s="9">
        <v>1</v>
      </c>
      <c r="P53" s="9">
        <v>15</v>
      </c>
      <c r="Q53" s="9" t="s">
        <v>777</v>
      </c>
      <c r="U53" s="9" t="s">
        <v>702</v>
      </c>
      <c r="X53" s="9">
        <f ca="1">IFERROR(OFFSET(ITEM_RES!$A$5,MATCH(BUILDING!W53,ITEM_RES!$J$5:$J$226,0)-1,0),0)</f>
        <v>0</v>
      </c>
      <c r="Z53" s="85" t="s">
        <v>540</v>
      </c>
      <c r="AA53" s="9">
        <f ca="1">IFERROR(OFFSET(ITEM_RES!$A$5,MATCH(BUILDING!Z53,ITEM_RES!$J$5:$J$226,0)-1,0),0)</f>
        <v>211010301</v>
      </c>
      <c r="AC53" s="9" t="s">
        <v>510</v>
      </c>
      <c r="AD53" s="9">
        <v>9</v>
      </c>
      <c r="AF53" s="11">
        <f ca="1">IFERROR(OFFSET(MANOR_LEVEL!$B$1,MATCH(AG53-1,MANOR_LEVEL!$A:$A,0)-1,0),0)</f>
        <v>528</v>
      </c>
      <c r="AG53" s="56">
        <v>3</v>
      </c>
      <c r="AI53" s="56">
        <f t="shared" ca="1" si="9"/>
        <v>47700</v>
      </c>
      <c r="AJ53" s="10">
        <f ca="1">AO53+AQ53+(IFERROR(OFFSET(ITEM_RES!$S$1,MATCH(AU53,ITEM_RES!$A:$A,0)-1,0),0)*AW53+IFERROR(OFFSET(ITEM_RES!$S$1,MATCH(AZ53,ITEM_RES!$A:$A,0)-1,0),0)*BB53+IFERROR(OFFSET(ITEM_RES!$S$1,MATCH(BE53,ITEM_RES!$A:$A,0)-1,0),0)*BG53+IFERROR(OFFSET(ITEM_RES!$S$1,MATCH(BJ53,ITEM_RES!$A:$A,0)-1,0),0)*BL53+IFERROR(OFFSET(ITEM_RES!$S$1,MATCH(BO53,ITEM_RES!$A:$A,0)-1,0),0)*BQ53)/1000</f>
        <v>47700</v>
      </c>
      <c r="AK53" s="183">
        <f t="shared" ca="1" si="11"/>
        <v>77900</v>
      </c>
      <c r="AM53" s="11">
        <f t="shared" si="4"/>
        <v>45</v>
      </c>
      <c r="AN53" s="10">
        <v>45</v>
      </c>
      <c r="AO53" s="11">
        <f t="shared" si="6"/>
        <v>150</v>
      </c>
      <c r="AP53" s="10">
        <v>150</v>
      </c>
      <c r="AQ53" s="11">
        <f t="shared" si="6"/>
        <v>150</v>
      </c>
      <c r="AR53" s="10">
        <v>150</v>
      </c>
      <c r="AS53" s="56">
        <f t="shared" si="7"/>
        <v>2</v>
      </c>
      <c r="AU53" s="11">
        <f ca="1">IFERROR(OFFSET(ITEM_RES!$A$1,MATCH(AV53,ITEM_RES!$J:$J,0)-1,0),0)</f>
        <v>211010501</v>
      </c>
      <c r="AV53" s="10" t="s">
        <v>429</v>
      </c>
      <c r="AW53" s="11">
        <v>1580000</v>
      </c>
      <c r="AZ53" s="11">
        <f ca="1">IFERROR(OFFSET(ITEM_RES!$A$1,MATCH(BA53,ITEM_RES!$J:$J,0)-1,0),0)</f>
        <v>211020101</v>
      </c>
      <c r="BA53" s="10" t="s">
        <v>448</v>
      </c>
      <c r="BB53" s="11">
        <v>1580000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O53" s="11">
        <f ca="1">IFERROR(OFFSET(ITEM_RES!$A$1,MATCH(BP53,ITEM_RES!$J:$J,0)-1,0),0)</f>
        <v>0</v>
      </c>
      <c r="BQ53" s="11">
        <f t="shared" si="5"/>
        <v>0</v>
      </c>
    </row>
    <row r="54" spans="1:69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M54" s="9" t="s">
        <v>945</v>
      </c>
      <c r="N54" s="9" t="s">
        <v>965</v>
      </c>
      <c r="O54" s="9">
        <v>1</v>
      </c>
      <c r="P54" s="9">
        <v>15</v>
      </c>
      <c r="Q54" s="9" t="s">
        <v>777</v>
      </c>
      <c r="U54" s="9" t="s">
        <v>702</v>
      </c>
      <c r="X54" s="9">
        <f ca="1">IFERROR(OFFSET(ITEM_RES!$A$5,MATCH(BUILDING!W54,ITEM_RES!$J$5:$J$226,0)-1,0),0)</f>
        <v>0</v>
      </c>
      <c r="Z54" s="85" t="s">
        <v>540</v>
      </c>
      <c r="AA54" s="9">
        <f ca="1">IFERROR(OFFSET(ITEM_RES!$A$5,MATCH(BUILDING!Z54,ITEM_RES!$J$5:$J$226,0)-1,0),0)</f>
        <v>211010301</v>
      </c>
      <c r="AC54" s="9" t="s">
        <v>510</v>
      </c>
      <c r="AD54" s="9">
        <v>10</v>
      </c>
      <c r="AF54" s="11">
        <f ca="1">IFERROR(OFFSET(MANOR_LEVEL!$B$1,MATCH(AG54-1,MANOR_LEVEL!$A:$A,0)-1,0),0)</f>
        <v>528</v>
      </c>
      <c r="AG54" s="56">
        <v>3</v>
      </c>
      <c r="AI54" s="56">
        <f t="shared" ca="1" si="9"/>
        <v>66400</v>
      </c>
      <c r="AJ54" s="10">
        <f ca="1">AO54+AQ54+(IFERROR(OFFSET(ITEM_RES!$S$1,MATCH(AU54,ITEM_RES!$A:$A,0)-1,0),0)*AW54+IFERROR(OFFSET(ITEM_RES!$S$1,MATCH(AZ54,ITEM_RES!$A:$A,0)-1,0),0)*BB54+IFERROR(OFFSET(ITEM_RES!$S$1,MATCH(BE54,ITEM_RES!$A:$A,0)-1,0),0)*BG54+IFERROR(OFFSET(ITEM_RES!$S$1,MATCH(BJ54,ITEM_RES!$A:$A,0)-1,0),0)*BL54+IFERROR(OFFSET(ITEM_RES!$S$1,MATCH(BO54,ITEM_RES!$A:$A,0)-1,0),0)*BQ54)/1000</f>
        <v>66400</v>
      </c>
      <c r="AK54" s="183">
        <f t="shared" ca="1" si="11"/>
        <v>114100</v>
      </c>
      <c r="AM54" s="11">
        <f t="shared" si="4"/>
        <v>50</v>
      </c>
      <c r="AN54" s="10">
        <v>50</v>
      </c>
      <c r="AO54" s="11">
        <f t="shared" si="6"/>
        <v>200</v>
      </c>
      <c r="AP54" s="10">
        <v>200</v>
      </c>
      <c r="AQ54" s="11">
        <f t="shared" si="6"/>
        <v>200</v>
      </c>
      <c r="AR54" s="10">
        <v>200</v>
      </c>
      <c r="AS54" s="56">
        <f t="shared" si="7"/>
        <v>2</v>
      </c>
      <c r="AU54" s="11">
        <f ca="1">IFERROR(OFFSET(ITEM_RES!$A$1,MATCH(AV54,ITEM_RES!$J:$J,0)-1,0),0)</f>
        <v>211010501</v>
      </c>
      <c r="AV54" s="10" t="s">
        <v>429</v>
      </c>
      <c r="AW54" s="11">
        <v>2200000</v>
      </c>
      <c r="AZ54" s="11">
        <f ca="1">IFERROR(OFFSET(ITEM_RES!$A$1,MATCH(BA54,ITEM_RES!$J:$J,0)-1,0),0)</f>
        <v>211020101</v>
      </c>
      <c r="BA54" s="10" t="s">
        <v>448</v>
      </c>
      <c r="BB54" s="11">
        <v>2200000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O54" s="11">
        <f ca="1">IFERROR(OFFSET(ITEM_RES!$A$1,MATCH(BP54,ITEM_RES!$J:$J,0)-1,0),0)</f>
        <v>0</v>
      </c>
      <c r="BQ54" s="11">
        <f t="shared" si="5"/>
        <v>0</v>
      </c>
    </row>
    <row r="55" spans="1:69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M55" s="9" t="s">
        <v>945</v>
      </c>
      <c r="N55" s="9" t="s">
        <v>965</v>
      </c>
      <c r="O55" s="9">
        <v>1</v>
      </c>
      <c r="P55" s="9">
        <v>15</v>
      </c>
      <c r="Q55" s="9" t="s">
        <v>777</v>
      </c>
      <c r="U55" s="9" t="s">
        <v>702</v>
      </c>
      <c r="X55" s="9">
        <f ca="1">IFERROR(OFFSET(ITEM_RES!$A$5,MATCH(BUILDING!W55,ITEM_RES!$J$5:$J$226,0)-1,0),0)</f>
        <v>0</v>
      </c>
      <c r="Z55" s="85" t="s">
        <v>540</v>
      </c>
      <c r="AA55" s="9">
        <f ca="1">IFERROR(OFFSET(ITEM_RES!$A$5,MATCH(BUILDING!Z55,ITEM_RES!$J$5:$J$226,0)-1,0),0)</f>
        <v>211010301</v>
      </c>
      <c r="AC55" s="9" t="s">
        <v>510</v>
      </c>
      <c r="AD55" s="9">
        <v>11</v>
      </c>
      <c r="AF55" s="11">
        <f ca="1">IFERROR(OFFSET(MANOR_LEVEL!$B$1,MATCH(AG55-1,MANOR_LEVEL!$A:$A,0)-1,0),0)</f>
        <v>528</v>
      </c>
      <c r="AG55" s="56">
        <v>3</v>
      </c>
      <c r="AI55" s="56">
        <f t="shared" ca="1" si="9"/>
        <v>132500</v>
      </c>
      <c r="AJ55" s="10">
        <f ca="1">AO55+AQ55+(IFERROR(OFFSET(ITEM_RES!$S$1,MATCH(AU55,ITEM_RES!$A:$A,0)-1,0),0)*AW55+IFERROR(OFFSET(ITEM_RES!$S$1,MATCH(AZ55,ITEM_RES!$A:$A,0)-1,0),0)*BB55+IFERROR(OFFSET(ITEM_RES!$S$1,MATCH(BE55,ITEM_RES!$A:$A,0)-1,0),0)*BG55+IFERROR(OFFSET(ITEM_RES!$S$1,MATCH(BJ55,ITEM_RES!$A:$A,0)-1,0),0)*BL55+IFERROR(OFFSET(ITEM_RES!$S$1,MATCH(BO55,ITEM_RES!$A:$A,0)-1,0),0)*BQ55)/1000</f>
        <v>132500</v>
      </c>
      <c r="AK55" s="183">
        <f t="shared" ca="1" si="11"/>
        <v>198900</v>
      </c>
      <c r="AM55" s="11">
        <f t="shared" si="4"/>
        <v>55</v>
      </c>
      <c r="AN55" s="10">
        <v>55</v>
      </c>
      <c r="AO55" s="11">
        <f t="shared" si="6"/>
        <v>250</v>
      </c>
      <c r="AP55" s="10">
        <v>250</v>
      </c>
      <c r="AQ55" s="11">
        <f t="shared" si="6"/>
        <v>250</v>
      </c>
      <c r="AR55" s="10">
        <v>250</v>
      </c>
      <c r="AS55" s="56">
        <f t="shared" si="7"/>
        <v>2</v>
      </c>
      <c r="AU55" s="11">
        <f ca="1">IFERROR(OFFSET(ITEM_RES!$A$1,MATCH(AV55,ITEM_RES!$J:$J,0)-1,0),0)</f>
        <v>211010501</v>
      </c>
      <c r="AV55" s="10" t="s">
        <v>429</v>
      </c>
      <c r="AW55" s="11">
        <v>4400000</v>
      </c>
      <c r="AZ55" s="11">
        <f ca="1">IFERROR(OFFSET(ITEM_RES!$A$1,MATCH(BA55,ITEM_RES!$J:$J,0)-1,0),0)</f>
        <v>211020101</v>
      </c>
      <c r="BA55" s="10" t="s">
        <v>448</v>
      </c>
      <c r="BB55" s="11">
        <v>4400000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O55" s="11">
        <f ca="1">IFERROR(OFFSET(ITEM_RES!$A$1,MATCH(BP55,ITEM_RES!$J:$J,0)-1,0),0)</f>
        <v>0</v>
      </c>
      <c r="BQ55" s="11">
        <f t="shared" si="5"/>
        <v>0</v>
      </c>
    </row>
    <row r="56" spans="1:69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M56" s="9" t="s">
        <v>945</v>
      </c>
      <c r="N56" s="9" t="s">
        <v>965</v>
      </c>
      <c r="O56" s="9">
        <v>1</v>
      </c>
      <c r="P56" s="9">
        <v>15</v>
      </c>
      <c r="Q56" s="9" t="s">
        <v>777</v>
      </c>
      <c r="U56" s="9" t="s">
        <v>702</v>
      </c>
      <c r="X56" s="9">
        <f ca="1">IFERROR(OFFSET(ITEM_RES!$A$5,MATCH(BUILDING!W56,ITEM_RES!$J$5:$J$226,0)-1,0),0)</f>
        <v>0</v>
      </c>
      <c r="Z56" s="85" t="s">
        <v>540</v>
      </c>
      <c r="AA56" s="9">
        <f ca="1">IFERROR(OFFSET(ITEM_RES!$A$5,MATCH(BUILDING!Z56,ITEM_RES!$J$5:$J$226,0)-1,0),0)</f>
        <v>211010301</v>
      </c>
      <c r="AC56" s="9" t="s">
        <v>510</v>
      </c>
      <c r="AD56" s="9">
        <v>12</v>
      </c>
      <c r="AF56" s="11">
        <f ca="1">IFERROR(OFFSET(MANOR_LEVEL!$B$1,MATCH(AG56-1,MANOR_LEVEL!$A:$A,0)-1,0),0)</f>
        <v>800</v>
      </c>
      <c r="AG56" s="56">
        <v>4</v>
      </c>
      <c r="AI56" s="56">
        <f t="shared" ca="1" si="9"/>
        <v>156600</v>
      </c>
      <c r="AJ56" s="10">
        <f ca="1">AO56+AQ56+(IFERROR(OFFSET(ITEM_RES!$S$1,MATCH(AU56,ITEM_RES!$A:$A,0)-1,0),0)*AW56+IFERROR(OFFSET(ITEM_RES!$S$1,MATCH(AZ56,ITEM_RES!$A:$A,0)-1,0),0)*BB56+IFERROR(OFFSET(ITEM_RES!$S$1,MATCH(BE56,ITEM_RES!$A:$A,0)-1,0),0)*BG56+IFERROR(OFFSET(ITEM_RES!$S$1,MATCH(BJ56,ITEM_RES!$A:$A,0)-1,0),0)*BL56+IFERROR(OFFSET(ITEM_RES!$S$1,MATCH(BO56,ITEM_RES!$A:$A,0)-1,0),0)*BQ56)/1000</f>
        <v>156600</v>
      </c>
      <c r="AK56" s="183">
        <f t="shared" ca="1" si="11"/>
        <v>289100</v>
      </c>
      <c r="AM56" s="11">
        <f t="shared" si="4"/>
        <v>60</v>
      </c>
      <c r="AN56" s="10">
        <v>60</v>
      </c>
      <c r="AO56" s="11">
        <f t="shared" si="6"/>
        <v>300</v>
      </c>
      <c r="AP56" s="10">
        <v>300</v>
      </c>
      <c r="AQ56" s="11">
        <f t="shared" si="6"/>
        <v>300</v>
      </c>
      <c r="AR56" s="10">
        <v>300</v>
      </c>
      <c r="AS56" s="56">
        <f t="shared" si="7"/>
        <v>2</v>
      </c>
      <c r="AU56" s="11">
        <f ca="1">IFERROR(OFFSET(ITEM_RES!$A$1,MATCH(AV56,ITEM_RES!$J:$J,0)-1,0),0)</f>
        <v>211010501</v>
      </c>
      <c r="AV56" s="10" t="s">
        <v>429</v>
      </c>
      <c r="AW56" s="11">
        <v>5200000</v>
      </c>
      <c r="AZ56" s="11">
        <f ca="1">IFERROR(OFFSET(ITEM_RES!$A$1,MATCH(BA56,ITEM_RES!$J:$J,0)-1,0),0)</f>
        <v>211020101</v>
      </c>
      <c r="BA56" s="10" t="s">
        <v>448</v>
      </c>
      <c r="BB56" s="11">
        <v>5200000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O56" s="11">
        <f ca="1">IFERROR(OFFSET(ITEM_RES!$A$1,MATCH(BP56,ITEM_RES!$J:$J,0)-1,0),0)</f>
        <v>0</v>
      </c>
      <c r="BQ56" s="11">
        <f t="shared" si="5"/>
        <v>0</v>
      </c>
    </row>
    <row r="57" spans="1:69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M57" s="9" t="s">
        <v>945</v>
      </c>
      <c r="N57" s="9" t="s">
        <v>965</v>
      </c>
      <c r="O57" s="9">
        <v>1</v>
      </c>
      <c r="P57" s="9">
        <v>15</v>
      </c>
      <c r="Q57" s="9" t="s">
        <v>777</v>
      </c>
      <c r="U57" s="9" t="s">
        <v>702</v>
      </c>
      <c r="X57" s="9">
        <f ca="1">IFERROR(OFFSET(ITEM_RES!$A$5,MATCH(BUILDING!W57,ITEM_RES!$J$5:$J$226,0)-1,0),0)</f>
        <v>0</v>
      </c>
      <c r="Z57" s="85" t="s">
        <v>540</v>
      </c>
      <c r="AA57" s="9">
        <f ca="1">IFERROR(OFFSET(ITEM_RES!$A$5,MATCH(BUILDING!Z57,ITEM_RES!$J$5:$J$226,0)-1,0),0)</f>
        <v>211010301</v>
      </c>
      <c r="AC57" s="9" t="s">
        <v>510</v>
      </c>
      <c r="AD57" s="9">
        <v>13</v>
      </c>
      <c r="AF57" s="11">
        <f ca="1">IFERROR(OFFSET(MANOR_LEVEL!$B$1,MATCH(AG57-1,MANOR_LEVEL!$A:$A,0)-1,0),0)</f>
        <v>800</v>
      </c>
      <c r="AG57" s="56">
        <v>4</v>
      </c>
      <c r="AI57" s="56">
        <f t="shared" ca="1" si="9"/>
        <v>258700</v>
      </c>
      <c r="AJ57" s="10">
        <f ca="1">AO57+AQ57+(IFERROR(OFFSET(ITEM_RES!$S$1,MATCH(AU57,ITEM_RES!$A:$A,0)-1,0),0)*AW57+IFERROR(OFFSET(ITEM_RES!$S$1,MATCH(AZ57,ITEM_RES!$A:$A,0)-1,0),0)*BB57+IFERROR(OFFSET(ITEM_RES!$S$1,MATCH(BE57,ITEM_RES!$A:$A,0)-1,0),0)*BG57+IFERROR(OFFSET(ITEM_RES!$S$1,MATCH(BJ57,ITEM_RES!$A:$A,0)-1,0),0)*BL57+IFERROR(OFFSET(ITEM_RES!$S$1,MATCH(BO57,ITEM_RES!$A:$A,0)-1,0),0)*BQ57)/1000</f>
        <v>258700</v>
      </c>
      <c r="AK57" s="183">
        <f t="shared" ca="1" si="11"/>
        <v>415300</v>
      </c>
      <c r="AM57" s="11">
        <f t="shared" si="4"/>
        <v>65</v>
      </c>
      <c r="AN57" s="10">
        <v>65</v>
      </c>
      <c r="AO57" s="11">
        <f t="shared" si="6"/>
        <v>350</v>
      </c>
      <c r="AP57" s="10">
        <v>350</v>
      </c>
      <c r="AQ57" s="11">
        <f t="shared" si="6"/>
        <v>350</v>
      </c>
      <c r="AR57" s="10">
        <v>350</v>
      </c>
      <c r="AS57" s="56">
        <f t="shared" si="7"/>
        <v>2</v>
      </c>
      <c r="AU57" s="11">
        <f ca="1">IFERROR(OFFSET(ITEM_RES!$A$1,MATCH(AV57,ITEM_RES!$J:$J,0)-1,0),0)</f>
        <v>211010501</v>
      </c>
      <c r="AV57" s="10" t="s">
        <v>429</v>
      </c>
      <c r="AW57" s="11">
        <v>8600000</v>
      </c>
      <c r="AZ57" s="11">
        <f ca="1">IFERROR(OFFSET(ITEM_RES!$A$1,MATCH(BA57,ITEM_RES!$J:$J,0)-1,0),0)</f>
        <v>211020101</v>
      </c>
      <c r="BA57" s="10" t="s">
        <v>448</v>
      </c>
      <c r="BB57" s="11">
        <v>8600000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O57" s="11">
        <f ca="1">IFERROR(OFFSET(ITEM_RES!$A$1,MATCH(BP57,ITEM_RES!$J:$J,0)-1,0),0)</f>
        <v>0</v>
      </c>
      <c r="BQ57" s="11">
        <f t="shared" si="5"/>
        <v>0</v>
      </c>
    </row>
    <row r="58" spans="1:69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M58" s="9" t="s">
        <v>945</v>
      </c>
      <c r="N58" s="9" t="s">
        <v>965</v>
      </c>
      <c r="O58" s="9">
        <v>1</v>
      </c>
      <c r="P58" s="9">
        <v>15</v>
      </c>
      <c r="Q58" s="9" t="s">
        <v>777</v>
      </c>
      <c r="U58" s="9" t="s">
        <v>702</v>
      </c>
      <c r="X58" s="9">
        <f ca="1">IFERROR(OFFSET(ITEM_RES!$A$5,MATCH(BUILDING!W58,ITEM_RES!$J$5:$J$226,0)-1,0),0)</f>
        <v>0</v>
      </c>
      <c r="Z58" s="85" t="s">
        <v>540</v>
      </c>
      <c r="AA58" s="9">
        <f ca="1">IFERROR(OFFSET(ITEM_RES!$A$5,MATCH(BUILDING!Z58,ITEM_RES!$J$5:$J$226,0)-1,0),0)</f>
        <v>211010301</v>
      </c>
      <c r="AC58" s="9" t="s">
        <v>510</v>
      </c>
      <c r="AD58" s="9">
        <v>14</v>
      </c>
      <c r="AF58" s="11">
        <f ca="1">IFERROR(OFFSET(MANOR_LEVEL!$B$1,MATCH(AG58-1,MANOR_LEVEL!$A:$A,0)-1,0),0)</f>
        <v>800</v>
      </c>
      <c r="AG58" s="56">
        <v>4</v>
      </c>
      <c r="AI58" s="56">
        <f t="shared" ca="1" si="9"/>
        <v>528900</v>
      </c>
      <c r="AJ58" s="10">
        <f ca="1">AO58+AQ58+(IFERROR(OFFSET(ITEM_RES!$S$1,MATCH(AU58,ITEM_RES!$A:$A,0)-1,0),0)*AW58+IFERROR(OFFSET(ITEM_RES!$S$1,MATCH(AZ58,ITEM_RES!$A:$A,0)-1,0),0)*BB58+IFERROR(OFFSET(ITEM_RES!$S$1,MATCH(BE58,ITEM_RES!$A:$A,0)-1,0),0)*BG58+IFERROR(OFFSET(ITEM_RES!$S$1,MATCH(BJ58,ITEM_RES!$A:$A,0)-1,0),0)*BL58+IFERROR(OFFSET(ITEM_RES!$S$1,MATCH(BO58,ITEM_RES!$A:$A,0)-1,0),0)*BQ58)/1000</f>
        <v>528900</v>
      </c>
      <c r="AK58" s="183">
        <f t="shared" ca="1" si="11"/>
        <v>787600</v>
      </c>
      <c r="AM58" s="11">
        <f t="shared" si="4"/>
        <v>70</v>
      </c>
      <c r="AN58" s="10">
        <v>70</v>
      </c>
      <c r="AO58" s="11">
        <f t="shared" si="6"/>
        <v>450</v>
      </c>
      <c r="AP58" s="10">
        <v>450</v>
      </c>
      <c r="AQ58" s="11">
        <f t="shared" si="6"/>
        <v>450</v>
      </c>
      <c r="AR58" s="10">
        <v>450</v>
      </c>
      <c r="AS58" s="56">
        <f t="shared" si="7"/>
        <v>2</v>
      </c>
      <c r="AU58" s="11">
        <f ca="1">IFERROR(OFFSET(ITEM_RES!$A$1,MATCH(AV58,ITEM_RES!$J:$J,0)-1,0),0)</f>
        <v>211010601</v>
      </c>
      <c r="AV58" s="10" t="s">
        <v>443</v>
      </c>
      <c r="AW58" s="11">
        <v>13200000</v>
      </c>
      <c r="AZ58" s="11">
        <f ca="1">IFERROR(OFFSET(ITEM_RES!$A$1,MATCH(BA58,ITEM_RES!$J:$J,0)-1,0),0)</f>
        <v>211020101</v>
      </c>
      <c r="BA58" s="10" t="s">
        <v>448</v>
      </c>
      <c r="BB58" s="11">
        <v>13200000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O58" s="11">
        <f ca="1">IFERROR(OFFSET(ITEM_RES!$A$1,MATCH(BP58,ITEM_RES!$J:$J,0)-1,0),0)</f>
        <v>0</v>
      </c>
      <c r="BQ58" s="11">
        <f t="shared" si="5"/>
        <v>0</v>
      </c>
    </row>
    <row r="59" spans="1:69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M59" s="9" t="s">
        <v>945</v>
      </c>
      <c r="N59" s="9" t="s">
        <v>965</v>
      </c>
      <c r="O59" s="9">
        <v>1</v>
      </c>
      <c r="P59" s="9">
        <v>15</v>
      </c>
      <c r="Q59" s="9" t="s">
        <v>777</v>
      </c>
      <c r="U59" s="9" t="s">
        <v>702</v>
      </c>
      <c r="X59" s="9">
        <f ca="1">IFERROR(OFFSET(ITEM_RES!$A$5,MATCH(BUILDING!W59,ITEM_RES!$J$5:$J$226,0)-1,0),0)</f>
        <v>0</v>
      </c>
      <c r="Z59" s="85" t="s">
        <v>540</v>
      </c>
      <c r="AA59" s="9">
        <f ca="1">IFERROR(OFFSET(ITEM_RES!$A$5,MATCH(BUILDING!Z59,ITEM_RES!$J$5:$J$226,0)-1,0),0)</f>
        <v>211010301</v>
      </c>
      <c r="AC59" s="9" t="s">
        <v>510</v>
      </c>
      <c r="AD59" s="9">
        <v>15</v>
      </c>
      <c r="AF59" s="11">
        <f ca="1">IFERROR(OFFSET(MANOR_LEVEL!$B$1,MATCH(AG59-1,MANOR_LEVEL!$A:$A,0)-1,0),0)</f>
        <v>1500</v>
      </c>
      <c r="AG59" s="56">
        <v>5</v>
      </c>
      <c r="AI59" s="56">
        <f t="shared" ca="1" si="9"/>
        <v>881100</v>
      </c>
      <c r="AJ59" s="10">
        <f ca="1">AO59+AQ59+(IFERROR(OFFSET(ITEM_RES!$S$1,MATCH(AU59,ITEM_RES!$A:$A,0)-1,0),0)*AW59+IFERROR(OFFSET(ITEM_RES!$S$1,MATCH(AZ59,ITEM_RES!$A:$A,0)-1,0),0)*BB59+IFERROR(OFFSET(ITEM_RES!$S$1,MATCH(BE59,ITEM_RES!$A:$A,0)-1,0),0)*BG59+IFERROR(OFFSET(ITEM_RES!$S$1,MATCH(BJ59,ITEM_RES!$A:$A,0)-1,0),0)*BL59+IFERROR(OFFSET(ITEM_RES!$S$1,MATCH(BO59,ITEM_RES!$A:$A,0)-1,0),0)*BQ59)/1000</f>
        <v>881100</v>
      </c>
      <c r="AK59" s="183">
        <f t="shared" ca="1" si="11"/>
        <v>1410000</v>
      </c>
      <c r="AM59" s="11">
        <f t="shared" si="4"/>
        <v>75</v>
      </c>
      <c r="AN59" s="10">
        <v>75</v>
      </c>
      <c r="AO59" s="11">
        <f t="shared" si="6"/>
        <v>550</v>
      </c>
      <c r="AP59" s="10">
        <v>550</v>
      </c>
      <c r="AQ59" s="11">
        <f t="shared" si="6"/>
        <v>550</v>
      </c>
      <c r="AR59" s="10">
        <v>550</v>
      </c>
      <c r="AS59" s="56">
        <f t="shared" si="7"/>
        <v>2</v>
      </c>
      <c r="AU59" s="11">
        <f ca="1">IFERROR(OFFSET(ITEM_RES!$A$1,MATCH(AV59,ITEM_RES!$J:$J,0)-1,0),0)</f>
        <v>211010601</v>
      </c>
      <c r="AV59" s="10" t="s">
        <v>443</v>
      </c>
      <c r="AW59" s="11">
        <v>22000000</v>
      </c>
      <c r="AZ59" s="11">
        <f ca="1">IFERROR(OFFSET(ITEM_RES!$A$1,MATCH(BA59,ITEM_RES!$J:$J,0)-1,0),0)</f>
        <v>211020101</v>
      </c>
      <c r="BA59" s="10" t="s">
        <v>448</v>
      </c>
      <c r="BB59" s="11">
        <v>22000000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O59" s="11">
        <f ca="1">IFERROR(OFFSET(ITEM_RES!$A$1,MATCH(BP59,ITEM_RES!$J:$J,0)-1,0),0)</f>
        <v>0</v>
      </c>
      <c r="BQ59" s="11">
        <f t="shared" si="5"/>
        <v>0</v>
      </c>
    </row>
    <row r="60" spans="1:69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M60" s="9" t="s">
        <v>945</v>
      </c>
      <c r="N60" s="9" t="s">
        <v>965</v>
      </c>
      <c r="O60" s="9">
        <v>0</v>
      </c>
      <c r="P60" s="9">
        <v>15</v>
      </c>
      <c r="Q60" s="9" t="s">
        <v>777</v>
      </c>
      <c r="U60" s="9" t="s">
        <v>702</v>
      </c>
      <c r="X60" s="9">
        <f ca="1">IFERROR(OFFSET(ITEM_RES!$A$5,MATCH(BUILDING!W60,ITEM_RES!$J$5:$J$226,0)-1,0),0)</f>
        <v>0</v>
      </c>
      <c r="Z60" s="85" t="s">
        <v>540</v>
      </c>
      <c r="AA60" s="9">
        <f ca="1">IFERROR(OFFSET(ITEM_RES!$A$5,MATCH(BUILDING!Z60,ITEM_RES!$J$5:$J$226,0)-1,0),0)</f>
        <v>211010301</v>
      </c>
      <c r="AC60" s="9" t="s">
        <v>510</v>
      </c>
      <c r="AD60" s="9">
        <v>16</v>
      </c>
      <c r="AF60" s="11">
        <f ca="1">IFERROR(OFFSET(MANOR_LEVEL!$B$1,MATCH(AG60-1,MANOR_LEVEL!$A:$A,0)-1,0),0)</f>
        <v>1500</v>
      </c>
      <c r="AG60" s="56">
        <v>5</v>
      </c>
      <c r="AI60" s="56">
        <f t="shared" ca="1" si="9"/>
        <v>1201400</v>
      </c>
      <c r="AJ60" s="10">
        <f ca="1">AO60+AQ60+(IFERROR(OFFSET(ITEM_RES!$S$1,MATCH(AU60,ITEM_RES!$A:$A,0)-1,0),0)*AW60+IFERROR(OFFSET(ITEM_RES!$S$1,MATCH(AZ60,ITEM_RES!$A:$A,0)-1,0),0)*BB60+IFERROR(OFFSET(ITEM_RES!$S$1,MATCH(BE60,ITEM_RES!$A:$A,0)-1,0),0)*BG60+IFERROR(OFFSET(ITEM_RES!$S$1,MATCH(BJ60,ITEM_RES!$A:$A,0)-1,0),0)*BL60+IFERROR(OFFSET(ITEM_RES!$S$1,MATCH(BO60,ITEM_RES!$A:$A,0)-1,0),0)*BQ60)/1000</f>
        <v>1201400</v>
      </c>
      <c r="AK60" s="183">
        <f t="shared" ca="1" si="11"/>
        <v>2082500</v>
      </c>
      <c r="AM60" s="11">
        <f t="shared" si="4"/>
        <v>80</v>
      </c>
      <c r="AN60" s="10">
        <v>80</v>
      </c>
      <c r="AO60" s="11">
        <f t="shared" si="6"/>
        <v>700</v>
      </c>
      <c r="AP60" s="10">
        <v>700</v>
      </c>
      <c r="AQ60" s="11">
        <f t="shared" si="6"/>
        <v>700</v>
      </c>
      <c r="AR60" s="10">
        <v>700</v>
      </c>
      <c r="AS60" s="56">
        <f t="shared" si="7"/>
        <v>2</v>
      </c>
      <c r="AU60" s="11">
        <f ca="1">IFERROR(OFFSET(ITEM_RES!$A$1,MATCH(AV60,ITEM_RES!$J:$J,0)-1,0),0)</f>
        <v>211010601</v>
      </c>
      <c r="AV60" s="10" t="s">
        <v>443</v>
      </c>
      <c r="AW60" s="11">
        <v>30000000</v>
      </c>
      <c r="AZ60" s="11">
        <f ca="1">IFERROR(OFFSET(ITEM_RES!$A$1,MATCH(BA60,ITEM_RES!$J:$J,0)-1,0),0)</f>
        <v>211020101</v>
      </c>
      <c r="BA60" s="10" t="s">
        <v>448</v>
      </c>
      <c r="BB60" s="11">
        <v>30000000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O60" s="11">
        <f ca="1">IFERROR(OFFSET(ITEM_RES!$A$1,MATCH(BP60,ITEM_RES!$J:$J,0)-1,0),0)</f>
        <v>0</v>
      </c>
      <c r="BQ60" s="11">
        <f t="shared" si="5"/>
        <v>0</v>
      </c>
    </row>
    <row r="61" spans="1:69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M61" s="9" t="s">
        <v>945</v>
      </c>
      <c r="N61" s="9" t="s">
        <v>965</v>
      </c>
      <c r="O61" s="9">
        <v>0</v>
      </c>
      <c r="P61" s="9">
        <v>15</v>
      </c>
      <c r="Q61" s="9" t="s">
        <v>777</v>
      </c>
      <c r="U61" s="9" t="s">
        <v>702</v>
      </c>
      <c r="X61" s="9">
        <f ca="1">IFERROR(OFFSET(ITEM_RES!$A$5,MATCH(BUILDING!W61,ITEM_RES!$J$5:$J$226,0)-1,0),0)</f>
        <v>0</v>
      </c>
      <c r="Z61" s="85" t="s">
        <v>540</v>
      </c>
      <c r="AA61" s="9">
        <f ca="1">IFERROR(OFFSET(ITEM_RES!$A$5,MATCH(BUILDING!Z61,ITEM_RES!$J$5:$J$226,0)-1,0),0)</f>
        <v>211010301</v>
      </c>
      <c r="AC61" s="9" t="s">
        <v>510</v>
      </c>
      <c r="AD61" s="9">
        <v>17</v>
      </c>
      <c r="AF61" s="11">
        <f ca="1">IFERROR(OFFSET(MANOR_LEVEL!$B$1,MATCH(AG61-1,MANOR_LEVEL!$A:$A,0)-1,0),0)</f>
        <v>3872</v>
      </c>
      <c r="AG61" s="56">
        <v>6</v>
      </c>
      <c r="AI61" s="56">
        <f t="shared" ca="1" si="9"/>
        <v>1841700</v>
      </c>
      <c r="AJ61" s="10">
        <f ca="1">AO61+AQ61+(IFERROR(OFFSET(ITEM_RES!$S$1,MATCH(AU61,ITEM_RES!$A:$A,0)-1,0),0)*AW61+IFERROR(OFFSET(ITEM_RES!$S$1,MATCH(AZ61,ITEM_RES!$A:$A,0)-1,0),0)*BB61+IFERROR(OFFSET(ITEM_RES!$S$1,MATCH(BE61,ITEM_RES!$A:$A,0)-1,0),0)*BG61+IFERROR(OFFSET(ITEM_RES!$S$1,MATCH(BJ61,ITEM_RES!$A:$A,0)-1,0),0)*BL61+IFERROR(OFFSET(ITEM_RES!$S$1,MATCH(BO61,ITEM_RES!$A:$A,0)-1,0),0)*BQ61)/1000</f>
        <v>1841700</v>
      </c>
      <c r="AK61" s="183">
        <f t="shared" ca="1" si="11"/>
        <v>3043100</v>
      </c>
      <c r="AM61" s="11">
        <f t="shared" si="4"/>
        <v>85</v>
      </c>
      <c r="AN61" s="10">
        <v>85</v>
      </c>
      <c r="AO61" s="11">
        <f t="shared" si="6"/>
        <v>850</v>
      </c>
      <c r="AP61" s="10">
        <v>850</v>
      </c>
      <c r="AQ61" s="11">
        <f t="shared" si="6"/>
        <v>850</v>
      </c>
      <c r="AR61" s="10">
        <v>850</v>
      </c>
      <c r="AS61" s="56">
        <f t="shared" si="7"/>
        <v>2</v>
      </c>
      <c r="AU61" s="11">
        <f ca="1">IFERROR(OFFSET(ITEM_RES!$A$1,MATCH(AV61,ITEM_RES!$J:$J,0)-1,0),0)</f>
        <v>211010601</v>
      </c>
      <c r="AV61" s="10" t="s">
        <v>443</v>
      </c>
      <c r="AW61" s="11">
        <v>46000000</v>
      </c>
      <c r="AZ61" s="11">
        <f ca="1">IFERROR(OFFSET(ITEM_RES!$A$1,MATCH(BA61,ITEM_RES!$J:$J,0)-1,0),0)</f>
        <v>211020101</v>
      </c>
      <c r="BA61" s="10" t="s">
        <v>448</v>
      </c>
      <c r="BB61" s="11">
        <v>46000000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O61" s="11">
        <f ca="1">IFERROR(OFFSET(ITEM_RES!$A$1,MATCH(BP61,ITEM_RES!$J:$J,0)-1,0),0)</f>
        <v>0</v>
      </c>
      <c r="BQ61" s="11">
        <f t="shared" si="5"/>
        <v>0</v>
      </c>
    </row>
    <row r="62" spans="1:69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M62" s="9" t="s">
        <v>945</v>
      </c>
      <c r="N62" s="9" t="s">
        <v>965</v>
      </c>
      <c r="O62" s="9">
        <v>0</v>
      </c>
      <c r="P62" s="9">
        <v>15</v>
      </c>
      <c r="Q62" s="9" t="s">
        <v>777</v>
      </c>
      <c r="U62" s="9" t="s">
        <v>702</v>
      </c>
      <c r="X62" s="9">
        <f ca="1">IFERROR(OFFSET(ITEM_RES!$A$5,MATCH(BUILDING!W62,ITEM_RES!$J$5:$J$226,0)-1,0),0)</f>
        <v>0</v>
      </c>
      <c r="Z62" s="85" t="s">
        <v>540</v>
      </c>
      <c r="AA62" s="9">
        <f ca="1">IFERROR(OFFSET(ITEM_RES!$A$5,MATCH(BUILDING!Z62,ITEM_RES!$J$5:$J$226,0)-1,0),0)</f>
        <v>211010301</v>
      </c>
      <c r="AC62" s="9" t="s">
        <v>510</v>
      </c>
      <c r="AD62" s="9">
        <v>18</v>
      </c>
      <c r="AF62" s="11">
        <f ca="1">IFERROR(OFFSET(MANOR_LEVEL!$B$1,MATCH(AG62-1,MANOR_LEVEL!$A:$A,0)-1,0),0)</f>
        <v>32640</v>
      </c>
      <c r="AG62" s="56">
        <v>7</v>
      </c>
      <c r="AI62" s="56">
        <f t="shared" ca="1" si="9"/>
        <v>2802100</v>
      </c>
      <c r="AJ62" s="10">
        <f ca="1">AO62+AQ62+(IFERROR(OFFSET(ITEM_RES!$S$1,MATCH(AU62,ITEM_RES!$A:$A,0)-1,0),0)*AW62+IFERROR(OFFSET(ITEM_RES!$S$1,MATCH(AZ62,ITEM_RES!$A:$A,0)-1,0),0)*BB62+IFERROR(OFFSET(ITEM_RES!$S$1,MATCH(BE62,ITEM_RES!$A:$A,0)-1,0),0)*BG62+IFERROR(OFFSET(ITEM_RES!$S$1,MATCH(BJ62,ITEM_RES!$A:$A,0)-1,0),0)*BL62+IFERROR(OFFSET(ITEM_RES!$S$1,MATCH(BO62,ITEM_RES!$A:$A,0)-1,0),0)*BQ62)/1000</f>
        <v>2802100</v>
      </c>
      <c r="AK62" s="183">
        <f t="shared" ca="1" si="11"/>
        <v>4643800</v>
      </c>
      <c r="AM62" s="11">
        <f t="shared" si="4"/>
        <v>90</v>
      </c>
      <c r="AN62" s="10">
        <v>90</v>
      </c>
      <c r="AO62" s="11">
        <f t="shared" si="6"/>
        <v>1050</v>
      </c>
      <c r="AP62" s="10">
        <v>1050</v>
      </c>
      <c r="AQ62" s="11">
        <f t="shared" si="6"/>
        <v>1050</v>
      </c>
      <c r="AR62" s="10">
        <v>1050</v>
      </c>
      <c r="AS62" s="56">
        <f t="shared" si="7"/>
        <v>2</v>
      </c>
      <c r="AU62" s="11">
        <f ca="1">IFERROR(OFFSET(ITEM_RES!$A$1,MATCH(AV62,ITEM_RES!$J:$J,0)-1,0),0)</f>
        <v>211010601</v>
      </c>
      <c r="AV62" s="10" t="s">
        <v>443</v>
      </c>
      <c r="AW62" s="11">
        <v>70000000</v>
      </c>
      <c r="AZ62" s="11">
        <f ca="1">IFERROR(OFFSET(ITEM_RES!$A$1,MATCH(BA62,ITEM_RES!$J:$J,0)-1,0),0)</f>
        <v>211020101</v>
      </c>
      <c r="BA62" s="10" t="s">
        <v>448</v>
      </c>
      <c r="BB62" s="11">
        <v>70000000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O62" s="11">
        <f ca="1">IFERROR(OFFSET(ITEM_RES!$A$1,MATCH(BP62,ITEM_RES!$J:$J,0)-1,0),0)</f>
        <v>0</v>
      </c>
      <c r="BQ62" s="11">
        <f t="shared" si="5"/>
        <v>0</v>
      </c>
    </row>
    <row r="63" spans="1:69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M63" s="9" t="s">
        <v>945</v>
      </c>
      <c r="N63" s="9" t="s">
        <v>965</v>
      </c>
      <c r="O63" s="9">
        <v>0</v>
      </c>
      <c r="P63" s="9">
        <v>15</v>
      </c>
      <c r="Q63" s="9" t="s">
        <v>777</v>
      </c>
      <c r="U63" s="9" t="s">
        <v>702</v>
      </c>
      <c r="X63" s="9">
        <f ca="1">IFERROR(OFFSET(ITEM_RES!$A$5,MATCH(BUILDING!W63,ITEM_RES!$J$5:$J$226,0)-1,0),0)</f>
        <v>0</v>
      </c>
      <c r="Z63" s="85" t="s">
        <v>540</v>
      </c>
      <c r="AA63" s="9">
        <f ca="1">IFERROR(OFFSET(ITEM_RES!$A$5,MATCH(BUILDING!Z63,ITEM_RES!$J$5:$J$226,0)-1,0),0)</f>
        <v>211010301</v>
      </c>
      <c r="AC63" s="9" t="s">
        <v>510</v>
      </c>
      <c r="AD63" s="9">
        <v>19</v>
      </c>
      <c r="AF63" s="11">
        <f ca="1">IFERROR(OFFSET(MANOR_LEVEL!$B$1,MATCH(AG63-1,MANOR_LEVEL!$A:$A,0)-1,0),0)</f>
        <v>32640</v>
      </c>
      <c r="AG63" s="56">
        <v>7</v>
      </c>
      <c r="AI63" s="56">
        <f t="shared" ca="1" si="9"/>
        <v>3842500</v>
      </c>
      <c r="AJ63" s="10">
        <f ca="1">AO63+AQ63+(IFERROR(OFFSET(ITEM_RES!$S$1,MATCH(AU63,ITEM_RES!$A:$A,0)-1,0),0)*AW63+IFERROR(OFFSET(ITEM_RES!$S$1,MATCH(AZ63,ITEM_RES!$A:$A,0)-1,0),0)*BB63+IFERROR(OFFSET(ITEM_RES!$S$1,MATCH(BE63,ITEM_RES!$A:$A,0)-1,0),0)*BG63+IFERROR(OFFSET(ITEM_RES!$S$1,MATCH(BJ63,ITEM_RES!$A:$A,0)-1,0),0)*BL63+IFERROR(OFFSET(ITEM_RES!$S$1,MATCH(BO63,ITEM_RES!$A:$A,0)-1,0),0)*BQ63)/1000</f>
        <v>3842500</v>
      </c>
      <c r="AK63" s="183">
        <f t="shared" ca="1" si="11"/>
        <v>6644600</v>
      </c>
      <c r="AM63" s="11">
        <f t="shared" si="4"/>
        <v>95</v>
      </c>
      <c r="AN63" s="10">
        <v>95</v>
      </c>
      <c r="AO63" s="11">
        <f t="shared" si="6"/>
        <v>1250</v>
      </c>
      <c r="AP63" s="10">
        <v>1250</v>
      </c>
      <c r="AQ63" s="11">
        <f t="shared" si="6"/>
        <v>1250</v>
      </c>
      <c r="AR63" s="10">
        <v>1250</v>
      </c>
      <c r="AS63" s="56">
        <f t="shared" si="7"/>
        <v>2</v>
      </c>
      <c r="AU63" s="11">
        <f ca="1">IFERROR(OFFSET(ITEM_RES!$A$1,MATCH(AV63,ITEM_RES!$J:$J,0)-1,0),0)</f>
        <v>211010601</v>
      </c>
      <c r="AV63" s="10" t="s">
        <v>443</v>
      </c>
      <c r="AW63" s="11">
        <v>96000000</v>
      </c>
      <c r="AZ63" s="11">
        <f ca="1">IFERROR(OFFSET(ITEM_RES!$A$1,MATCH(BA63,ITEM_RES!$J:$J,0)-1,0),0)</f>
        <v>211020101</v>
      </c>
      <c r="BA63" s="10" t="s">
        <v>448</v>
      </c>
      <c r="BB63" s="11">
        <v>96000000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O63" s="11">
        <f ca="1">IFERROR(OFFSET(ITEM_RES!$A$1,MATCH(BP63,ITEM_RES!$J:$J,0)-1,0),0)</f>
        <v>0</v>
      </c>
      <c r="BQ63" s="11">
        <f t="shared" si="5"/>
        <v>0</v>
      </c>
    </row>
    <row r="64" spans="1:69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M64" s="9" t="s">
        <v>945</v>
      </c>
      <c r="N64" s="9" t="s">
        <v>965</v>
      </c>
      <c r="O64" s="9">
        <v>0</v>
      </c>
      <c r="P64" s="9">
        <v>15</v>
      </c>
      <c r="Q64" s="9" t="s">
        <v>777</v>
      </c>
      <c r="U64" s="9" t="s">
        <v>702</v>
      </c>
      <c r="X64" s="9">
        <f ca="1">IFERROR(OFFSET(ITEM_RES!$A$5,MATCH(BUILDING!W64,ITEM_RES!$J$5:$J$226,0)-1,0),0)</f>
        <v>0</v>
      </c>
      <c r="Z64" s="85" t="s">
        <v>540</v>
      </c>
      <c r="AA64" s="9">
        <f ca="1">IFERROR(OFFSET(ITEM_RES!$A$5,MATCH(BUILDING!Z64,ITEM_RES!$J$5:$J$226,0)-1,0),0)</f>
        <v>211010301</v>
      </c>
      <c r="AC64" s="9" t="s">
        <v>510</v>
      </c>
      <c r="AD64" s="9">
        <v>20</v>
      </c>
      <c r="AF64" s="11">
        <f ca="1">IFERROR(OFFSET(MANOR_LEVEL!$B$1,MATCH(AG64-1,MANOR_LEVEL!$A:$A,0)-1,0),0)</f>
        <v>32640</v>
      </c>
      <c r="AG64" s="56">
        <v>7</v>
      </c>
      <c r="AI64" s="56">
        <f t="shared" ca="1" si="9"/>
        <v>6083000</v>
      </c>
      <c r="AJ64" s="10">
        <f ca="1">AO64+AQ64+(IFERROR(OFFSET(ITEM_RES!$S$1,MATCH(AU64,ITEM_RES!$A:$A,0)-1,0),0)*AW64+IFERROR(OFFSET(ITEM_RES!$S$1,MATCH(AZ64,ITEM_RES!$A:$A,0)-1,0),0)*BB64+IFERROR(OFFSET(ITEM_RES!$S$1,MATCH(BE64,ITEM_RES!$A:$A,0)-1,0),0)*BG64+IFERROR(OFFSET(ITEM_RES!$S$1,MATCH(BJ64,ITEM_RES!$A:$A,0)-1,0),0)*BL64+IFERROR(OFFSET(ITEM_RES!$S$1,MATCH(BO64,ITEM_RES!$A:$A,0)-1,0),0)*BQ64)/1000</f>
        <v>6083000</v>
      </c>
      <c r="AK64" s="183">
        <f t="shared" ca="1" si="11"/>
        <v>9925500</v>
      </c>
      <c r="AM64" s="11">
        <f t="shared" si="4"/>
        <v>100</v>
      </c>
      <c r="AN64" s="10">
        <v>100</v>
      </c>
      <c r="AO64" s="11">
        <f t="shared" si="6"/>
        <v>1500</v>
      </c>
      <c r="AP64" s="10">
        <v>1500</v>
      </c>
      <c r="AQ64" s="11">
        <f t="shared" si="6"/>
        <v>1500</v>
      </c>
      <c r="AR64" s="10">
        <v>1500</v>
      </c>
      <c r="AS64" s="56">
        <f t="shared" si="7"/>
        <v>2</v>
      </c>
      <c r="AU64" s="11">
        <f ca="1">IFERROR(OFFSET(ITEM_RES!$A$1,MATCH(AV64,ITEM_RES!$J:$J,0)-1,0),0)</f>
        <v>211010601</v>
      </c>
      <c r="AV64" s="10" t="s">
        <v>443</v>
      </c>
      <c r="AW64" s="11">
        <v>152000000</v>
      </c>
      <c r="AZ64" s="11">
        <f ca="1">IFERROR(OFFSET(ITEM_RES!$A$1,MATCH(BA64,ITEM_RES!$J:$J,0)-1,0),0)</f>
        <v>211020101</v>
      </c>
      <c r="BA64" s="10" t="s">
        <v>448</v>
      </c>
      <c r="BB64" s="11">
        <v>152000000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O64" s="11">
        <f ca="1">IFERROR(OFFSET(ITEM_RES!$A$1,MATCH(BP64,ITEM_RES!$J:$J,0)-1,0),0)</f>
        <v>0</v>
      </c>
      <c r="BQ64" s="11">
        <f t="shared" si="5"/>
        <v>0</v>
      </c>
    </row>
    <row r="65" spans="1:70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9"/>
      <c r="H65" s="16">
        <v>1</v>
      </c>
      <c r="I65" s="16">
        <v>1</v>
      </c>
      <c r="J65" s="79"/>
      <c r="K65" s="16" t="s">
        <v>440</v>
      </c>
      <c r="L65" s="16">
        <v>1</v>
      </c>
      <c r="M65" s="16" t="s">
        <v>946</v>
      </c>
      <c r="N65" s="16" t="s">
        <v>966</v>
      </c>
      <c r="O65" s="16">
        <v>1</v>
      </c>
      <c r="P65" s="16">
        <v>15</v>
      </c>
      <c r="Q65" s="16" t="s">
        <v>1138</v>
      </c>
      <c r="R65" s="17"/>
      <c r="S65" s="17"/>
      <c r="T65" s="18"/>
      <c r="U65" s="16" t="s">
        <v>703</v>
      </c>
      <c r="V65" s="79"/>
      <c r="W65" s="87"/>
      <c r="X65" s="16">
        <f ca="1">IFERROR(OFFSET(ITEM_RES!$A$5,MATCH(BUILDING!W65,ITEM_RES!$J$5:$J$226,0)-1,0),0)</f>
        <v>0</v>
      </c>
      <c r="Y65" s="18"/>
      <c r="Z65" s="87" t="s">
        <v>541</v>
      </c>
      <c r="AA65" s="16">
        <f ca="1">IFERROR(OFFSET(ITEM_RES!$A$5,MATCH(BUILDING!Z65,ITEM_RES!$J$5:$J$226,0)-1,0),0)</f>
        <v>211020101</v>
      </c>
      <c r="AB65" s="79"/>
      <c r="AC65" s="16" t="s">
        <v>511</v>
      </c>
      <c r="AD65" s="16">
        <v>1</v>
      </c>
      <c r="AE65" s="79"/>
      <c r="AF65" s="18">
        <f ca="1">IFERROR(OFFSET(MANOR_LEVEL!$B$1,MATCH(AG65-1,MANOR_LEVEL!$A:$A,0)-1,0),0)</f>
        <v>0</v>
      </c>
      <c r="AG65" s="57">
        <v>1</v>
      </c>
      <c r="AH65" s="79"/>
      <c r="AI65" s="57">
        <f t="shared" ca="1" si="9"/>
        <v>110</v>
      </c>
      <c r="AJ65" s="17">
        <f ca="1">AO65+AQ65+(IFERROR(OFFSET(ITEM_RES!$S$1,MATCH(AU65,ITEM_RES!$A:$A,0)-1,0),0)*AW65+IFERROR(OFFSET(ITEM_RES!$S$1,MATCH(AZ65,ITEM_RES!$A:$A,0)-1,0),0)*BB65+IFERROR(OFFSET(ITEM_RES!$S$1,MATCH(BE65,ITEM_RES!$A:$A,0)-1,0),0)*BG65+IFERROR(OFFSET(ITEM_RES!$S$1,MATCH(BJ65,ITEM_RES!$A:$A,0)-1,0),0)*BL65+IFERROR(OFFSET(ITEM_RES!$S$1,MATCH(BO65,ITEM_RES!$A:$A,0)-1,0),0)*BQ65)/1000</f>
        <v>110.3</v>
      </c>
      <c r="AK65" s="185">
        <f ca="1">AI65</f>
        <v>110</v>
      </c>
      <c r="AL65" s="79"/>
      <c r="AM65" s="18">
        <f t="shared" si="4"/>
        <v>5</v>
      </c>
      <c r="AN65" s="17">
        <v>5</v>
      </c>
      <c r="AO65" s="18">
        <f t="shared" ref="AO65" si="15">ROUND(AP65,0)</f>
        <v>5</v>
      </c>
      <c r="AP65" s="17">
        <v>5</v>
      </c>
      <c r="AQ65" s="18">
        <f t="shared" ref="AQ65" si="16">ROUND(AR65,0)</f>
        <v>5</v>
      </c>
      <c r="AR65" s="17">
        <v>5</v>
      </c>
      <c r="AS65" s="57">
        <f t="shared" si="7"/>
        <v>3</v>
      </c>
      <c r="AT65" s="18"/>
      <c r="AU65" s="18">
        <f ca="1">IFERROR(OFFSET(ITEM_RES!$A$1,MATCH(AV65,ITEM_RES!$J:$J,0)-1,0),0)</f>
        <v>211010501</v>
      </c>
      <c r="AV65" s="17" t="s">
        <v>427</v>
      </c>
      <c r="AW65" s="18">
        <v>20</v>
      </c>
      <c r="AX65" s="17"/>
      <c r="AY65" s="18"/>
      <c r="AZ65" s="18">
        <f ca="1">IFERROR(OFFSET(ITEM_RES!$A$1,MATCH(BA65,ITEM_RES!$J:$J,0)-1,0),0)</f>
        <v>211020801</v>
      </c>
      <c r="BA65" s="17" t="s">
        <v>437</v>
      </c>
      <c r="BB65" s="18">
        <v>1</v>
      </c>
      <c r="BC65" s="17"/>
      <c r="BD65" s="18"/>
      <c r="BE65" s="18">
        <f ca="1">IFERROR(OFFSET(ITEM_RES!$A$1,MATCH(BF65,ITEM_RES!$J:$J,0)-1,0),0)</f>
        <v>213010101</v>
      </c>
      <c r="BF65" s="17" t="s">
        <v>452</v>
      </c>
      <c r="BG65" s="18">
        <v>1</v>
      </c>
      <c r="BH65" s="17"/>
      <c r="BI65" s="18"/>
      <c r="BJ65" s="18">
        <f ca="1">IFERROR(OFFSET(ITEM_RES!$A$1,MATCH(BK65,ITEM_RES!$J:$J,0)-1,0),0)</f>
        <v>0</v>
      </c>
      <c r="BK65" s="17"/>
      <c r="BL65" s="18"/>
      <c r="BM65" s="17"/>
      <c r="BN65" s="18"/>
      <c r="BO65" s="18">
        <f ca="1">IFERROR(OFFSET(ITEM_RES!$A$1,MATCH(BP65,ITEM_RES!$J:$J,0)-1,0),0)</f>
        <v>0</v>
      </c>
      <c r="BP65" s="17"/>
      <c r="BQ65" s="18">
        <f t="shared" si="5"/>
        <v>0</v>
      </c>
      <c r="BR65" s="17"/>
    </row>
    <row r="66" spans="1:70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440</v>
      </c>
      <c r="M66" s="9" t="s">
        <v>946</v>
      </c>
      <c r="N66" s="9" t="s">
        <v>966</v>
      </c>
      <c r="O66" s="9">
        <v>1</v>
      </c>
      <c r="P66" s="9">
        <v>15</v>
      </c>
      <c r="Q66" s="9" t="s">
        <v>1138</v>
      </c>
      <c r="U66" s="9" t="s">
        <v>703</v>
      </c>
      <c r="X66" s="9">
        <f ca="1">IFERROR(OFFSET(ITEM_RES!$A$5,MATCH(BUILDING!W66,ITEM_RES!$J$5:$J$226,0)-1,0),0)</f>
        <v>0</v>
      </c>
      <c r="Z66" s="85" t="s">
        <v>541</v>
      </c>
      <c r="AA66" s="9">
        <f ca="1">IFERROR(OFFSET(ITEM_RES!$A$5,MATCH(BUILDING!Z66,ITEM_RES!$J$5:$J$226,0)-1,0),0)</f>
        <v>211020101</v>
      </c>
      <c r="AC66" s="9" t="s">
        <v>511</v>
      </c>
      <c r="AD66" s="9">
        <v>2</v>
      </c>
      <c r="AF66" s="11">
        <f ca="1">IFERROR(OFFSET(MANOR_LEVEL!$B$1,MATCH(AG66-1,MANOR_LEVEL!$A:$A,0)-1,0),0)</f>
        <v>0</v>
      </c>
      <c r="AG66" s="56">
        <v>1</v>
      </c>
      <c r="AI66" s="56">
        <f t="shared" ca="1" si="9"/>
        <v>20</v>
      </c>
      <c r="AJ66" s="10">
        <f ca="1">AO66+AQ66+(IFERROR(OFFSET(ITEM_RES!$S$1,MATCH(AU66,ITEM_RES!$A:$A,0)-1,0),0)*AW66+IFERROR(OFFSET(ITEM_RES!$S$1,MATCH(AZ66,ITEM_RES!$A:$A,0)-1,0),0)*BB66+IFERROR(OFFSET(ITEM_RES!$S$1,MATCH(BE66,ITEM_RES!$A:$A,0)-1,0),0)*BG66+IFERROR(OFFSET(ITEM_RES!$S$1,MATCH(BJ66,ITEM_RES!$A:$A,0)-1,0),0)*BL66+IFERROR(OFFSET(ITEM_RES!$S$1,MATCH(BO66,ITEM_RES!$A:$A,0)-1,0),0)*BQ66)/1000</f>
        <v>20.3</v>
      </c>
      <c r="AK66" s="183">
        <f ca="1">AI65+AI66</f>
        <v>130</v>
      </c>
      <c r="AM66" s="11">
        <f t="shared" si="4"/>
        <v>10</v>
      </c>
      <c r="AN66" s="10">
        <v>10</v>
      </c>
      <c r="AO66" s="11">
        <f t="shared" ref="AO66" si="17">ROUND(AP66,0)</f>
        <v>10</v>
      </c>
      <c r="AP66" s="10">
        <v>10</v>
      </c>
      <c r="AQ66" s="11">
        <f t="shared" ref="AQ66" si="18">ROUND(AR66,0)</f>
        <v>10</v>
      </c>
      <c r="AR66" s="10">
        <v>10</v>
      </c>
      <c r="AS66" s="56">
        <f t="shared" si="7"/>
        <v>2</v>
      </c>
      <c r="AU66" s="11">
        <f ca="1">IFERROR(OFFSET(ITEM_RES!$A$1,MATCH(AV66,ITEM_RES!$J:$J,0)-1,0),0)</f>
        <v>211010501</v>
      </c>
      <c r="AV66" s="10" t="s">
        <v>429</v>
      </c>
      <c r="AW66" s="11">
        <v>20</v>
      </c>
      <c r="AZ66" s="11">
        <f ca="1">IFERROR(OFFSET(ITEM_RES!$A$1,MATCH(BA66,ITEM_RES!$J:$J,0)-1,0),0)</f>
        <v>211020801</v>
      </c>
      <c r="BA66" s="10" t="s">
        <v>437</v>
      </c>
      <c r="BB66" s="11">
        <v>1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O66" s="11">
        <f ca="1">IFERROR(OFFSET(ITEM_RES!$A$1,MATCH(BP66,ITEM_RES!$J:$J,0)-1,0),0)</f>
        <v>0</v>
      </c>
      <c r="BQ66" s="11">
        <f t="shared" si="5"/>
        <v>0</v>
      </c>
    </row>
    <row r="67" spans="1:70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440</v>
      </c>
      <c r="M67" s="9" t="s">
        <v>946</v>
      </c>
      <c r="N67" s="9" t="s">
        <v>966</v>
      </c>
      <c r="O67" s="9">
        <v>1</v>
      </c>
      <c r="P67" s="9">
        <v>15</v>
      </c>
      <c r="Q67" s="9" t="s">
        <v>1138</v>
      </c>
      <c r="U67" s="9" t="s">
        <v>703</v>
      </c>
      <c r="X67" s="9">
        <f ca="1">IFERROR(OFFSET(ITEM_RES!$A$5,MATCH(BUILDING!W67,ITEM_RES!$J$5:$J$226,0)-1,0),0)</f>
        <v>0</v>
      </c>
      <c r="Z67" s="85" t="s">
        <v>541</v>
      </c>
      <c r="AA67" s="9">
        <f ca="1">IFERROR(OFFSET(ITEM_RES!$A$5,MATCH(BUILDING!Z67,ITEM_RES!$J$5:$J$226,0)-1,0),0)</f>
        <v>211020101</v>
      </c>
      <c r="AC67" s="9" t="s">
        <v>511</v>
      </c>
      <c r="AD67" s="9">
        <v>3</v>
      </c>
      <c r="AF67" s="11">
        <f ca="1">IFERROR(OFFSET(MANOR_LEVEL!$B$1,MATCH(AG67-1,MANOR_LEVEL!$A:$A,0)-1,0),0)</f>
        <v>0</v>
      </c>
      <c r="AG67" s="56">
        <v>1</v>
      </c>
      <c r="AI67" s="56">
        <f t="shared" ca="1" si="9"/>
        <v>32</v>
      </c>
      <c r="AJ67" s="10">
        <f ca="1">AO67+AQ67+(IFERROR(OFFSET(ITEM_RES!$S$1,MATCH(AU67,ITEM_RES!$A:$A,0)-1,0),0)*AW67+IFERROR(OFFSET(ITEM_RES!$S$1,MATCH(AZ67,ITEM_RES!$A:$A,0)-1,0),0)*BB67+IFERROR(OFFSET(ITEM_RES!$S$1,MATCH(BE67,ITEM_RES!$A:$A,0)-1,0),0)*BG67+IFERROR(OFFSET(ITEM_RES!$S$1,MATCH(BJ67,ITEM_RES!$A:$A,0)-1,0),0)*BL67+IFERROR(OFFSET(ITEM_RES!$S$1,MATCH(BO67,ITEM_RES!$A:$A,0)-1,0),0)*BQ67)/1000</f>
        <v>31.7</v>
      </c>
      <c r="AK67" s="183">
        <f t="shared" ref="AK67:AK84" ca="1" si="19">AI66+AI67</f>
        <v>52</v>
      </c>
      <c r="AM67" s="11">
        <f t="shared" si="4"/>
        <v>15</v>
      </c>
      <c r="AN67" s="10">
        <v>15</v>
      </c>
      <c r="AO67" s="11">
        <f t="shared" ref="AO67" si="20">ROUND(AP67,0)</f>
        <v>15</v>
      </c>
      <c r="AP67" s="10">
        <v>15</v>
      </c>
      <c r="AQ67" s="11">
        <f t="shared" ref="AQ67" si="21">ROUND(AR67,0)</f>
        <v>15</v>
      </c>
      <c r="AR67" s="10">
        <v>15</v>
      </c>
      <c r="AS67" s="56">
        <f t="shared" si="7"/>
        <v>2</v>
      </c>
      <c r="AU67" s="11">
        <f ca="1">IFERROR(OFFSET(ITEM_RES!$A$1,MATCH(AV67,ITEM_RES!$J:$J,0)-1,0),0)</f>
        <v>211010501</v>
      </c>
      <c r="AV67" s="10" t="s">
        <v>429</v>
      </c>
      <c r="AW67" s="11">
        <v>160</v>
      </c>
      <c r="AZ67" s="11">
        <f ca="1">IFERROR(OFFSET(ITEM_RES!$A$1,MATCH(BA67,ITEM_RES!$J:$J,0)-1,0),0)</f>
        <v>211020801</v>
      </c>
      <c r="BA67" s="10" t="s">
        <v>437</v>
      </c>
      <c r="BB67" s="11">
        <v>1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O67" s="11">
        <f ca="1">IFERROR(OFFSET(ITEM_RES!$A$1,MATCH(BP67,ITEM_RES!$J:$J,0)-1,0),0)</f>
        <v>0</v>
      </c>
      <c r="BQ67" s="11">
        <f t="shared" si="5"/>
        <v>0</v>
      </c>
    </row>
    <row r="68" spans="1:70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440</v>
      </c>
      <c r="M68" s="9" t="s">
        <v>946</v>
      </c>
      <c r="N68" s="9" t="s">
        <v>966</v>
      </c>
      <c r="O68" s="9">
        <v>1</v>
      </c>
      <c r="P68" s="9">
        <v>15</v>
      </c>
      <c r="Q68" s="9" t="s">
        <v>1138</v>
      </c>
      <c r="U68" s="9" t="s">
        <v>703</v>
      </c>
      <c r="X68" s="9">
        <f ca="1">IFERROR(OFFSET(ITEM_RES!$A$5,MATCH(BUILDING!W68,ITEM_RES!$J$5:$J$226,0)-1,0),0)</f>
        <v>0</v>
      </c>
      <c r="Z68" s="85" t="s">
        <v>541</v>
      </c>
      <c r="AA68" s="9">
        <f ca="1">IFERROR(OFFSET(ITEM_RES!$A$5,MATCH(BUILDING!Z68,ITEM_RES!$J$5:$J$226,0)-1,0),0)</f>
        <v>211020101</v>
      </c>
      <c r="AC68" s="9" t="s">
        <v>511</v>
      </c>
      <c r="AD68" s="9">
        <v>4</v>
      </c>
      <c r="AF68" s="11">
        <f ca="1">IFERROR(OFFSET(MANOR_LEVEL!$B$1,MATCH(AG68-1,MANOR_LEVEL!$A:$A,0)-1,0),0)</f>
        <v>0</v>
      </c>
      <c r="AG68" s="56">
        <v>1</v>
      </c>
      <c r="AI68" s="56">
        <f t="shared" ca="1" si="9"/>
        <v>69</v>
      </c>
      <c r="AJ68" s="10">
        <f ca="1">AO68+AQ68+(IFERROR(OFFSET(ITEM_RES!$S$1,MATCH(AU68,ITEM_RES!$A:$A,0)-1,0),0)*AW68+IFERROR(OFFSET(ITEM_RES!$S$1,MATCH(AZ68,ITEM_RES!$A:$A,0)-1,0),0)*BB68+IFERROR(OFFSET(ITEM_RES!$S$1,MATCH(BE68,ITEM_RES!$A:$A,0)-1,0),0)*BG68+IFERROR(OFFSET(ITEM_RES!$S$1,MATCH(BJ68,ITEM_RES!$A:$A,0)-1,0),0)*BL68+IFERROR(OFFSET(ITEM_RES!$S$1,MATCH(BO68,ITEM_RES!$A:$A,0)-1,0),0)*BQ68)/1000</f>
        <v>69.3</v>
      </c>
      <c r="AK68" s="183">
        <f t="shared" ca="1" si="19"/>
        <v>101</v>
      </c>
      <c r="AM68" s="11">
        <f t="shared" si="4"/>
        <v>20</v>
      </c>
      <c r="AN68" s="10">
        <v>20</v>
      </c>
      <c r="AO68" s="11">
        <f t="shared" ref="AO68" si="22">ROUND(AP68,0)</f>
        <v>25</v>
      </c>
      <c r="AP68" s="10">
        <v>25</v>
      </c>
      <c r="AQ68" s="11">
        <f t="shared" ref="AQ68" si="23">ROUND(AR68,0)</f>
        <v>25</v>
      </c>
      <c r="AR68" s="10">
        <v>25</v>
      </c>
      <c r="AS68" s="56">
        <f t="shared" si="7"/>
        <v>2</v>
      </c>
      <c r="AU68" s="11">
        <f ca="1">IFERROR(OFFSET(ITEM_RES!$A$1,MATCH(AV68,ITEM_RES!$J:$J,0)-1,0),0)</f>
        <v>211010501</v>
      </c>
      <c r="AV68" s="10" t="s">
        <v>429</v>
      </c>
      <c r="AW68" s="11">
        <v>1920</v>
      </c>
      <c r="AZ68" s="11">
        <f ca="1">IFERROR(OFFSET(ITEM_RES!$A$1,MATCH(BA68,ITEM_RES!$J:$J,0)-1,0),0)</f>
        <v>211020801</v>
      </c>
      <c r="BA68" s="10" t="s">
        <v>437</v>
      </c>
      <c r="BB68" s="11">
        <v>1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O68" s="11">
        <f ca="1">IFERROR(OFFSET(ITEM_RES!$A$1,MATCH(BP68,ITEM_RES!$J:$J,0)-1,0),0)</f>
        <v>0</v>
      </c>
      <c r="BQ68" s="11">
        <f t="shared" si="5"/>
        <v>0</v>
      </c>
    </row>
    <row r="69" spans="1:70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440</v>
      </c>
      <c r="M69" s="9" t="s">
        <v>946</v>
      </c>
      <c r="N69" s="9" t="s">
        <v>966</v>
      </c>
      <c r="O69" s="9">
        <v>1</v>
      </c>
      <c r="P69" s="9">
        <v>15</v>
      </c>
      <c r="Q69" s="9" t="s">
        <v>1138</v>
      </c>
      <c r="U69" s="9" t="s">
        <v>703</v>
      </c>
      <c r="X69" s="9">
        <f ca="1">IFERROR(OFFSET(ITEM_RES!$A$5,MATCH(BUILDING!W69,ITEM_RES!$J$5:$J$226,0)-1,0),0)</f>
        <v>0</v>
      </c>
      <c r="Z69" s="85" t="s">
        <v>541</v>
      </c>
      <c r="AA69" s="9">
        <f ca="1">IFERROR(OFFSET(ITEM_RES!$A$5,MATCH(BUILDING!Z69,ITEM_RES!$J$5:$J$226,0)-1,0),0)</f>
        <v>211020101</v>
      </c>
      <c r="AC69" s="9" t="s">
        <v>511</v>
      </c>
      <c r="AD69" s="9">
        <v>5</v>
      </c>
      <c r="AF69" s="11">
        <f ca="1">IFERROR(OFFSET(MANOR_LEVEL!$B$1,MATCH(AG69-1,MANOR_LEVEL!$A:$A,0)-1,0),0)</f>
        <v>444</v>
      </c>
      <c r="AG69" s="56">
        <v>2</v>
      </c>
      <c r="AI69" s="56">
        <f t="shared" ca="1" si="9"/>
        <v>340</v>
      </c>
      <c r="AJ69" s="10">
        <f ca="1">AO69+AQ69+(IFERROR(OFFSET(ITEM_RES!$S$1,MATCH(AU69,ITEM_RES!$A:$A,0)-1,0),0)*AW69+IFERROR(OFFSET(ITEM_RES!$S$1,MATCH(AZ69,ITEM_RES!$A:$A,0)-1,0),0)*BB69+IFERROR(OFFSET(ITEM_RES!$S$1,MATCH(BE69,ITEM_RES!$A:$A,0)-1,0),0)*BG69+IFERROR(OFFSET(ITEM_RES!$S$1,MATCH(BJ69,ITEM_RES!$A:$A,0)-1,0),0)*BL69+IFERROR(OFFSET(ITEM_RES!$S$1,MATCH(BO69,ITEM_RES!$A:$A,0)-1,0),0)*BQ69)/1000</f>
        <v>340.1</v>
      </c>
      <c r="AK69" s="183">
        <f t="shared" ca="1" si="19"/>
        <v>409</v>
      </c>
      <c r="AM69" s="11">
        <f t="shared" ref="AM69:AM132" si="24">ROUND(AN69,0)</f>
        <v>25</v>
      </c>
      <c r="AN69" s="10">
        <v>25</v>
      </c>
      <c r="AO69" s="11">
        <f t="shared" ref="AO69" si="25">ROUND(AP69,0)</f>
        <v>40</v>
      </c>
      <c r="AP69" s="10">
        <v>40</v>
      </c>
      <c r="AQ69" s="11">
        <f t="shared" ref="AQ69" si="26">ROUND(AR69,0)</f>
        <v>40</v>
      </c>
      <c r="AR69" s="10">
        <v>40</v>
      </c>
      <c r="AS69" s="56">
        <f t="shared" si="7"/>
        <v>2</v>
      </c>
      <c r="AU69" s="11">
        <f ca="1">IFERROR(OFFSET(ITEM_RES!$A$1,MATCH(AV69,ITEM_RES!$J:$J,0)-1,0),0)</f>
        <v>211010501</v>
      </c>
      <c r="AV69" s="10" t="s">
        <v>429</v>
      </c>
      <c r="AW69" s="11">
        <v>26000</v>
      </c>
      <c r="AZ69" s="11">
        <f ca="1">IFERROR(OFFSET(ITEM_RES!$A$1,MATCH(BA69,ITEM_RES!$J:$J,0)-1,0),0)</f>
        <v>211020801</v>
      </c>
      <c r="BA69" s="10" t="s">
        <v>437</v>
      </c>
      <c r="BB69" s="11">
        <v>1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O69" s="11">
        <f ca="1">IFERROR(OFFSET(ITEM_RES!$A$1,MATCH(BP69,ITEM_RES!$J:$J,0)-1,0),0)</f>
        <v>0</v>
      </c>
      <c r="BQ69" s="11">
        <f t="shared" si="5"/>
        <v>0</v>
      </c>
    </row>
    <row r="70" spans="1:70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440</v>
      </c>
      <c r="M70" s="9" t="s">
        <v>946</v>
      </c>
      <c r="N70" s="9" t="s">
        <v>966</v>
      </c>
      <c r="O70" s="9">
        <v>1</v>
      </c>
      <c r="P70" s="9">
        <v>15</v>
      </c>
      <c r="Q70" s="9" t="s">
        <v>1138</v>
      </c>
      <c r="U70" s="9" t="s">
        <v>703</v>
      </c>
      <c r="X70" s="9">
        <f ca="1">IFERROR(OFFSET(ITEM_RES!$A$5,MATCH(BUILDING!W70,ITEM_RES!$J$5:$J$226,0)-1,0),0)</f>
        <v>0</v>
      </c>
      <c r="Z70" s="85" t="s">
        <v>541</v>
      </c>
      <c r="AA70" s="9">
        <f ca="1">IFERROR(OFFSET(ITEM_RES!$A$5,MATCH(BUILDING!Z70,ITEM_RES!$J$5:$J$226,0)-1,0),0)</f>
        <v>211020101</v>
      </c>
      <c r="AC70" s="9" t="s">
        <v>511</v>
      </c>
      <c r="AD70" s="9">
        <v>6</v>
      </c>
      <c r="AF70" s="11">
        <f ca="1">IFERROR(OFFSET(MANOR_LEVEL!$B$1,MATCH(AG70-1,MANOR_LEVEL!$A:$A,0)-1,0),0)</f>
        <v>528</v>
      </c>
      <c r="AG70" s="56">
        <v>3</v>
      </c>
      <c r="AI70" s="56">
        <f t="shared" ca="1" si="9"/>
        <v>2500</v>
      </c>
      <c r="AJ70" s="10">
        <f ca="1">AO70+AQ70+(IFERROR(OFFSET(ITEM_RES!$S$1,MATCH(AU70,ITEM_RES!$A:$A,0)-1,0),0)*AW70+IFERROR(OFFSET(ITEM_RES!$S$1,MATCH(AZ70,ITEM_RES!$A:$A,0)-1,0),0)*BB70+IFERROR(OFFSET(ITEM_RES!$S$1,MATCH(BE70,ITEM_RES!$A:$A,0)-1,0),0)*BG70+IFERROR(OFFSET(ITEM_RES!$S$1,MATCH(BJ70,ITEM_RES!$A:$A,0)-1,0),0)*BL70+IFERROR(OFFSET(ITEM_RES!$S$1,MATCH(BO70,ITEM_RES!$A:$A,0)-1,0),0)*BQ70)/1000</f>
        <v>2500.1</v>
      </c>
      <c r="AK70" s="183">
        <f t="shared" ca="1" si="19"/>
        <v>2840</v>
      </c>
      <c r="AM70" s="11">
        <f t="shared" si="24"/>
        <v>30</v>
      </c>
      <c r="AN70" s="10">
        <v>30</v>
      </c>
      <c r="AO70" s="11">
        <f t="shared" ref="AO70" si="27">ROUND(AP70,0)</f>
        <v>50</v>
      </c>
      <c r="AP70" s="10">
        <v>50</v>
      </c>
      <c r="AQ70" s="11">
        <f t="shared" ref="AQ70" si="28">ROUND(AR70,0)</f>
        <v>50</v>
      </c>
      <c r="AR70" s="10">
        <v>50</v>
      </c>
      <c r="AS70" s="56">
        <f t="shared" ref="AS70:AS133" si="29">(AW70&gt;0)*1+(BB70&gt;0)*1+(BG70&gt;0)*1+(BL70&gt;0)*1+(BQ70&gt;0)*1</f>
        <v>2</v>
      </c>
      <c r="AU70" s="11">
        <f ca="1">IFERROR(OFFSET(ITEM_RES!$A$1,MATCH(AV70,ITEM_RES!$J:$J,0)-1,0),0)</f>
        <v>211010501</v>
      </c>
      <c r="AV70" s="10" t="s">
        <v>429</v>
      </c>
      <c r="AW70" s="11">
        <v>240000</v>
      </c>
      <c r="AZ70" s="11">
        <f ca="1">IFERROR(OFFSET(ITEM_RES!$A$1,MATCH(BA70,ITEM_RES!$J:$J,0)-1,0),0)</f>
        <v>211020801</v>
      </c>
      <c r="BA70" s="10" t="s">
        <v>437</v>
      </c>
      <c r="BB70" s="11">
        <v>1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O70" s="11">
        <f ca="1">IFERROR(OFFSET(ITEM_RES!$A$1,MATCH(BP70,ITEM_RES!$J:$J,0)-1,0),0)</f>
        <v>0</v>
      </c>
      <c r="BQ70" s="11">
        <f t="shared" si="5"/>
        <v>0</v>
      </c>
    </row>
    <row r="71" spans="1:70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440</v>
      </c>
      <c r="M71" s="9" t="s">
        <v>946</v>
      </c>
      <c r="N71" s="9" t="s">
        <v>966</v>
      </c>
      <c r="O71" s="9">
        <v>1</v>
      </c>
      <c r="P71" s="9">
        <v>15</v>
      </c>
      <c r="Q71" s="9" t="s">
        <v>1138</v>
      </c>
      <c r="U71" s="9" t="s">
        <v>703</v>
      </c>
      <c r="X71" s="9">
        <f ca="1">IFERROR(OFFSET(ITEM_RES!$A$5,MATCH(BUILDING!W71,ITEM_RES!$J$5:$J$226,0)-1,0),0)</f>
        <v>0</v>
      </c>
      <c r="Z71" s="85" t="s">
        <v>541</v>
      </c>
      <c r="AA71" s="9">
        <f ca="1">IFERROR(OFFSET(ITEM_RES!$A$5,MATCH(BUILDING!Z71,ITEM_RES!$J$5:$J$226,0)-1,0),0)</f>
        <v>211020101</v>
      </c>
      <c r="AC71" s="9" t="s">
        <v>511</v>
      </c>
      <c r="AD71" s="9">
        <v>7</v>
      </c>
      <c r="AF71" s="11">
        <f ca="1">IFERROR(OFFSET(MANOR_LEVEL!$B$1,MATCH(AG71-1,MANOR_LEVEL!$A:$A,0)-1,0),0)</f>
        <v>800</v>
      </c>
      <c r="AG71" s="56">
        <v>4</v>
      </c>
      <c r="AI71" s="56">
        <f t="shared" ca="1" si="9"/>
        <v>5600</v>
      </c>
      <c r="AJ71" s="10">
        <f ca="1">AO71+AQ71+(IFERROR(OFFSET(ITEM_RES!$S$1,MATCH(AU71,ITEM_RES!$A:$A,0)-1,0),0)*AW71+IFERROR(OFFSET(ITEM_RES!$S$1,MATCH(AZ71,ITEM_RES!$A:$A,0)-1,0),0)*BB71+IFERROR(OFFSET(ITEM_RES!$S$1,MATCH(BE71,ITEM_RES!$A:$A,0)-1,0),0)*BG71+IFERROR(OFFSET(ITEM_RES!$S$1,MATCH(BJ71,ITEM_RES!$A:$A,0)-1,0),0)*BL71+IFERROR(OFFSET(ITEM_RES!$S$1,MATCH(BO71,ITEM_RES!$A:$A,0)-1,0),0)*BQ71)/1000</f>
        <v>5600.1</v>
      </c>
      <c r="AK71" s="183">
        <f t="shared" ca="1" si="19"/>
        <v>8100</v>
      </c>
      <c r="AM71" s="11">
        <f t="shared" si="24"/>
        <v>35</v>
      </c>
      <c r="AN71" s="10">
        <v>35</v>
      </c>
      <c r="AO71" s="11">
        <f t="shared" ref="AO71" si="30">ROUND(AP71,0)</f>
        <v>100</v>
      </c>
      <c r="AP71" s="10">
        <v>100</v>
      </c>
      <c r="AQ71" s="11">
        <f t="shared" ref="AQ71" si="31">ROUND(AR71,0)</f>
        <v>100</v>
      </c>
      <c r="AR71" s="10">
        <v>100</v>
      </c>
      <c r="AS71" s="56">
        <f t="shared" si="29"/>
        <v>2</v>
      </c>
      <c r="AU71" s="11">
        <f ca="1">IFERROR(OFFSET(ITEM_RES!$A$1,MATCH(AV71,ITEM_RES!$J:$J,0)-1,0),0)</f>
        <v>211010501</v>
      </c>
      <c r="AV71" s="10" t="s">
        <v>429</v>
      </c>
      <c r="AW71" s="11">
        <v>540000</v>
      </c>
      <c r="AZ71" s="11">
        <f ca="1">IFERROR(OFFSET(ITEM_RES!$A$1,MATCH(BA71,ITEM_RES!$J:$J,0)-1,0),0)</f>
        <v>211020801</v>
      </c>
      <c r="BA71" s="10" t="s">
        <v>437</v>
      </c>
      <c r="BB71" s="11">
        <v>1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O71" s="11">
        <f ca="1">IFERROR(OFFSET(ITEM_RES!$A$1,MATCH(BP71,ITEM_RES!$J:$J,0)-1,0),0)</f>
        <v>0</v>
      </c>
      <c r="BQ71" s="11">
        <f t="shared" si="5"/>
        <v>0</v>
      </c>
    </row>
    <row r="72" spans="1:70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440</v>
      </c>
      <c r="M72" s="9" t="s">
        <v>946</v>
      </c>
      <c r="N72" s="9" t="s">
        <v>966</v>
      </c>
      <c r="O72" s="9">
        <v>1</v>
      </c>
      <c r="P72" s="9">
        <v>15</v>
      </c>
      <c r="Q72" s="9" t="s">
        <v>1138</v>
      </c>
      <c r="U72" s="9" t="s">
        <v>703</v>
      </c>
      <c r="X72" s="9">
        <f ca="1">IFERROR(OFFSET(ITEM_RES!$A$5,MATCH(BUILDING!W72,ITEM_RES!$J$5:$J$226,0)-1,0),0)</f>
        <v>0</v>
      </c>
      <c r="Z72" s="85" t="s">
        <v>541</v>
      </c>
      <c r="AA72" s="9">
        <f ca="1">IFERROR(OFFSET(ITEM_RES!$A$5,MATCH(BUILDING!Z72,ITEM_RES!$J$5:$J$226,0)-1,0),0)</f>
        <v>211020101</v>
      </c>
      <c r="AC72" s="9" t="s">
        <v>511</v>
      </c>
      <c r="AD72" s="9">
        <v>8</v>
      </c>
      <c r="AF72" s="11">
        <f ca="1">IFERROR(OFFSET(MANOR_LEVEL!$B$1,MATCH(AG72-1,MANOR_LEVEL!$A:$A,0)-1,0),0)</f>
        <v>1500</v>
      </c>
      <c r="AG72" s="56">
        <v>5</v>
      </c>
      <c r="AI72" s="56">
        <f t="shared" ca="1" si="9"/>
        <v>10200</v>
      </c>
      <c r="AJ72" s="10">
        <f ca="1">AO72+AQ72+(IFERROR(OFFSET(ITEM_RES!$S$1,MATCH(AU72,ITEM_RES!$A:$A,0)-1,0),0)*AW72+IFERROR(OFFSET(ITEM_RES!$S$1,MATCH(AZ72,ITEM_RES!$A:$A,0)-1,0),0)*BB72+IFERROR(OFFSET(ITEM_RES!$S$1,MATCH(BE72,ITEM_RES!$A:$A,0)-1,0),0)*BG72+IFERROR(OFFSET(ITEM_RES!$S$1,MATCH(BJ72,ITEM_RES!$A:$A,0)-1,0),0)*BL72+IFERROR(OFFSET(ITEM_RES!$S$1,MATCH(BO72,ITEM_RES!$A:$A,0)-1,0),0)*BQ72)/1000</f>
        <v>10200.1</v>
      </c>
      <c r="AK72" s="183">
        <f t="shared" ca="1" si="19"/>
        <v>15800</v>
      </c>
      <c r="AM72" s="11">
        <f t="shared" si="24"/>
        <v>40</v>
      </c>
      <c r="AN72" s="10">
        <v>40</v>
      </c>
      <c r="AO72" s="11">
        <f t="shared" ref="AO72" si="32">ROUND(AP72,0)</f>
        <v>100</v>
      </c>
      <c r="AP72" s="10">
        <v>100</v>
      </c>
      <c r="AQ72" s="11">
        <f t="shared" ref="AQ72" si="33">ROUND(AR72,0)</f>
        <v>100</v>
      </c>
      <c r="AR72" s="10">
        <v>100</v>
      </c>
      <c r="AS72" s="56">
        <f t="shared" si="29"/>
        <v>2</v>
      </c>
      <c r="AU72" s="11">
        <f ca="1">IFERROR(OFFSET(ITEM_RES!$A$1,MATCH(AV72,ITEM_RES!$J:$J,0)-1,0),0)</f>
        <v>211010501</v>
      </c>
      <c r="AV72" s="10" t="s">
        <v>429</v>
      </c>
      <c r="AW72" s="11">
        <v>1000000</v>
      </c>
      <c r="AZ72" s="11">
        <f ca="1">IFERROR(OFFSET(ITEM_RES!$A$1,MATCH(BA72,ITEM_RES!$J:$J,0)-1,0),0)</f>
        <v>211020801</v>
      </c>
      <c r="BA72" s="10" t="s">
        <v>437</v>
      </c>
      <c r="BB72" s="11">
        <v>1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O72" s="11">
        <f ca="1">IFERROR(OFFSET(ITEM_RES!$A$1,MATCH(BP72,ITEM_RES!$J:$J,0)-1,0),0)</f>
        <v>0</v>
      </c>
      <c r="BQ72" s="11">
        <f t="shared" si="5"/>
        <v>0</v>
      </c>
    </row>
    <row r="73" spans="1:70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440</v>
      </c>
      <c r="M73" s="9" t="s">
        <v>946</v>
      </c>
      <c r="N73" s="9" t="s">
        <v>966</v>
      </c>
      <c r="O73" s="9">
        <v>1</v>
      </c>
      <c r="P73" s="9">
        <v>15</v>
      </c>
      <c r="Q73" s="9" t="s">
        <v>1138</v>
      </c>
      <c r="U73" s="9" t="s">
        <v>703</v>
      </c>
      <c r="X73" s="9">
        <f ca="1">IFERROR(OFFSET(ITEM_RES!$A$5,MATCH(BUILDING!W73,ITEM_RES!$J$5:$J$226,0)-1,0),0)</f>
        <v>0</v>
      </c>
      <c r="Z73" s="85" t="s">
        <v>541</v>
      </c>
      <c r="AA73" s="9">
        <f ca="1">IFERROR(OFFSET(ITEM_RES!$A$5,MATCH(BUILDING!Z73,ITEM_RES!$J$5:$J$226,0)-1,0),0)</f>
        <v>211020101</v>
      </c>
      <c r="AC73" s="9" t="s">
        <v>511</v>
      </c>
      <c r="AD73" s="9">
        <v>9</v>
      </c>
      <c r="AF73" s="11">
        <f ca="1">IFERROR(OFFSET(MANOR_LEVEL!$B$1,MATCH(AG73-1,MANOR_LEVEL!$A:$A,0)-1,0),0)</f>
        <v>3872</v>
      </c>
      <c r="AG73" s="56">
        <v>6</v>
      </c>
      <c r="AI73" s="56">
        <f t="shared" ca="1" si="9"/>
        <v>16100</v>
      </c>
      <c r="AJ73" s="10">
        <f ca="1">AO73+AQ73+(IFERROR(OFFSET(ITEM_RES!$S$1,MATCH(AU73,ITEM_RES!$A:$A,0)-1,0),0)*AW73+IFERROR(OFFSET(ITEM_RES!$S$1,MATCH(AZ73,ITEM_RES!$A:$A,0)-1,0),0)*BB73+IFERROR(OFFSET(ITEM_RES!$S$1,MATCH(BE73,ITEM_RES!$A:$A,0)-1,0),0)*BG73+IFERROR(OFFSET(ITEM_RES!$S$1,MATCH(BJ73,ITEM_RES!$A:$A,0)-1,0),0)*BL73+IFERROR(OFFSET(ITEM_RES!$S$1,MATCH(BO73,ITEM_RES!$A:$A,0)-1,0),0)*BQ73)/1000</f>
        <v>16100.1</v>
      </c>
      <c r="AK73" s="183">
        <f t="shared" ca="1" si="19"/>
        <v>26300</v>
      </c>
      <c r="AM73" s="11">
        <f t="shared" si="24"/>
        <v>45</v>
      </c>
      <c r="AN73" s="10">
        <v>45</v>
      </c>
      <c r="AO73" s="11">
        <f t="shared" ref="AO73" si="34">ROUND(AP73,0)</f>
        <v>150</v>
      </c>
      <c r="AP73" s="10">
        <v>150</v>
      </c>
      <c r="AQ73" s="11">
        <f t="shared" ref="AQ73" si="35">ROUND(AR73,0)</f>
        <v>150</v>
      </c>
      <c r="AR73" s="10">
        <v>150</v>
      </c>
      <c r="AS73" s="56">
        <f t="shared" si="29"/>
        <v>2</v>
      </c>
      <c r="AU73" s="11">
        <f ca="1">IFERROR(OFFSET(ITEM_RES!$A$1,MATCH(AV73,ITEM_RES!$J:$J,0)-1,0),0)</f>
        <v>211010501</v>
      </c>
      <c r="AV73" s="10" t="s">
        <v>429</v>
      </c>
      <c r="AW73" s="11">
        <v>1580000</v>
      </c>
      <c r="AZ73" s="11">
        <f ca="1">IFERROR(OFFSET(ITEM_RES!$A$1,MATCH(BA73,ITEM_RES!$J:$J,0)-1,0),0)</f>
        <v>211020801</v>
      </c>
      <c r="BA73" s="10" t="s">
        <v>437</v>
      </c>
      <c r="BB73" s="11">
        <v>1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O73" s="11">
        <f ca="1">IFERROR(OFFSET(ITEM_RES!$A$1,MATCH(BP73,ITEM_RES!$J:$J,0)-1,0),0)</f>
        <v>0</v>
      </c>
      <c r="BQ73" s="11">
        <f t="shared" si="5"/>
        <v>0</v>
      </c>
    </row>
    <row r="74" spans="1:70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440</v>
      </c>
      <c r="M74" s="9" t="s">
        <v>946</v>
      </c>
      <c r="N74" s="9" t="s">
        <v>966</v>
      </c>
      <c r="O74" s="9">
        <v>1</v>
      </c>
      <c r="P74" s="9">
        <v>15</v>
      </c>
      <c r="Q74" s="9" t="s">
        <v>1138</v>
      </c>
      <c r="U74" s="9" t="s">
        <v>703</v>
      </c>
      <c r="X74" s="9">
        <f ca="1">IFERROR(OFFSET(ITEM_RES!$A$5,MATCH(BUILDING!W74,ITEM_RES!$J$5:$J$226,0)-1,0),0)</f>
        <v>0</v>
      </c>
      <c r="Z74" s="85" t="s">
        <v>541</v>
      </c>
      <c r="AA74" s="9">
        <f ca="1">IFERROR(OFFSET(ITEM_RES!$A$5,MATCH(BUILDING!Z74,ITEM_RES!$J$5:$J$226,0)-1,0),0)</f>
        <v>211020101</v>
      </c>
      <c r="AC74" s="9" t="s">
        <v>511</v>
      </c>
      <c r="AD74" s="9">
        <v>10</v>
      </c>
      <c r="AF74" s="11">
        <f ca="1">IFERROR(OFFSET(MANOR_LEVEL!$B$1,MATCH(AG74-1,MANOR_LEVEL!$A:$A,0)-1,0),0)</f>
        <v>32640</v>
      </c>
      <c r="AG74" s="56">
        <v>7</v>
      </c>
      <c r="AI74" s="56">
        <f t="shared" ca="1" si="9"/>
        <v>22400</v>
      </c>
      <c r="AJ74" s="10">
        <f ca="1">AO74+AQ74+(IFERROR(OFFSET(ITEM_RES!$S$1,MATCH(AU74,ITEM_RES!$A:$A,0)-1,0),0)*AW74+IFERROR(OFFSET(ITEM_RES!$S$1,MATCH(AZ74,ITEM_RES!$A:$A,0)-1,0),0)*BB74+IFERROR(OFFSET(ITEM_RES!$S$1,MATCH(BE74,ITEM_RES!$A:$A,0)-1,0),0)*BG74+IFERROR(OFFSET(ITEM_RES!$S$1,MATCH(BJ74,ITEM_RES!$A:$A,0)-1,0),0)*BL74+IFERROR(OFFSET(ITEM_RES!$S$1,MATCH(BO74,ITEM_RES!$A:$A,0)-1,0),0)*BQ74)/1000</f>
        <v>22400.1</v>
      </c>
      <c r="AK74" s="183">
        <f t="shared" ca="1" si="19"/>
        <v>38500</v>
      </c>
      <c r="AM74" s="11">
        <f t="shared" si="24"/>
        <v>50</v>
      </c>
      <c r="AN74" s="10">
        <v>50</v>
      </c>
      <c r="AO74" s="11">
        <f t="shared" ref="AO74" si="36">ROUND(AP74,0)</f>
        <v>200</v>
      </c>
      <c r="AP74" s="10">
        <v>200</v>
      </c>
      <c r="AQ74" s="11">
        <f t="shared" ref="AQ74" si="37">ROUND(AR74,0)</f>
        <v>200</v>
      </c>
      <c r="AR74" s="10">
        <v>200</v>
      </c>
      <c r="AS74" s="56">
        <f t="shared" si="29"/>
        <v>2</v>
      </c>
      <c r="AU74" s="11">
        <f ca="1">IFERROR(OFFSET(ITEM_RES!$A$1,MATCH(AV74,ITEM_RES!$J:$J,0)-1,0),0)</f>
        <v>211010501</v>
      </c>
      <c r="AV74" s="10" t="s">
        <v>429</v>
      </c>
      <c r="AW74" s="11">
        <v>2200000</v>
      </c>
      <c r="AZ74" s="11">
        <f ca="1">IFERROR(OFFSET(ITEM_RES!$A$1,MATCH(BA74,ITEM_RES!$J:$J,0)-1,0),0)</f>
        <v>211020801</v>
      </c>
      <c r="BA74" s="10" t="s">
        <v>437</v>
      </c>
      <c r="BB74" s="11">
        <v>1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O74" s="11">
        <f ca="1">IFERROR(OFFSET(ITEM_RES!$A$1,MATCH(BP74,ITEM_RES!$J:$J,0)-1,0),0)</f>
        <v>0</v>
      </c>
      <c r="BQ74" s="11">
        <f t="shared" si="5"/>
        <v>0</v>
      </c>
    </row>
    <row r="75" spans="1:70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440</v>
      </c>
      <c r="M75" s="9" t="s">
        <v>946</v>
      </c>
      <c r="N75" s="9" t="s">
        <v>966</v>
      </c>
      <c r="O75" s="9">
        <v>1</v>
      </c>
      <c r="P75" s="9">
        <v>15</v>
      </c>
      <c r="Q75" s="9" t="s">
        <v>1138</v>
      </c>
      <c r="U75" s="9" t="s">
        <v>703</v>
      </c>
      <c r="X75" s="9">
        <f ca="1">IFERROR(OFFSET(ITEM_RES!$A$5,MATCH(BUILDING!W75,ITEM_RES!$J$5:$J$226,0)-1,0),0)</f>
        <v>0</v>
      </c>
      <c r="Z75" s="85" t="s">
        <v>541</v>
      </c>
      <c r="AA75" s="9">
        <f ca="1">IFERROR(OFFSET(ITEM_RES!$A$5,MATCH(BUILDING!Z75,ITEM_RES!$J$5:$J$226,0)-1,0),0)</f>
        <v>211020101</v>
      </c>
      <c r="AC75" s="9" t="s">
        <v>511</v>
      </c>
      <c r="AD75" s="9">
        <v>11</v>
      </c>
      <c r="AF75" s="11">
        <f ca="1">IFERROR(OFFSET(MANOR_LEVEL!$B$1,MATCH(AG75-1,MANOR_LEVEL!$A:$A,0)-1,0),0)</f>
        <v>94800</v>
      </c>
      <c r="AG75" s="56">
        <v>8</v>
      </c>
      <c r="AI75" s="56">
        <f t="shared" ca="1" si="9"/>
        <v>44600</v>
      </c>
      <c r="AJ75" s="10">
        <f ca="1">AO75+AQ75+(IFERROR(OFFSET(ITEM_RES!$S$1,MATCH(AU75,ITEM_RES!$A:$A,0)-1,0),0)*AW75+IFERROR(OFFSET(ITEM_RES!$S$1,MATCH(AZ75,ITEM_RES!$A:$A,0)-1,0),0)*BB75+IFERROR(OFFSET(ITEM_RES!$S$1,MATCH(BE75,ITEM_RES!$A:$A,0)-1,0),0)*BG75+IFERROR(OFFSET(ITEM_RES!$S$1,MATCH(BJ75,ITEM_RES!$A:$A,0)-1,0),0)*BL75+IFERROR(OFFSET(ITEM_RES!$S$1,MATCH(BO75,ITEM_RES!$A:$A,0)-1,0),0)*BQ75)/1000</f>
        <v>44600.1</v>
      </c>
      <c r="AK75" s="183">
        <f t="shared" ca="1" si="19"/>
        <v>67000</v>
      </c>
      <c r="AM75" s="11">
        <f t="shared" si="24"/>
        <v>55</v>
      </c>
      <c r="AN75" s="10">
        <v>55</v>
      </c>
      <c r="AO75" s="11">
        <f t="shared" ref="AO75" si="38">ROUND(AP75,0)</f>
        <v>250</v>
      </c>
      <c r="AP75" s="10">
        <v>250</v>
      </c>
      <c r="AQ75" s="11">
        <f t="shared" ref="AQ75" si="39">ROUND(AR75,0)</f>
        <v>250</v>
      </c>
      <c r="AR75" s="10">
        <v>250</v>
      </c>
      <c r="AS75" s="56">
        <f t="shared" si="29"/>
        <v>3</v>
      </c>
      <c r="AU75" s="11">
        <f ca="1">IFERROR(OFFSET(ITEM_RES!$A$1,MATCH(AV75,ITEM_RES!$J:$J,0)-1,0),0)</f>
        <v>211010501</v>
      </c>
      <c r="AV75" s="10" t="s">
        <v>429</v>
      </c>
      <c r="AW75" s="11">
        <v>4400000</v>
      </c>
      <c r="AZ75" s="11">
        <f ca="1">IFERROR(OFFSET(ITEM_RES!$A$1,MATCH(BA75,ITEM_RES!$J:$J,0)-1,0),0)</f>
        <v>211020801</v>
      </c>
      <c r="BA75" s="10" t="s">
        <v>437</v>
      </c>
      <c r="BB75" s="11">
        <v>1</v>
      </c>
      <c r="BE75" s="11">
        <f ca="1">IFERROR(OFFSET(ITEM_RES!$A$1,MATCH(BF75,ITEM_RES!$J:$J,0)-1,0),0)</f>
        <v>0</v>
      </c>
      <c r="BJ75" s="11">
        <f ca="1">IFERROR(OFFSET(ITEM_RES!$A$1,MATCH(BK75,ITEM_RES!$J:$J,0)-1,0),0)</f>
        <v>213010601</v>
      </c>
      <c r="BK75" s="10" t="s">
        <v>460</v>
      </c>
      <c r="BL75" s="11">
        <v>1</v>
      </c>
      <c r="BO75" s="11">
        <f ca="1">IFERROR(OFFSET(ITEM_RES!$A$1,MATCH(BP75,ITEM_RES!$J:$J,0)-1,0),0)</f>
        <v>0</v>
      </c>
      <c r="BQ75" s="11">
        <f t="shared" si="5"/>
        <v>0</v>
      </c>
    </row>
    <row r="76" spans="1:70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440</v>
      </c>
      <c r="M76" s="9" t="s">
        <v>946</v>
      </c>
      <c r="N76" s="9" t="s">
        <v>966</v>
      </c>
      <c r="O76" s="9">
        <v>1</v>
      </c>
      <c r="P76" s="9">
        <v>15</v>
      </c>
      <c r="Q76" s="9" t="s">
        <v>1138</v>
      </c>
      <c r="U76" s="9" t="s">
        <v>703</v>
      </c>
      <c r="X76" s="9">
        <f ca="1">IFERROR(OFFSET(ITEM_RES!$A$5,MATCH(BUILDING!W76,ITEM_RES!$J$5:$J$226,0)-1,0),0)</f>
        <v>0</v>
      </c>
      <c r="Z76" s="85" t="s">
        <v>541</v>
      </c>
      <c r="AA76" s="9">
        <f ca="1">IFERROR(OFFSET(ITEM_RES!$A$5,MATCH(BUILDING!Z76,ITEM_RES!$J$5:$J$226,0)-1,0),0)</f>
        <v>211020101</v>
      </c>
      <c r="AC76" s="9" t="s">
        <v>511</v>
      </c>
      <c r="AD76" s="9">
        <v>12</v>
      </c>
      <c r="AF76" s="11">
        <f ca="1">IFERROR(OFFSET(MANOR_LEVEL!$B$1,MATCH(AG76-1,MANOR_LEVEL!$A:$A,0)-1,0),0)</f>
        <v>186400</v>
      </c>
      <c r="AG76" s="56">
        <v>9</v>
      </c>
      <c r="AI76" s="56">
        <f t="shared" ca="1" si="9"/>
        <v>52600</v>
      </c>
      <c r="AJ76" s="10">
        <f ca="1">AO76+AQ76+(IFERROR(OFFSET(ITEM_RES!$S$1,MATCH(AU76,ITEM_RES!$A:$A,0)-1,0),0)*AW76+IFERROR(OFFSET(ITEM_RES!$S$1,MATCH(AZ76,ITEM_RES!$A:$A,0)-1,0),0)*BB76+IFERROR(OFFSET(ITEM_RES!$S$1,MATCH(BE76,ITEM_RES!$A:$A,0)-1,0),0)*BG76+IFERROR(OFFSET(ITEM_RES!$S$1,MATCH(BJ76,ITEM_RES!$A:$A,0)-1,0),0)*BL76+IFERROR(OFFSET(ITEM_RES!$S$1,MATCH(BO76,ITEM_RES!$A:$A,0)-1,0),0)*BQ76)/1000</f>
        <v>52600.1</v>
      </c>
      <c r="AK76" s="183">
        <f t="shared" ca="1" si="19"/>
        <v>97200</v>
      </c>
      <c r="AM76" s="11">
        <f t="shared" si="24"/>
        <v>60</v>
      </c>
      <c r="AN76" s="10">
        <v>60</v>
      </c>
      <c r="AO76" s="11">
        <f t="shared" ref="AO76" si="40">ROUND(AP76,0)</f>
        <v>300</v>
      </c>
      <c r="AP76" s="10">
        <v>300</v>
      </c>
      <c r="AQ76" s="11">
        <f t="shared" ref="AQ76" si="41">ROUND(AR76,0)</f>
        <v>300</v>
      </c>
      <c r="AR76" s="10">
        <v>300</v>
      </c>
      <c r="AS76" s="56">
        <f t="shared" si="29"/>
        <v>2</v>
      </c>
      <c r="AU76" s="11">
        <f ca="1">IFERROR(OFFSET(ITEM_RES!$A$1,MATCH(AV76,ITEM_RES!$J:$J,0)-1,0),0)</f>
        <v>211010501</v>
      </c>
      <c r="AV76" s="10" t="s">
        <v>429</v>
      </c>
      <c r="AW76" s="11">
        <v>5200000</v>
      </c>
      <c r="AZ76" s="11">
        <f ca="1">IFERROR(OFFSET(ITEM_RES!$A$1,MATCH(BA76,ITEM_RES!$J:$J,0)-1,0),0)</f>
        <v>211020801</v>
      </c>
      <c r="BA76" s="10" t="s">
        <v>437</v>
      </c>
      <c r="BB76" s="11">
        <v>1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O76" s="11">
        <f ca="1">IFERROR(OFFSET(ITEM_RES!$A$1,MATCH(BP76,ITEM_RES!$J:$J,0)-1,0),0)</f>
        <v>0</v>
      </c>
      <c r="BQ76" s="11">
        <f t="shared" si="5"/>
        <v>0</v>
      </c>
    </row>
    <row r="77" spans="1:70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440</v>
      </c>
      <c r="M77" s="9" t="s">
        <v>946</v>
      </c>
      <c r="N77" s="9" t="s">
        <v>966</v>
      </c>
      <c r="O77" s="9">
        <v>1</v>
      </c>
      <c r="P77" s="9">
        <v>15</v>
      </c>
      <c r="Q77" s="9" t="s">
        <v>1138</v>
      </c>
      <c r="U77" s="9" t="s">
        <v>703</v>
      </c>
      <c r="X77" s="9">
        <f ca="1">IFERROR(OFFSET(ITEM_RES!$A$5,MATCH(BUILDING!W77,ITEM_RES!$J$5:$J$226,0)-1,0),0)</f>
        <v>0</v>
      </c>
      <c r="Z77" s="85" t="s">
        <v>541</v>
      </c>
      <c r="AA77" s="9">
        <f ca="1">IFERROR(OFFSET(ITEM_RES!$A$5,MATCH(BUILDING!Z77,ITEM_RES!$J$5:$J$226,0)-1,0),0)</f>
        <v>211020101</v>
      </c>
      <c r="AC77" s="9" t="s">
        <v>511</v>
      </c>
      <c r="AD77" s="9">
        <v>13</v>
      </c>
      <c r="AF77" s="11">
        <f ca="1">IFERROR(OFFSET(MANOR_LEVEL!$B$1,MATCH(AG77-1,MANOR_LEVEL!$A:$A,0)-1,0),0)</f>
        <v>311600</v>
      </c>
      <c r="AG77" s="56">
        <v>10</v>
      </c>
      <c r="AI77" s="56">
        <f t="shared" ca="1" si="9"/>
        <v>86700</v>
      </c>
      <c r="AJ77" s="10">
        <f ca="1">AO77+AQ77+(IFERROR(OFFSET(ITEM_RES!$S$1,MATCH(AU77,ITEM_RES!$A:$A,0)-1,0),0)*AW77+IFERROR(OFFSET(ITEM_RES!$S$1,MATCH(AZ77,ITEM_RES!$A:$A,0)-1,0),0)*BB77+IFERROR(OFFSET(ITEM_RES!$S$1,MATCH(BE77,ITEM_RES!$A:$A,0)-1,0),0)*BG77+IFERROR(OFFSET(ITEM_RES!$S$1,MATCH(BJ77,ITEM_RES!$A:$A,0)-1,0),0)*BL77+IFERROR(OFFSET(ITEM_RES!$S$1,MATCH(BO77,ITEM_RES!$A:$A,0)-1,0),0)*BQ77)/1000</f>
        <v>86700.1</v>
      </c>
      <c r="AK77" s="183">
        <f t="shared" ca="1" si="19"/>
        <v>139300</v>
      </c>
      <c r="AM77" s="11">
        <f t="shared" si="24"/>
        <v>65</v>
      </c>
      <c r="AN77" s="10">
        <v>65</v>
      </c>
      <c r="AO77" s="11">
        <f t="shared" ref="AO77" si="42">ROUND(AP77,0)</f>
        <v>350</v>
      </c>
      <c r="AP77" s="10">
        <v>350</v>
      </c>
      <c r="AQ77" s="11">
        <f t="shared" ref="AQ77" si="43">ROUND(AR77,0)</f>
        <v>350</v>
      </c>
      <c r="AR77" s="10">
        <v>350</v>
      </c>
      <c r="AS77" s="56">
        <f t="shared" si="29"/>
        <v>2</v>
      </c>
      <c r="AU77" s="11">
        <f ca="1">IFERROR(OFFSET(ITEM_RES!$A$1,MATCH(AV77,ITEM_RES!$J:$J,0)-1,0),0)</f>
        <v>211010501</v>
      </c>
      <c r="AV77" s="10" t="s">
        <v>429</v>
      </c>
      <c r="AW77" s="11">
        <v>8600000</v>
      </c>
      <c r="AZ77" s="11">
        <f ca="1">IFERROR(OFFSET(ITEM_RES!$A$1,MATCH(BA77,ITEM_RES!$J:$J,0)-1,0),0)</f>
        <v>211020801</v>
      </c>
      <c r="BA77" s="10" t="s">
        <v>437</v>
      </c>
      <c r="BB77" s="11">
        <v>1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O77" s="11">
        <f ca="1">IFERROR(OFFSET(ITEM_RES!$A$1,MATCH(BP77,ITEM_RES!$J:$J,0)-1,0),0)</f>
        <v>0</v>
      </c>
      <c r="BQ77" s="11">
        <f t="shared" si="5"/>
        <v>0</v>
      </c>
    </row>
    <row r="78" spans="1:70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440</v>
      </c>
      <c r="M78" s="9" t="s">
        <v>946</v>
      </c>
      <c r="N78" s="9" t="s">
        <v>966</v>
      </c>
      <c r="O78" s="9">
        <v>1</v>
      </c>
      <c r="P78" s="9">
        <v>15</v>
      </c>
      <c r="Q78" s="9" t="s">
        <v>1138</v>
      </c>
      <c r="U78" s="9" t="s">
        <v>703</v>
      </c>
      <c r="X78" s="9">
        <f ca="1">IFERROR(OFFSET(ITEM_RES!$A$5,MATCH(BUILDING!W78,ITEM_RES!$J$5:$J$226,0)-1,0),0)</f>
        <v>0</v>
      </c>
      <c r="Z78" s="85" t="s">
        <v>541</v>
      </c>
      <c r="AA78" s="9">
        <f ca="1">IFERROR(OFFSET(ITEM_RES!$A$5,MATCH(BUILDING!Z78,ITEM_RES!$J$5:$J$226,0)-1,0),0)</f>
        <v>211020101</v>
      </c>
      <c r="AC78" s="9" t="s">
        <v>511</v>
      </c>
      <c r="AD78" s="9">
        <v>14</v>
      </c>
      <c r="AF78" s="11">
        <f ca="1">IFERROR(OFFSET(MANOR_LEVEL!$B$1,MATCH(AG78-1,MANOR_LEVEL!$A:$A,0)-1,0),0)</f>
        <v>456800</v>
      </c>
      <c r="AG78" s="56">
        <v>11</v>
      </c>
      <c r="AI78" s="56">
        <f t="shared" ca="1" si="9"/>
        <v>264900</v>
      </c>
      <c r="AJ78" s="10">
        <f ca="1">AO78+AQ78+(IFERROR(OFFSET(ITEM_RES!$S$1,MATCH(AU78,ITEM_RES!$A:$A,0)-1,0),0)*AW78+IFERROR(OFFSET(ITEM_RES!$S$1,MATCH(AZ78,ITEM_RES!$A:$A,0)-1,0),0)*BB78+IFERROR(OFFSET(ITEM_RES!$S$1,MATCH(BE78,ITEM_RES!$A:$A,0)-1,0),0)*BG78+IFERROR(OFFSET(ITEM_RES!$S$1,MATCH(BJ78,ITEM_RES!$A:$A,0)-1,0),0)*BL78+IFERROR(OFFSET(ITEM_RES!$S$1,MATCH(BO78,ITEM_RES!$A:$A,0)-1,0),0)*BQ78)/1000</f>
        <v>264900.2</v>
      </c>
      <c r="AK78" s="183">
        <f t="shared" ca="1" si="19"/>
        <v>351600</v>
      </c>
      <c r="AM78" s="11">
        <f t="shared" si="24"/>
        <v>70</v>
      </c>
      <c r="AN78" s="10">
        <v>70</v>
      </c>
      <c r="AO78" s="11">
        <f t="shared" ref="AO78" si="44">ROUND(AP78,0)</f>
        <v>450</v>
      </c>
      <c r="AP78" s="10">
        <v>450</v>
      </c>
      <c r="AQ78" s="11">
        <f t="shared" ref="AQ78" si="45">ROUND(AR78,0)</f>
        <v>450</v>
      </c>
      <c r="AR78" s="10">
        <v>450</v>
      </c>
      <c r="AS78" s="56">
        <f t="shared" si="29"/>
        <v>2</v>
      </c>
      <c r="AU78" s="11">
        <f ca="1">IFERROR(OFFSET(ITEM_RES!$A$1,MATCH(AV78,ITEM_RES!$J:$J,0)-1,0),0)</f>
        <v>211010601</v>
      </c>
      <c r="AV78" s="10" t="s">
        <v>1221</v>
      </c>
      <c r="AW78" s="11">
        <v>13200000</v>
      </c>
      <c r="AZ78" s="11">
        <f ca="1">IFERROR(OFFSET(ITEM_RES!$A$1,MATCH(BA78,ITEM_RES!$J:$J,0)-1,0),0)</f>
        <v>211020901</v>
      </c>
      <c r="BA78" s="10" t="s">
        <v>445</v>
      </c>
      <c r="BB78" s="11">
        <v>1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O78" s="11">
        <f ca="1">IFERROR(OFFSET(ITEM_RES!$A$1,MATCH(BP78,ITEM_RES!$J:$J,0)-1,0),0)</f>
        <v>0</v>
      </c>
      <c r="BQ78" s="11">
        <f t="shared" si="5"/>
        <v>0</v>
      </c>
    </row>
    <row r="79" spans="1:70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440</v>
      </c>
      <c r="M79" s="9" t="s">
        <v>946</v>
      </c>
      <c r="N79" s="9" t="s">
        <v>966</v>
      </c>
      <c r="O79" s="9">
        <v>1</v>
      </c>
      <c r="P79" s="9">
        <v>15</v>
      </c>
      <c r="Q79" s="9" t="s">
        <v>1138</v>
      </c>
      <c r="U79" s="9" t="s">
        <v>703</v>
      </c>
      <c r="X79" s="9">
        <f ca="1">IFERROR(OFFSET(ITEM_RES!$A$5,MATCH(BUILDING!W79,ITEM_RES!$J$5:$J$226,0)-1,0),0)</f>
        <v>0</v>
      </c>
      <c r="Z79" s="85" t="s">
        <v>541</v>
      </c>
      <c r="AA79" s="9">
        <f ca="1">IFERROR(OFFSET(ITEM_RES!$A$5,MATCH(BUILDING!Z79,ITEM_RES!$J$5:$J$226,0)-1,0),0)</f>
        <v>211020101</v>
      </c>
      <c r="AC79" s="9" t="s">
        <v>511</v>
      </c>
      <c r="AD79" s="9">
        <v>15</v>
      </c>
      <c r="AF79" s="11">
        <f ca="1">IFERROR(OFFSET(MANOR_LEVEL!$B$1,MATCH(AG79-1,MANOR_LEVEL!$A:$A,0)-1,0),0)</f>
        <v>796000</v>
      </c>
      <c r="AG79" s="56">
        <v>12</v>
      </c>
      <c r="AI79" s="56">
        <f t="shared" ca="1" si="9"/>
        <v>441100</v>
      </c>
      <c r="AJ79" s="10">
        <f ca="1">AO79+AQ79+(IFERROR(OFFSET(ITEM_RES!$S$1,MATCH(AU79,ITEM_RES!$A:$A,0)-1,0),0)*AW79+IFERROR(OFFSET(ITEM_RES!$S$1,MATCH(AZ79,ITEM_RES!$A:$A,0)-1,0),0)*BB79+IFERROR(OFFSET(ITEM_RES!$S$1,MATCH(BE79,ITEM_RES!$A:$A,0)-1,0),0)*BG79+IFERROR(OFFSET(ITEM_RES!$S$1,MATCH(BJ79,ITEM_RES!$A:$A,0)-1,0),0)*BL79+IFERROR(OFFSET(ITEM_RES!$S$1,MATCH(BO79,ITEM_RES!$A:$A,0)-1,0),0)*BQ79)/1000</f>
        <v>441100.2</v>
      </c>
      <c r="AK79" s="183">
        <f t="shared" ca="1" si="19"/>
        <v>706000</v>
      </c>
      <c r="AM79" s="11">
        <f t="shared" si="24"/>
        <v>75</v>
      </c>
      <c r="AN79" s="10">
        <v>75</v>
      </c>
      <c r="AO79" s="11">
        <f t="shared" ref="AO79" si="46">ROUND(AP79,0)</f>
        <v>550</v>
      </c>
      <c r="AP79" s="10">
        <v>550</v>
      </c>
      <c r="AQ79" s="11">
        <f t="shared" ref="AQ79" si="47">ROUND(AR79,0)</f>
        <v>550</v>
      </c>
      <c r="AR79" s="10">
        <v>550</v>
      </c>
      <c r="AS79" s="56">
        <f t="shared" si="29"/>
        <v>2</v>
      </c>
      <c r="AU79" s="11">
        <f ca="1">IFERROR(OFFSET(ITEM_RES!$A$1,MATCH(AV79,ITEM_RES!$J:$J,0)-1,0),0)</f>
        <v>211010601</v>
      </c>
      <c r="AV79" s="10" t="s">
        <v>1221</v>
      </c>
      <c r="AW79" s="11">
        <v>22000000</v>
      </c>
      <c r="AZ79" s="11">
        <f ca="1">IFERROR(OFFSET(ITEM_RES!$A$1,MATCH(BA79,ITEM_RES!$J:$J,0)-1,0),0)</f>
        <v>211020901</v>
      </c>
      <c r="BA79" s="10" t="s">
        <v>445</v>
      </c>
      <c r="BB79" s="11">
        <v>1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O79" s="11">
        <f ca="1">IFERROR(OFFSET(ITEM_RES!$A$1,MATCH(BP79,ITEM_RES!$J:$J,0)-1,0),0)</f>
        <v>0</v>
      </c>
      <c r="BQ79" s="11">
        <f t="shared" si="5"/>
        <v>0</v>
      </c>
    </row>
    <row r="80" spans="1:70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440</v>
      </c>
      <c r="M80" s="9" t="s">
        <v>946</v>
      </c>
      <c r="N80" s="9" t="s">
        <v>966</v>
      </c>
      <c r="O80" s="9">
        <v>0</v>
      </c>
      <c r="P80" s="9">
        <v>15</v>
      </c>
      <c r="Q80" s="9" t="s">
        <v>1138</v>
      </c>
      <c r="U80" s="9" t="s">
        <v>703</v>
      </c>
      <c r="X80" s="9">
        <f ca="1">IFERROR(OFFSET(ITEM_RES!$A$5,MATCH(BUILDING!W80,ITEM_RES!$J$5:$J$226,0)-1,0),0)</f>
        <v>0</v>
      </c>
      <c r="Z80" s="85" t="s">
        <v>541</v>
      </c>
      <c r="AA80" s="9">
        <f ca="1">IFERROR(OFFSET(ITEM_RES!$A$5,MATCH(BUILDING!Z80,ITEM_RES!$J$5:$J$226,0)-1,0),0)</f>
        <v>211020101</v>
      </c>
      <c r="AC80" s="9" t="s">
        <v>511</v>
      </c>
      <c r="AD80" s="9">
        <v>16</v>
      </c>
      <c r="AF80" s="11">
        <f ca="1">IFERROR(OFFSET(MANOR_LEVEL!$B$1,MATCH(AG80-1,MANOR_LEVEL!$A:$A,0)-1,0),0)</f>
        <v>1156400</v>
      </c>
      <c r="AG80" s="56">
        <v>13</v>
      </c>
      <c r="AI80" s="56">
        <f t="shared" ca="1" si="9"/>
        <v>601400</v>
      </c>
      <c r="AJ80" s="10">
        <f ca="1">AO80+AQ80+(IFERROR(OFFSET(ITEM_RES!$S$1,MATCH(AU80,ITEM_RES!$A:$A,0)-1,0),0)*AW80+IFERROR(OFFSET(ITEM_RES!$S$1,MATCH(AZ80,ITEM_RES!$A:$A,0)-1,0),0)*BB80+IFERROR(OFFSET(ITEM_RES!$S$1,MATCH(BE80,ITEM_RES!$A:$A,0)-1,0),0)*BG80+IFERROR(OFFSET(ITEM_RES!$S$1,MATCH(BJ80,ITEM_RES!$A:$A,0)-1,0),0)*BL80+IFERROR(OFFSET(ITEM_RES!$S$1,MATCH(BO80,ITEM_RES!$A:$A,0)-1,0),0)*BQ80)/1000</f>
        <v>601400.19999999995</v>
      </c>
      <c r="AK80" s="183">
        <f t="shared" ca="1" si="19"/>
        <v>1042500</v>
      </c>
      <c r="AM80" s="11">
        <f t="shared" si="24"/>
        <v>80</v>
      </c>
      <c r="AN80" s="10">
        <v>80</v>
      </c>
      <c r="AO80" s="11">
        <f t="shared" ref="AO80" si="48">ROUND(AP80,0)</f>
        <v>700</v>
      </c>
      <c r="AP80" s="10">
        <v>700</v>
      </c>
      <c r="AQ80" s="11">
        <f t="shared" ref="AQ80" si="49">ROUND(AR80,0)</f>
        <v>700</v>
      </c>
      <c r="AR80" s="10">
        <v>700</v>
      </c>
      <c r="AS80" s="56">
        <f t="shared" si="29"/>
        <v>2</v>
      </c>
      <c r="AU80" s="11">
        <f ca="1">IFERROR(OFFSET(ITEM_RES!$A$1,MATCH(AV80,ITEM_RES!$J:$J,0)-1,0),0)</f>
        <v>211010601</v>
      </c>
      <c r="AV80" s="10" t="s">
        <v>1221</v>
      </c>
      <c r="AW80" s="11">
        <v>30000000</v>
      </c>
      <c r="AZ80" s="11">
        <f ca="1">IFERROR(OFFSET(ITEM_RES!$A$1,MATCH(BA80,ITEM_RES!$J:$J,0)-1,0),0)</f>
        <v>211020901</v>
      </c>
      <c r="BA80" s="10" t="s">
        <v>445</v>
      </c>
      <c r="BB80" s="11">
        <v>1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O80" s="11">
        <f ca="1">IFERROR(OFFSET(ITEM_RES!$A$1,MATCH(BP80,ITEM_RES!$J:$J,0)-1,0),0)</f>
        <v>0</v>
      </c>
      <c r="BQ80" s="11">
        <f t="shared" si="5"/>
        <v>0</v>
      </c>
    </row>
    <row r="81" spans="1:70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440</v>
      </c>
      <c r="M81" s="9" t="s">
        <v>946</v>
      </c>
      <c r="N81" s="9" t="s">
        <v>966</v>
      </c>
      <c r="O81" s="9">
        <v>0</v>
      </c>
      <c r="P81" s="9">
        <v>15</v>
      </c>
      <c r="Q81" s="9" t="s">
        <v>1138</v>
      </c>
      <c r="U81" s="9" t="s">
        <v>703</v>
      </c>
      <c r="X81" s="9">
        <f ca="1">IFERROR(OFFSET(ITEM_RES!$A$5,MATCH(BUILDING!W81,ITEM_RES!$J$5:$J$226,0)-1,0),0)</f>
        <v>0</v>
      </c>
      <c r="Z81" s="85" t="s">
        <v>541</v>
      </c>
      <c r="AA81" s="9">
        <f ca="1">IFERROR(OFFSET(ITEM_RES!$A$5,MATCH(BUILDING!Z81,ITEM_RES!$J$5:$J$226,0)-1,0),0)</f>
        <v>211020101</v>
      </c>
      <c r="AC81" s="9" t="s">
        <v>511</v>
      </c>
      <c r="AD81" s="9">
        <v>17</v>
      </c>
      <c r="AF81" s="11">
        <f ca="1">IFERROR(OFFSET(MANOR_LEVEL!$B$1,MATCH(AG81-1,MANOR_LEVEL!$A:$A,0)-1,0),0)</f>
        <v>1661200</v>
      </c>
      <c r="AG81" s="56">
        <v>14</v>
      </c>
      <c r="AI81" s="56">
        <f t="shared" ca="1" si="9"/>
        <v>921700</v>
      </c>
      <c r="AJ81" s="10">
        <f ca="1">AO81+AQ81+(IFERROR(OFFSET(ITEM_RES!$S$1,MATCH(AU81,ITEM_RES!$A:$A,0)-1,0),0)*AW81+IFERROR(OFFSET(ITEM_RES!$S$1,MATCH(AZ81,ITEM_RES!$A:$A,0)-1,0),0)*BB81+IFERROR(OFFSET(ITEM_RES!$S$1,MATCH(BE81,ITEM_RES!$A:$A,0)-1,0),0)*BG81+IFERROR(OFFSET(ITEM_RES!$S$1,MATCH(BJ81,ITEM_RES!$A:$A,0)-1,0),0)*BL81+IFERROR(OFFSET(ITEM_RES!$S$1,MATCH(BO81,ITEM_RES!$A:$A,0)-1,0),0)*BQ81)/1000</f>
        <v>921700.2</v>
      </c>
      <c r="AK81" s="183">
        <f t="shared" ca="1" si="19"/>
        <v>1523100</v>
      </c>
      <c r="AM81" s="11">
        <f t="shared" si="24"/>
        <v>85</v>
      </c>
      <c r="AN81" s="10">
        <v>85</v>
      </c>
      <c r="AO81" s="11">
        <f t="shared" ref="AO81" si="50">ROUND(AP81,0)</f>
        <v>850</v>
      </c>
      <c r="AP81" s="10">
        <v>850</v>
      </c>
      <c r="AQ81" s="11">
        <f t="shared" ref="AQ81" si="51">ROUND(AR81,0)</f>
        <v>850</v>
      </c>
      <c r="AR81" s="10">
        <v>850</v>
      </c>
      <c r="AS81" s="56">
        <f t="shared" si="29"/>
        <v>2</v>
      </c>
      <c r="AU81" s="11">
        <f ca="1">IFERROR(OFFSET(ITEM_RES!$A$1,MATCH(AV81,ITEM_RES!$J:$J,0)-1,0),0)</f>
        <v>211010601</v>
      </c>
      <c r="AV81" s="10" t="s">
        <v>1221</v>
      </c>
      <c r="AW81" s="11">
        <v>46000000</v>
      </c>
      <c r="AZ81" s="11">
        <f ca="1">IFERROR(OFFSET(ITEM_RES!$A$1,MATCH(BA81,ITEM_RES!$J:$J,0)-1,0),0)</f>
        <v>211020901</v>
      </c>
      <c r="BA81" s="10" t="s">
        <v>445</v>
      </c>
      <c r="BB81" s="11">
        <v>1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O81" s="11">
        <f ca="1">IFERROR(OFFSET(ITEM_RES!$A$1,MATCH(BP81,ITEM_RES!$J:$J,0)-1,0),0)</f>
        <v>0</v>
      </c>
      <c r="BQ81" s="11">
        <f t="shared" si="5"/>
        <v>0</v>
      </c>
    </row>
    <row r="82" spans="1:70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440</v>
      </c>
      <c r="M82" s="9" t="s">
        <v>946</v>
      </c>
      <c r="N82" s="9" t="s">
        <v>966</v>
      </c>
      <c r="O82" s="9">
        <v>0</v>
      </c>
      <c r="P82" s="9">
        <v>15</v>
      </c>
      <c r="Q82" s="9" t="s">
        <v>1138</v>
      </c>
      <c r="U82" s="9" t="s">
        <v>703</v>
      </c>
      <c r="X82" s="9">
        <f ca="1">IFERROR(OFFSET(ITEM_RES!$A$5,MATCH(BUILDING!W82,ITEM_RES!$J$5:$J$226,0)-1,0),0)</f>
        <v>0</v>
      </c>
      <c r="Z82" s="85" t="s">
        <v>541</v>
      </c>
      <c r="AA82" s="9">
        <f ca="1">IFERROR(OFFSET(ITEM_RES!$A$5,MATCH(BUILDING!Z82,ITEM_RES!$J$5:$J$226,0)-1,0),0)</f>
        <v>211020101</v>
      </c>
      <c r="AC82" s="9" t="s">
        <v>511</v>
      </c>
      <c r="AD82" s="9">
        <v>18</v>
      </c>
      <c r="AF82" s="11">
        <f ca="1">IFERROR(OFFSET(MANOR_LEVEL!$B$1,MATCH(AG82-1,MANOR_LEVEL!$A:$A,0)-1,0),0)</f>
        <v>2622400</v>
      </c>
      <c r="AG82" s="56">
        <v>15</v>
      </c>
      <c r="AI82" s="56">
        <f t="shared" ca="1" si="9"/>
        <v>1402100</v>
      </c>
      <c r="AJ82" s="10">
        <f ca="1">AO82+AQ82+(IFERROR(OFFSET(ITEM_RES!$S$1,MATCH(AU82,ITEM_RES!$A:$A,0)-1,0),0)*AW82+IFERROR(OFFSET(ITEM_RES!$S$1,MATCH(AZ82,ITEM_RES!$A:$A,0)-1,0),0)*BB82+IFERROR(OFFSET(ITEM_RES!$S$1,MATCH(BE82,ITEM_RES!$A:$A,0)-1,0),0)*BG82+IFERROR(OFFSET(ITEM_RES!$S$1,MATCH(BJ82,ITEM_RES!$A:$A,0)-1,0),0)*BL82+IFERROR(OFFSET(ITEM_RES!$S$1,MATCH(BO82,ITEM_RES!$A:$A,0)-1,0),0)*BQ82)/1000</f>
        <v>1402100.2</v>
      </c>
      <c r="AK82" s="183">
        <f t="shared" ca="1" si="19"/>
        <v>2323800</v>
      </c>
      <c r="AM82" s="11">
        <f t="shared" si="24"/>
        <v>90</v>
      </c>
      <c r="AN82" s="10">
        <v>90</v>
      </c>
      <c r="AO82" s="11">
        <f t="shared" ref="AO82" si="52">ROUND(AP82,0)</f>
        <v>1050</v>
      </c>
      <c r="AP82" s="10">
        <v>1050</v>
      </c>
      <c r="AQ82" s="11">
        <f t="shared" ref="AQ82" si="53">ROUND(AR82,0)</f>
        <v>1050</v>
      </c>
      <c r="AR82" s="10">
        <v>1050</v>
      </c>
      <c r="AS82" s="56">
        <f t="shared" si="29"/>
        <v>2</v>
      </c>
      <c r="AU82" s="11">
        <f ca="1">IFERROR(OFFSET(ITEM_RES!$A$1,MATCH(AV82,ITEM_RES!$J:$J,0)-1,0),0)</f>
        <v>211010601</v>
      </c>
      <c r="AV82" s="10" t="s">
        <v>1221</v>
      </c>
      <c r="AW82" s="11">
        <v>70000000</v>
      </c>
      <c r="AZ82" s="11">
        <f ca="1">IFERROR(OFFSET(ITEM_RES!$A$1,MATCH(BA82,ITEM_RES!$J:$J,0)-1,0),0)</f>
        <v>211020901</v>
      </c>
      <c r="BA82" s="10" t="s">
        <v>445</v>
      </c>
      <c r="BB82" s="11">
        <v>1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O82" s="11">
        <f ca="1">IFERROR(OFFSET(ITEM_RES!$A$1,MATCH(BP82,ITEM_RES!$J:$J,0)-1,0),0)</f>
        <v>0</v>
      </c>
      <c r="BQ82" s="11">
        <f t="shared" si="5"/>
        <v>0</v>
      </c>
    </row>
    <row r="83" spans="1:70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440</v>
      </c>
      <c r="M83" s="9" t="s">
        <v>946</v>
      </c>
      <c r="N83" s="9" t="s">
        <v>966</v>
      </c>
      <c r="O83" s="9">
        <v>0</v>
      </c>
      <c r="P83" s="9">
        <v>15</v>
      </c>
      <c r="Q83" s="9" t="s">
        <v>1138</v>
      </c>
      <c r="U83" s="9" t="s">
        <v>703</v>
      </c>
      <c r="X83" s="9">
        <f ca="1">IFERROR(OFFSET(ITEM_RES!$A$5,MATCH(BUILDING!W83,ITEM_RES!$J$5:$J$226,0)-1,0),0)</f>
        <v>0</v>
      </c>
      <c r="Z83" s="85" t="s">
        <v>541</v>
      </c>
      <c r="AA83" s="9">
        <f ca="1">IFERROR(OFFSET(ITEM_RES!$A$5,MATCH(BUILDING!Z83,ITEM_RES!$J$5:$J$226,0)-1,0),0)</f>
        <v>211020101</v>
      </c>
      <c r="AC83" s="9" t="s">
        <v>511</v>
      </c>
      <c r="AD83" s="9">
        <v>19</v>
      </c>
      <c r="AF83" s="11">
        <f ca="1">IFERROR(OFFSET(MANOR_LEVEL!$B$1,MATCH(AG83-1,MANOR_LEVEL!$A:$A,0)-1,0),0)</f>
        <v>4232000</v>
      </c>
      <c r="AG83" s="56">
        <v>16</v>
      </c>
      <c r="AI83" s="56">
        <f t="shared" ca="1" si="9"/>
        <v>1922500</v>
      </c>
      <c r="AJ83" s="10">
        <f ca="1">AO83+AQ83+(IFERROR(OFFSET(ITEM_RES!$S$1,MATCH(AU83,ITEM_RES!$A:$A,0)-1,0),0)*AW83+IFERROR(OFFSET(ITEM_RES!$S$1,MATCH(AZ83,ITEM_RES!$A:$A,0)-1,0),0)*BB83+IFERROR(OFFSET(ITEM_RES!$S$1,MATCH(BE83,ITEM_RES!$A:$A,0)-1,0),0)*BG83+IFERROR(OFFSET(ITEM_RES!$S$1,MATCH(BJ83,ITEM_RES!$A:$A,0)-1,0),0)*BL83+IFERROR(OFFSET(ITEM_RES!$S$1,MATCH(BO83,ITEM_RES!$A:$A,0)-1,0),0)*BQ83)/1000</f>
        <v>1922500.2</v>
      </c>
      <c r="AK83" s="183">
        <f t="shared" ca="1" si="19"/>
        <v>3324600</v>
      </c>
      <c r="AM83" s="11">
        <f t="shared" si="24"/>
        <v>95</v>
      </c>
      <c r="AN83" s="10">
        <v>95</v>
      </c>
      <c r="AO83" s="11">
        <f t="shared" ref="AO83" si="54">ROUND(AP83,0)</f>
        <v>1250</v>
      </c>
      <c r="AP83" s="10">
        <v>1250</v>
      </c>
      <c r="AQ83" s="11">
        <f t="shared" ref="AQ83" si="55">ROUND(AR83,0)</f>
        <v>1250</v>
      </c>
      <c r="AR83" s="10">
        <v>1250</v>
      </c>
      <c r="AS83" s="56">
        <f t="shared" si="29"/>
        <v>2</v>
      </c>
      <c r="AU83" s="11">
        <f ca="1">IFERROR(OFFSET(ITEM_RES!$A$1,MATCH(AV83,ITEM_RES!$J:$J,0)-1,0),0)</f>
        <v>211010601</v>
      </c>
      <c r="AV83" s="10" t="s">
        <v>1221</v>
      </c>
      <c r="AW83" s="11">
        <v>96000000</v>
      </c>
      <c r="AZ83" s="11">
        <f ca="1">IFERROR(OFFSET(ITEM_RES!$A$1,MATCH(BA83,ITEM_RES!$J:$J,0)-1,0),0)</f>
        <v>211020901</v>
      </c>
      <c r="BA83" s="10" t="s">
        <v>445</v>
      </c>
      <c r="BB83" s="11">
        <v>1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O83" s="11">
        <f ca="1">IFERROR(OFFSET(ITEM_RES!$A$1,MATCH(BP83,ITEM_RES!$J:$J,0)-1,0),0)</f>
        <v>0</v>
      </c>
      <c r="BQ83" s="11">
        <f t="shared" si="5"/>
        <v>0</v>
      </c>
    </row>
    <row r="84" spans="1:70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440</v>
      </c>
      <c r="M84" s="9" t="s">
        <v>946</v>
      </c>
      <c r="N84" s="9" t="s">
        <v>966</v>
      </c>
      <c r="O84" s="9">
        <v>0</v>
      </c>
      <c r="P84" s="9">
        <v>15</v>
      </c>
      <c r="Q84" s="9" t="s">
        <v>1138</v>
      </c>
      <c r="U84" s="9" t="s">
        <v>703</v>
      </c>
      <c r="X84" s="9">
        <f ca="1">IFERROR(OFFSET(ITEM_RES!$A$5,MATCH(BUILDING!W84,ITEM_RES!$J$5:$J$226,0)-1,0),0)</f>
        <v>0</v>
      </c>
      <c r="Z84" s="85" t="s">
        <v>541</v>
      </c>
      <c r="AA84" s="9">
        <f ca="1">IFERROR(OFFSET(ITEM_RES!$A$5,MATCH(BUILDING!Z84,ITEM_RES!$J$5:$J$226,0)-1,0),0)</f>
        <v>211020101</v>
      </c>
      <c r="AC84" s="9" t="s">
        <v>511</v>
      </c>
      <c r="AD84" s="9">
        <v>20</v>
      </c>
      <c r="AF84" s="11">
        <f ca="1">IFERROR(OFFSET(MANOR_LEVEL!$B$1,MATCH(AG84-1,MANOR_LEVEL!$A:$A,0)-1,0),0)</f>
        <v>7450000</v>
      </c>
      <c r="AG84" s="56">
        <v>17</v>
      </c>
      <c r="AI84" s="56">
        <f t="shared" ca="1" si="9"/>
        <v>3043000</v>
      </c>
      <c r="AJ84" s="10">
        <f ca="1">AO84+AQ84+(IFERROR(OFFSET(ITEM_RES!$S$1,MATCH(AU84,ITEM_RES!$A:$A,0)-1,0),0)*AW84+IFERROR(OFFSET(ITEM_RES!$S$1,MATCH(AZ84,ITEM_RES!$A:$A,0)-1,0),0)*BB84+IFERROR(OFFSET(ITEM_RES!$S$1,MATCH(BE84,ITEM_RES!$A:$A,0)-1,0),0)*BG84+IFERROR(OFFSET(ITEM_RES!$S$1,MATCH(BJ84,ITEM_RES!$A:$A,0)-1,0),0)*BL84+IFERROR(OFFSET(ITEM_RES!$S$1,MATCH(BO84,ITEM_RES!$A:$A,0)-1,0),0)*BQ84)/1000</f>
        <v>3043000.2</v>
      </c>
      <c r="AK84" s="183">
        <f t="shared" ca="1" si="19"/>
        <v>4965500</v>
      </c>
      <c r="AM84" s="11">
        <f t="shared" si="24"/>
        <v>100</v>
      </c>
      <c r="AN84" s="10">
        <v>100</v>
      </c>
      <c r="AO84" s="11">
        <f t="shared" ref="AO84" si="56">ROUND(AP84,0)</f>
        <v>1500</v>
      </c>
      <c r="AP84" s="10">
        <v>1500</v>
      </c>
      <c r="AQ84" s="11">
        <f t="shared" ref="AQ84" si="57">ROUND(AR84,0)</f>
        <v>1500</v>
      </c>
      <c r="AR84" s="10">
        <v>1500</v>
      </c>
      <c r="AS84" s="56">
        <f t="shared" si="29"/>
        <v>2</v>
      </c>
      <c r="AU84" s="11">
        <f ca="1">IFERROR(OFFSET(ITEM_RES!$A$1,MATCH(AV84,ITEM_RES!$J:$J,0)-1,0),0)</f>
        <v>211010601</v>
      </c>
      <c r="AV84" s="10" t="s">
        <v>1221</v>
      </c>
      <c r="AW84" s="11">
        <v>152000000</v>
      </c>
      <c r="AZ84" s="11">
        <f ca="1">IFERROR(OFFSET(ITEM_RES!$A$1,MATCH(BA84,ITEM_RES!$J:$J,0)-1,0),0)</f>
        <v>211020901</v>
      </c>
      <c r="BA84" s="10" t="s">
        <v>445</v>
      </c>
      <c r="BB84" s="11">
        <v>1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O84" s="11">
        <f ca="1">IFERROR(OFFSET(ITEM_RES!$A$1,MATCH(BP84,ITEM_RES!$J:$J,0)-1,0),0)</f>
        <v>0</v>
      </c>
      <c r="BQ84" s="11">
        <f t="shared" si="5"/>
        <v>0</v>
      </c>
    </row>
    <row r="85" spans="1:70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9"/>
      <c r="H85" s="16">
        <v>2</v>
      </c>
      <c r="I85" s="16">
        <v>1</v>
      </c>
      <c r="J85" s="79"/>
      <c r="K85" s="67" t="s">
        <v>369</v>
      </c>
      <c r="L85" s="67">
        <v>12</v>
      </c>
      <c r="M85" s="67" t="s">
        <v>947</v>
      </c>
      <c r="N85" s="67" t="s">
        <v>967</v>
      </c>
      <c r="O85" s="16">
        <v>1</v>
      </c>
      <c r="P85" s="16">
        <v>15</v>
      </c>
      <c r="Q85" s="16" t="s">
        <v>792</v>
      </c>
      <c r="R85" s="17"/>
      <c r="S85" s="17"/>
      <c r="T85" s="18"/>
      <c r="U85" s="16" t="s">
        <v>725</v>
      </c>
      <c r="V85" s="79"/>
      <c r="W85" s="87" t="s">
        <v>543</v>
      </c>
      <c r="X85" s="16">
        <f ca="1">IFERROR(OFFSET(ITEM_RES!$A$5,MATCH(BUILDING!W85,ITEM_RES!$J$5:$J$226,0)-1,0),0)</f>
        <v>211021101</v>
      </c>
      <c r="Y85" s="18">
        <v>100</v>
      </c>
      <c r="Z85" s="87" t="s">
        <v>542</v>
      </c>
      <c r="AA85" s="16">
        <f ca="1">IFERROR(OFFSET(ITEM_RES!$A$5,MATCH(BUILDING!Z85,ITEM_RES!$J$5:$J$226,0)-1,0),0)</f>
        <v>211010401</v>
      </c>
      <c r="AB85" s="79"/>
      <c r="AC85" s="16" t="s">
        <v>512</v>
      </c>
      <c r="AD85" s="16">
        <v>1</v>
      </c>
      <c r="AE85" s="79"/>
      <c r="AF85" s="18">
        <f ca="1">IFERROR(OFFSET(MANOR_LEVEL!$B$1,MATCH(AG85-1,MANOR_LEVEL!$A:$A,0)-1,0),0)</f>
        <v>796000</v>
      </c>
      <c r="AG85" s="57">
        <v>12</v>
      </c>
      <c r="AH85" s="79"/>
      <c r="AI85" s="57">
        <f t="shared" ca="1" si="9"/>
        <v>110</v>
      </c>
      <c r="AJ85" s="17">
        <f ca="1">AO85+AQ85+(IFERROR(OFFSET(ITEM_RES!$S$1,MATCH(AU85,ITEM_RES!$A:$A,0)-1,0),0)*AW85+IFERROR(OFFSET(ITEM_RES!$S$1,MATCH(AZ85,ITEM_RES!$A:$A,0)-1,0),0)*BB85+IFERROR(OFFSET(ITEM_RES!$S$1,MATCH(BE85,ITEM_RES!$A:$A,0)-1,0),0)*BG85+IFERROR(OFFSET(ITEM_RES!$S$1,MATCH(BJ85,ITEM_RES!$A:$A,0)-1,0),0)*BL85+IFERROR(OFFSET(ITEM_RES!$S$1,MATCH(BO85,ITEM_RES!$A:$A,0)-1,0),0)*BQ85)/1000</f>
        <v>110.21</v>
      </c>
      <c r="AK85" s="185">
        <f ca="1">AI85</f>
        <v>110</v>
      </c>
      <c r="AL85" s="79"/>
      <c r="AM85" s="18">
        <f t="shared" si="24"/>
        <v>5</v>
      </c>
      <c r="AN85" s="17">
        <v>5</v>
      </c>
      <c r="AO85" s="18">
        <f t="shared" si="6"/>
        <v>5</v>
      </c>
      <c r="AP85" s="17">
        <v>5</v>
      </c>
      <c r="AQ85" s="18">
        <f t="shared" si="6"/>
        <v>5</v>
      </c>
      <c r="AR85" s="17">
        <v>5</v>
      </c>
      <c r="AS85" s="57">
        <f t="shared" si="29"/>
        <v>3</v>
      </c>
      <c r="AT85" s="18"/>
      <c r="AU85" s="18">
        <f ca="1">IFERROR(OFFSET(ITEM_RES!$A$1,MATCH(AV85,ITEM_RES!$J:$J,0)-1,0),0)</f>
        <v>211020201</v>
      </c>
      <c r="AV85" s="17" t="s">
        <v>431</v>
      </c>
      <c r="AW85" s="18">
        <v>20</v>
      </c>
      <c r="AX85" s="17"/>
      <c r="AY85" s="18"/>
      <c r="AZ85" s="18">
        <f ca="1">IFERROR(OFFSET(ITEM_RES!$A$1,MATCH(BA85,ITEM_RES!$J:$J,0)-1,0),0)</f>
        <v>211020401</v>
      </c>
      <c r="BA85" s="17" t="s">
        <v>436</v>
      </c>
      <c r="BB85" s="18">
        <v>1</v>
      </c>
      <c r="BC85" s="17"/>
      <c r="BD85" s="18"/>
      <c r="BE85" s="18">
        <f ca="1">IFERROR(OFFSET(ITEM_RES!$A$1,MATCH(BF85,ITEM_RES!$J:$J,0)-1,0),0)</f>
        <v>213010101</v>
      </c>
      <c r="BF85" s="17" t="s">
        <v>452</v>
      </c>
      <c r="BG85" s="18">
        <v>1</v>
      </c>
      <c r="BH85" s="17"/>
      <c r="BI85" s="18"/>
      <c r="BJ85" s="18">
        <f ca="1">IFERROR(OFFSET(ITEM_RES!$A$1,MATCH(BK85,ITEM_RES!$J:$J,0)-1,0),0)</f>
        <v>0</v>
      </c>
      <c r="BK85" s="17"/>
      <c r="BL85" s="18"/>
      <c r="BM85" s="17"/>
      <c r="BN85" s="18"/>
      <c r="BO85" s="18">
        <f ca="1">IFERROR(OFFSET(ITEM_RES!$A$1,MATCH(BP85,ITEM_RES!$J:$J,0)-1,0),0)</f>
        <v>0</v>
      </c>
      <c r="BP85" s="17"/>
      <c r="BQ85" s="18">
        <f t="shared" si="5"/>
        <v>0</v>
      </c>
      <c r="BR85" s="17"/>
    </row>
    <row r="86" spans="1:70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369</v>
      </c>
      <c r="M86" s="9" t="s">
        <v>947</v>
      </c>
      <c r="N86" s="9" t="s">
        <v>967</v>
      </c>
      <c r="O86" s="9">
        <v>1</v>
      </c>
      <c r="P86" s="9">
        <v>15</v>
      </c>
      <c r="Q86" s="9" t="s">
        <v>792</v>
      </c>
      <c r="U86" s="9" t="s">
        <v>725</v>
      </c>
      <c r="W86" s="85" t="s">
        <v>543</v>
      </c>
      <c r="X86" s="9">
        <f ca="1">IFERROR(OFFSET(ITEM_RES!$A$5,MATCH(BUILDING!W86,ITEM_RES!$J$5:$J$226,0)-1,0),0)</f>
        <v>211021101</v>
      </c>
      <c r="Y86" s="11">
        <v>100</v>
      </c>
      <c r="Z86" s="85" t="s">
        <v>542</v>
      </c>
      <c r="AA86" s="9">
        <f ca="1">IFERROR(OFFSET(ITEM_RES!$A$5,MATCH(BUILDING!Z86,ITEM_RES!$J$5:$J$226,0)-1,0),0)</f>
        <v>211010401</v>
      </c>
      <c r="AC86" s="9" t="s">
        <v>512</v>
      </c>
      <c r="AD86" s="9">
        <v>2</v>
      </c>
      <c r="AF86" s="11">
        <f ca="1">IFERROR(OFFSET(MANOR_LEVEL!$B$1,MATCH(AG86-1,MANOR_LEVEL!$A:$A,0)-1,0),0)</f>
        <v>796000</v>
      </c>
      <c r="AG86" s="56">
        <v>12</v>
      </c>
      <c r="AI86" s="56">
        <f t="shared" ca="1" si="9"/>
        <v>20</v>
      </c>
      <c r="AJ86" s="10">
        <f ca="1">AO86+AQ86+(IFERROR(OFFSET(ITEM_RES!$S$1,MATCH(AU86,ITEM_RES!$A:$A,0)-1,0),0)*AW86+IFERROR(OFFSET(ITEM_RES!$S$1,MATCH(AZ86,ITEM_RES!$A:$A,0)-1,0),0)*BB86+IFERROR(OFFSET(ITEM_RES!$S$1,MATCH(BE86,ITEM_RES!$A:$A,0)-1,0),0)*BG86+IFERROR(OFFSET(ITEM_RES!$S$1,MATCH(BJ86,ITEM_RES!$A:$A,0)-1,0),0)*BL86+IFERROR(OFFSET(ITEM_RES!$S$1,MATCH(BO86,ITEM_RES!$A:$A,0)-1,0),0)*BQ86)/1000</f>
        <v>20.21</v>
      </c>
      <c r="AK86" s="183">
        <f ca="1">AI85+AI86</f>
        <v>130</v>
      </c>
      <c r="AM86" s="11">
        <f t="shared" si="24"/>
        <v>10</v>
      </c>
      <c r="AN86" s="10">
        <v>10</v>
      </c>
      <c r="AO86" s="11">
        <f t="shared" si="6"/>
        <v>10</v>
      </c>
      <c r="AP86" s="10">
        <v>10</v>
      </c>
      <c r="AQ86" s="11">
        <f t="shared" si="6"/>
        <v>10</v>
      </c>
      <c r="AR86" s="10">
        <v>10</v>
      </c>
      <c r="AS86" s="56">
        <f t="shared" si="29"/>
        <v>2</v>
      </c>
      <c r="AU86" s="11">
        <f ca="1">IFERROR(OFFSET(ITEM_RES!$A$1,MATCH(AV86,ITEM_RES!$J:$J,0)-1,0),0)</f>
        <v>211020201</v>
      </c>
      <c r="AV86" s="10" t="s">
        <v>432</v>
      </c>
      <c r="AW86" s="11">
        <v>20</v>
      </c>
      <c r="AZ86" s="11">
        <f ca="1">IFERROR(OFFSET(ITEM_RES!$A$1,MATCH(BA86,ITEM_RES!$J:$J,0)-1,0),0)</f>
        <v>211020401</v>
      </c>
      <c r="BA86" s="10" t="s">
        <v>436</v>
      </c>
      <c r="BB86" s="11">
        <v>1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O86" s="11">
        <f ca="1">IFERROR(OFFSET(ITEM_RES!$A$1,MATCH(BP86,ITEM_RES!$J:$J,0)-1,0),0)</f>
        <v>0</v>
      </c>
      <c r="BQ86" s="11">
        <f t="shared" si="5"/>
        <v>0</v>
      </c>
    </row>
    <row r="87" spans="1:70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369</v>
      </c>
      <c r="M87" s="9" t="s">
        <v>947</v>
      </c>
      <c r="N87" s="9" t="s">
        <v>967</v>
      </c>
      <c r="O87" s="9">
        <v>1</v>
      </c>
      <c r="P87" s="9">
        <v>15</v>
      </c>
      <c r="Q87" s="9" t="s">
        <v>792</v>
      </c>
      <c r="U87" s="9" t="s">
        <v>725</v>
      </c>
      <c r="W87" s="85" t="s">
        <v>543</v>
      </c>
      <c r="X87" s="9">
        <f ca="1">IFERROR(OFFSET(ITEM_RES!$A$5,MATCH(BUILDING!W87,ITEM_RES!$J$5:$J$226,0)-1,0),0)</f>
        <v>211021101</v>
      </c>
      <c r="Y87" s="11">
        <v>100</v>
      </c>
      <c r="Z87" s="85" t="s">
        <v>542</v>
      </c>
      <c r="AA87" s="9">
        <f ca="1">IFERROR(OFFSET(ITEM_RES!$A$5,MATCH(BUILDING!Z87,ITEM_RES!$J$5:$J$226,0)-1,0),0)</f>
        <v>211010401</v>
      </c>
      <c r="AC87" s="9" t="s">
        <v>512</v>
      </c>
      <c r="AD87" s="9">
        <v>3</v>
      </c>
      <c r="AF87" s="11">
        <f ca="1">IFERROR(OFFSET(MANOR_LEVEL!$B$1,MATCH(AG87-1,MANOR_LEVEL!$A:$A,0)-1,0),0)</f>
        <v>796000</v>
      </c>
      <c r="AG87" s="56">
        <v>12</v>
      </c>
      <c r="AI87" s="56">
        <f t="shared" ca="1" si="9"/>
        <v>32</v>
      </c>
      <c r="AJ87" s="10">
        <f ca="1">AO87+AQ87+(IFERROR(OFFSET(ITEM_RES!$S$1,MATCH(AU87,ITEM_RES!$A:$A,0)-1,0),0)*AW87+IFERROR(OFFSET(ITEM_RES!$S$1,MATCH(AZ87,ITEM_RES!$A:$A,0)-1,0),0)*BB87+IFERROR(OFFSET(ITEM_RES!$S$1,MATCH(BE87,ITEM_RES!$A:$A,0)-1,0),0)*BG87+IFERROR(OFFSET(ITEM_RES!$S$1,MATCH(BJ87,ITEM_RES!$A:$A,0)-1,0),0)*BL87+IFERROR(OFFSET(ITEM_RES!$S$1,MATCH(BO87,ITEM_RES!$A:$A,0)-1,0),0)*BQ87)/1000</f>
        <v>31.61</v>
      </c>
      <c r="AK87" s="183">
        <f t="shared" ref="AK87:AK104" ca="1" si="58">AI86+AI87</f>
        <v>52</v>
      </c>
      <c r="AM87" s="11">
        <f t="shared" si="24"/>
        <v>15</v>
      </c>
      <c r="AN87" s="10">
        <v>15</v>
      </c>
      <c r="AO87" s="11">
        <f t="shared" si="6"/>
        <v>15</v>
      </c>
      <c r="AP87" s="10">
        <v>15</v>
      </c>
      <c r="AQ87" s="11">
        <f t="shared" si="6"/>
        <v>15</v>
      </c>
      <c r="AR87" s="10">
        <v>15</v>
      </c>
      <c r="AS87" s="56">
        <f t="shared" si="29"/>
        <v>2</v>
      </c>
      <c r="AU87" s="11">
        <f ca="1">IFERROR(OFFSET(ITEM_RES!$A$1,MATCH(AV87,ITEM_RES!$J:$J,0)-1,0),0)</f>
        <v>211020201</v>
      </c>
      <c r="AV87" s="10" t="s">
        <v>431</v>
      </c>
      <c r="AW87" s="11">
        <v>160</v>
      </c>
      <c r="AZ87" s="11">
        <f ca="1">IFERROR(OFFSET(ITEM_RES!$A$1,MATCH(BA87,ITEM_RES!$J:$J,0)-1,0),0)</f>
        <v>211020401</v>
      </c>
      <c r="BA87" s="10" t="s">
        <v>436</v>
      </c>
      <c r="BB87" s="11">
        <v>1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O87" s="11">
        <f ca="1">IFERROR(OFFSET(ITEM_RES!$A$1,MATCH(BP87,ITEM_RES!$J:$J,0)-1,0),0)</f>
        <v>0</v>
      </c>
      <c r="BQ87" s="11">
        <f t="shared" si="5"/>
        <v>0</v>
      </c>
    </row>
    <row r="88" spans="1:70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369</v>
      </c>
      <c r="M88" s="9" t="s">
        <v>947</v>
      </c>
      <c r="N88" s="9" t="s">
        <v>967</v>
      </c>
      <c r="O88" s="9">
        <v>1</v>
      </c>
      <c r="P88" s="9">
        <v>15</v>
      </c>
      <c r="Q88" s="9" t="s">
        <v>792</v>
      </c>
      <c r="U88" s="9" t="s">
        <v>725</v>
      </c>
      <c r="W88" s="85" t="s">
        <v>543</v>
      </c>
      <c r="X88" s="9">
        <f ca="1">IFERROR(OFFSET(ITEM_RES!$A$5,MATCH(BUILDING!W88,ITEM_RES!$J$5:$J$226,0)-1,0),0)</f>
        <v>211021101</v>
      </c>
      <c r="Y88" s="11">
        <v>100</v>
      </c>
      <c r="Z88" s="85" t="s">
        <v>542</v>
      </c>
      <c r="AA88" s="9">
        <f ca="1">IFERROR(OFFSET(ITEM_RES!$A$5,MATCH(BUILDING!Z88,ITEM_RES!$J$5:$J$226,0)-1,0),0)</f>
        <v>211010401</v>
      </c>
      <c r="AC88" s="9" t="s">
        <v>512</v>
      </c>
      <c r="AD88" s="9">
        <v>4</v>
      </c>
      <c r="AF88" s="11">
        <f ca="1">IFERROR(OFFSET(MANOR_LEVEL!$B$1,MATCH(AG88-1,MANOR_LEVEL!$A:$A,0)-1,0),0)</f>
        <v>796000</v>
      </c>
      <c r="AG88" s="56">
        <v>12</v>
      </c>
      <c r="AI88" s="56">
        <f t="shared" ca="1" si="9"/>
        <v>69</v>
      </c>
      <c r="AJ88" s="10">
        <f ca="1">AO88+AQ88+(IFERROR(OFFSET(ITEM_RES!$S$1,MATCH(AU88,ITEM_RES!$A:$A,0)-1,0),0)*AW88+IFERROR(OFFSET(ITEM_RES!$S$1,MATCH(AZ88,ITEM_RES!$A:$A,0)-1,0),0)*BB88+IFERROR(OFFSET(ITEM_RES!$S$1,MATCH(BE88,ITEM_RES!$A:$A,0)-1,0),0)*BG88+IFERROR(OFFSET(ITEM_RES!$S$1,MATCH(BJ88,ITEM_RES!$A:$A,0)-1,0),0)*BL88+IFERROR(OFFSET(ITEM_RES!$S$1,MATCH(BO88,ITEM_RES!$A:$A,0)-1,0),0)*BQ88)/1000</f>
        <v>69.210000000000008</v>
      </c>
      <c r="AK88" s="183">
        <f t="shared" ca="1" si="58"/>
        <v>101</v>
      </c>
      <c r="AM88" s="11">
        <f t="shared" si="24"/>
        <v>20</v>
      </c>
      <c r="AN88" s="10">
        <v>20</v>
      </c>
      <c r="AO88" s="11">
        <f t="shared" si="6"/>
        <v>25</v>
      </c>
      <c r="AP88" s="10">
        <v>25</v>
      </c>
      <c r="AQ88" s="11">
        <f t="shared" si="6"/>
        <v>25</v>
      </c>
      <c r="AR88" s="10">
        <v>25</v>
      </c>
      <c r="AS88" s="56">
        <f t="shared" si="29"/>
        <v>2</v>
      </c>
      <c r="AU88" s="11">
        <f ca="1">IFERROR(OFFSET(ITEM_RES!$A$1,MATCH(AV88,ITEM_RES!$J:$J,0)-1,0),0)</f>
        <v>211020201</v>
      </c>
      <c r="AV88" s="10" t="s">
        <v>432</v>
      </c>
      <c r="AW88" s="11">
        <v>1920</v>
      </c>
      <c r="AZ88" s="11">
        <f ca="1">IFERROR(OFFSET(ITEM_RES!$A$1,MATCH(BA88,ITEM_RES!$J:$J,0)-1,0),0)</f>
        <v>211020401</v>
      </c>
      <c r="BA88" s="10" t="s">
        <v>436</v>
      </c>
      <c r="BB88" s="11">
        <v>1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O88" s="11">
        <f ca="1">IFERROR(OFFSET(ITEM_RES!$A$1,MATCH(BP88,ITEM_RES!$J:$J,0)-1,0),0)</f>
        <v>0</v>
      </c>
      <c r="BQ88" s="11">
        <f t="shared" si="5"/>
        <v>0</v>
      </c>
    </row>
    <row r="89" spans="1:70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369</v>
      </c>
      <c r="M89" s="9" t="s">
        <v>947</v>
      </c>
      <c r="N89" s="9" t="s">
        <v>967</v>
      </c>
      <c r="O89" s="9">
        <v>1</v>
      </c>
      <c r="P89" s="9">
        <v>15</v>
      </c>
      <c r="Q89" s="9" t="s">
        <v>792</v>
      </c>
      <c r="U89" s="9" t="s">
        <v>725</v>
      </c>
      <c r="W89" s="85" t="s">
        <v>543</v>
      </c>
      <c r="X89" s="9">
        <f ca="1">IFERROR(OFFSET(ITEM_RES!$A$5,MATCH(BUILDING!W89,ITEM_RES!$J$5:$J$226,0)-1,0),0)</f>
        <v>211021101</v>
      </c>
      <c r="Y89" s="11">
        <v>100</v>
      </c>
      <c r="Z89" s="85" t="s">
        <v>542</v>
      </c>
      <c r="AA89" s="9">
        <f ca="1">IFERROR(OFFSET(ITEM_RES!$A$5,MATCH(BUILDING!Z89,ITEM_RES!$J$5:$J$226,0)-1,0),0)</f>
        <v>211010401</v>
      </c>
      <c r="AC89" s="9" t="s">
        <v>512</v>
      </c>
      <c r="AD89" s="9">
        <v>5</v>
      </c>
      <c r="AF89" s="11">
        <f ca="1">IFERROR(OFFSET(MANOR_LEVEL!$B$1,MATCH(AG89-1,MANOR_LEVEL!$A:$A,0)-1,0),0)</f>
        <v>796000</v>
      </c>
      <c r="AG89" s="56">
        <v>12</v>
      </c>
      <c r="AI89" s="56">
        <f t="shared" ca="1" si="9"/>
        <v>340</v>
      </c>
      <c r="AJ89" s="10">
        <f ca="1">AO89+AQ89+(IFERROR(OFFSET(ITEM_RES!$S$1,MATCH(AU89,ITEM_RES!$A:$A,0)-1,0),0)*AW89+IFERROR(OFFSET(ITEM_RES!$S$1,MATCH(AZ89,ITEM_RES!$A:$A,0)-1,0),0)*BB89+IFERROR(OFFSET(ITEM_RES!$S$1,MATCH(BE89,ITEM_RES!$A:$A,0)-1,0),0)*BG89+IFERROR(OFFSET(ITEM_RES!$S$1,MATCH(BJ89,ITEM_RES!$A:$A,0)-1,0),0)*BL89+IFERROR(OFFSET(ITEM_RES!$S$1,MATCH(BO89,ITEM_RES!$A:$A,0)-1,0),0)*BQ89)/1000</f>
        <v>340.01</v>
      </c>
      <c r="AK89" s="183">
        <f t="shared" ca="1" si="58"/>
        <v>409</v>
      </c>
      <c r="AM89" s="11">
        <f t="shared" si="24"/>
        <v>25</v>
      </c>
      <c r="AN89" s="10">
        <v>25</v>
      </c>
      <c r="AO89" s="11">
        <f t="shared" si="6"/>
        <v>40</v>
      </c>
      <c r="AP89" s="10">
        <v>40</v>
      </c>
      <c r="AQ89" s="11">
        <f t="shared" si="6"/>
        <v>40</v>
      </c>
      <c r="AR89" s="10">
        <v>40</v>
      </c>
      <c r="AS89" s="56">
        <f t="shared" si="29"/>
        <v>2</v>
      </c>
      <c r="AU89" s="11">
        <f ca="1">IFERROR(OFFSET(ITEM_RES!$A$1,MATCH(AV89,ITEM_RES!$J:$J,0)-1,0),0)</f>
        <v>211020201</v>
      </c>
      <c r="AV89" s="10" t="s">
        <v>431</v>
      </c>
      <c r="AW89" s="11">
        <v>26000</v>
      </c>
      <c r="AZ89" s="11">
        <f ca="1">IFERROR(OFFSET(ITEM_RES!$A$1,MATCH(BA89,ITEM_RES!$J:$J,0)-1,0),0)</f>
        <v>211020401</v>
      </c>
      <c r="BA89" s="10" t="s">
        <v>436</v>
      </c>
      <c r="BB89" s="11">
        <v>1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O89" s="11">
        <f ca="1">IFERROR(OFFSET(ITEM_RES!$A$1,MATCH(BP89,ITEM_RES!$J:$J,0)-1,0),0)</f>
        <v>0</v>
      </c>
      <c r="BQ89" s="11">
        <f t="shared" ref="BQ89:BQ152" si="62">IF(BR89&lt;100,ROUND(BR89,1-LEN(ROUND(BR89,0))),ROUND(BR89,2-LEN(ROUND(BR89,0))))</f>
        <v>0</v>
      </c>
    </row>
    <row r="90" spans="1:70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369</v>
      </c>
      <c r="M90" s="9" t="s">
        <v>947</v>
      </c>
      <c r="N90" s="9" t="s">
        <v>967</v>
      </c>
      <c r="O90" s="9">
        <v>1</v>
      </c>
      <c r="P90" s="9">
        <v>15</v>
      </c>
      <c r="Q90" s="9" t="s">
        <v>792</v>
      </c>
      <c r="U90" s="9" t="s">
        <v>725</v>
      </c>
      <c r="W90" s="85" t="s">
        <v>543</v>
      </c>
      <c r="X90" s="9">
        <f ca="1">IFERROR(OFFSET(ITEM_RES!$A$5,MATCH(BUILDING!W90,ITEM_RES!$J$5:$J$226,0)-1,0),0)</f>
        <v>211021101</v>
      </c>
      <c r="Y90" s="11">
        <v>100</v>
      </c>
      <c r="Z90" s="85" t="s">
        <v>542</v>
      </c>
      <c r="AA90" s="9">
        <f ca="1">IFERROR(OFFSET(ITEM_RES!$A$5,MATCH(BUILDING!Z90,ITEM_RES!$J$5:$J$226,0)-1,0),0)</f>
        <v>211010401</v>
      </c>
      <c r="AC90" s="9" t="s">
        <v>512</v>
      </c>
      <c r="AD90" s="9">
        <v>6</v>
      </c>
      <c r="AF90" s="11">
        <f ca="1">IFERROR(OFFSET(MANOR_LEVEL!$B$1,MATCH(AG90-1,MANOR_LEVEL!$A:$A,0)-1,0),0)</f>
        <v>796000</v>
      </c>
      <c r="AG90" s="56">
        <v>12</v>
      </c>
      <c r="AI90" s="56">
        <f t="shared" ref="AI90:AI153" ca="1" si="63">ROUND(AJ90,0)</f>
        <v>2500</v>
      </c>
      <c r="AJ90" s="10">
        <f ca="1">AO90+AQ90+(IFERROR(OFFSET(ITEM_RES!$S$1,MATCH(AU90,ITEM_RES!$A:$A,0)-1,0),0)*AW90+IFERROR(OFFSET(ITEM_RES!$S$1,MATCH(AZ90,ITEM_RES!$A:$A,0)-1,0),0)*BB90+IFERROR(OFFSET(ITEM_RES!$S$1,MATCH(BE90,ITEM_RES!$A:$A,0)-1,0),0)*BG90+IFERROR(OFFSET(ITEM_RES!$S$1,MATCH(BJ90,ITEM_RES!$A:$A,0)-1,0),0)*BL90+IFERROR(OFFSET(ITEM_RES!$S$1,MATCH(BO90,ITEM_RES!$A:$A,0)-1,0),0)*BQ90)/1000</f>
        <v>2500.0100000000002</v>
      </c>
      <c r="AK90" s="183">
        <f t="shared" ca="1" si="58"/>
        <v>2840</v>
      </c>
      <c r="AM90" s="11">
        <f t="shared" si="24"/>
        <v>30</v>
      </c>
      <c r="AN90" s="10">
        <v>30</v>
      </c>
      <c r="AO90" s="11">
        <f t="shared" ref="AO90:AQ153" si="64">ROUND(AP90,0)</f>
        <v>50</v>
      </c>
      <c r="AP90" s="10">
        <v>50</v>
      </c>
      <c r="AQ90" s="11">
        <f t="shared" si="64"/>
        <v>50</v>
      </c>
      <c r="AR90" s="10">
        <v>50</v>
      </c>
      <c r="AS90" s="56">
        <f t="shared" si="29"/>
        <v>2</v>
      </c>
      <c r="AU90" s="11">
        <f ca="1">IFERROR(OFFSET(ITEM_RES!$A$1,MATCH(AV90,ITEM_RES!$J:$J,0)-1,0),0)</f>
        <v>211020201</v>
      </c>
      <c r="AV90" s="10" t="s">
        <v>432</v>
      </c>
      <c r="AW90" s="11">
        <v>240000</v>
      </c>
      <c r="AZ90" s="11">
        <f ca="1">IFERROR(OFFSET(ITEM_RES!$A$1,MATCH(BA90,ITEM_RES!$J:$J,0)-1,0),0)</f>
        <v>211020401</v>
      </c>
      <c r="BA90" s="10" t="s">
        <v>436</v>
      </c>
      <c r="BB90" s="11">
        <v>1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O90" s="11">
        <f ca="1">IFERROR(OFFSET(ITEM_RES!$A$1,MATCH(BP90,ITEM_RES!$J:$J,0)-1,0),0)</f>
        <v>0</v>
      </c>
      <c r="BQ90" s="11">
        <f t="shared" si="62"/>
        <v>0</v>
      </c>
    </row>
    <row r="91" spans="1:70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369</v>
      </c>
      <c r="M91" s="9" t="s">
        <v>947</v>
      </c>
      <c r="N91" s="9" t="s">
        <v>967</v>
      </c>
      <c r="O91" s="9">
        <v>1</v>
      </c>
      <c r="P91" s="9">
        <v>15</v>
      </c>
      <c r="Q91" s="9" t="s">
        <v>792</v>
      </c>
      <c r="U91" s="9" t="s">
        <v>725</v>
      </c>
      <c r="W91" s="85" t="s">
        <v>543</v>
      </c>
      <c r="X91" s="9">
        <f ca="1">IFERROR(OFFSET(ITEM_RES!$A$5,MATCH(BUILDING!W91,ITEM_RES!$J$5:$J$226,0)-1,0),0)</f>
        <v>211021101</v>
      </c>
      <c r="Y91" s="11">
        <v>100</v>
      </c>
      <c r="Z91" s="85" t="s">
        <v>542</v>
      </c>
      <c r="AA91" s="9">
        <f ca="1">IFERROR(OFFSET(ITEM_RES!$A$5,MATCH(BUILDING!Z91,ITEM_RES!$J$5:$J$226,0)-1,0),0)</f>
        <v>211010401</v>
      </c>
      <c r="AC91" s="9" t="s">
        <v>512</v>
      </c>
      <c r="AD91" s="9">
        <v>7</v>
      </c>
      <c r="AF91" s="11">
        <f ca="1">IFERROR(OFFSET(MANOR_LEVEL!$B$1,MATCH(AG91-1,MANOR_LEVEL!$A:$A,0)-1,0),0)</f>
        <v>796000</v>
      </c>
      <c r="AG91" s="56">
        <v>12</v>
      </c>
      <c r="AI91" s="56">
        <f t="shared" ca="1" si="63"/>
        <v>108200</v>
      </c>
      <c r="AJ91" s="10">
        <f ca="1">AO91+AQ91+(IFERROR(OFFSET(ITEM_RES!$S$1,MATCH(AU91,ITEM_RES!$A:$A,0)-1,0),0)*AW91+IFERROR(OFFSET(ITEM_RES!$S$1,MATCH(AZ91,ITEM_RES!$A:$A,0)-1,0),0)*BB91+IFERROR(OFFSET(ITEM_RES!$S$1,MATCH(BE91,ITEM_RES!$A:$A,0)-1,0),0)*BG91+IFERROR(OFFSET(ITEM_RES!$S$1,MATCH(BJ91,ITEM_RES!$A:$A,0)-1,0),0)*BL91+IFERROR(OFFSET(ITEM_RES!$S$1,MATCH(BO91,ITEM_RES!$A:$A,0)-1,0),0)*BQ91)/1000</f>
        <v>108200.01</v>
      </c>
      <c r="AK91" s="183">
        <f t="shared" ca="1" si="58"/>
        <v>110700</v>
      </c>
      <c r="AM91" s="11">
        <f t="shared" si="24"/>
        <v>35</v>
      </c>
      <c r="AN91" s="10">
        <v>35</v>
      </c>
      <c r="AO91" s="11">
        <f t="shared" si="64"/>
        <v>100</v>
      </c>
      <c r="AP91" s="10">
        <v>100</v>
      </c>
      <c r="AQ91" s="11">
        <f t="shared" si="64"/>
        <v>100</v>
      </c>
      <c r="AR91" s="10">
        <v>100</v>
      </c>
      <c r="AS91" s="56">
        <f t="shared" si="29"/>
        <v>2</v>
      </c>
      <c r="AU91" s="11">
        <f ca="1">IFERROR(OFFSET(ITEM_RES!$A$1,MATCH(AV91,ITEM_RES!$J:$J,0)-1,0),0)</f>
        <v>211020301</v>
      </c>
      <c r="AV91" s="10" t="s">
        <v>394</v>
      </c>
      <c r="AW91" s="11">
        <v>540000</v>
      </c>
      <c r="AZ91" s="11">
        <f ca="1">IFERROR(OFFSET(ITEM_RES!$A$1,MATCH(BA91,ITEM_RES!$J:$J,0)-1,0),0)</f>
        <v>211020401</v>
      </c>
      <c r="BA91" s="10" t="s">
        <v>436</v>
      </c>
      <c r="BB91" s="11">
        <v>1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O91" s="11">
        <f ca="1">IFERROR(OFFSET(ITEM_RES!$A$1,MATCH(BP91,ITEM_RES!$J:$J,0)-1,0),0)</f>
        <v>0</v>
      </c>
      <c r="BQ91" s="11">
        <f t="shared" si="62"/>
        <v>0</v>
      </c>
    </row>
    <row r="92" spans="1:70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369</v>
      </c>
      <c r="M92" s="9" t="s">
        <v>947</v>
      </c>
      <c r="N92" s="9" t="s">
        <v>967</v>
      </c>
      <c r="O92" s="9">
        <v>1</v>
      </c>
      <c r="P92" s="9">
        <v>15</v>
      </c>
      <c r="Q92" s="9" t="s">
        <v>792</v>
      </c>
      <c r="U92" s="9" t="s">
        <v>725</v>
      </c>
      <c r="W92" s="85" t="s">
        <v>543</v>
      </c>
      <c r="X92" s="9">
        <f ca="1">IFERROR(OFFSET(ITEM_RES!$A$5,MATCH(BUILDING!W92,ITEM_RES!$J$5:$J$226,0)-1,0),0)</f>
        <v>211021101</v>
      </c>
      <c r="Y92" s="11">
        <v>100</v>
      </c>
      <c r="Z92" s="85" t="s">
        <v>542</v>
      </c>
      <c r="AA92" s="9">
        <f ca="1">IFERROR(OFFSET(ITEM_RES!$A$5,MATCH(BUILDING!Z92,ITEM_RES!$J$5:$J$226,0)-1,0),0)</f>
        <v>211010401</v>
      </c>
      <c r="AC92" s="9" t="s">
        <v>512</v>
      </c>
      <c r="AD92" s="9">
        <v>8</v>
      </c>
      <c r="AF92" s="11">
        <f ca="1">IFERROR(OFFSET(MANOR_LEVEL!$B$1,MATCH(AG92-1,MANOR_LEVEL!$A:$A,0)-1,0),0)</f>
        <v>796000</v>
      </c>
      <c r="AG92" s="56">
        <v>12</v>
      </c>
      <c r="AI92" s="56">
        <f t="shared" ca="1" si="63"/>
        <v>200200</v>
      </c>
      <c r="AJ92" s="10">
        <f ca="1">AO92+AQ92+(IFERROR(OFFSET(ITEM_RES!$S$1,MATCH(AU92,ITEM_RES!$A:$A,0)-1,0),0)*AW92+IFERROR(OFFSET(ITEM_RES!$S$1,MATCH(AZ92,ITEM_RES!$A:$A,0)-1,0),0)*BB92+IFERROR(OFFSET(ITEM_RES!$S$1,MATCH(BE92,ITEM_RES!$A:$A,0)-1,0),0)*BG92+IFERROR(OFFSET(ITEM_RES!$S$1,MATCH(BJ92,ITEM_RES!$A:$A,0)-1,0),0)*BL92+IFERROR(OFFSET(ITEM_RES!$S$1,MATCH(BO92,ITEM_RES!$A:$A,0)-1,0),0)*BQ92)/1000</f>
        <v>200200.01</v>
      </c>
      <c r="AK92" s="183">
        <f t="shared" ca="1" si="58"/>
        <v>308400</v>
      </c>
      <c r="AM92" s="11">
        <f t="shared" si="24"/>
        <v>40</v>
      </c>
      <c r="AN92" s="10">
        <v>40</v>
      </c>
      <c r="AO92" s="11">
        <f t="shared" si="64"/>
        <v>100</v>
      </c>
      <c r="AP92" s="10">
        <v>100</v>
      </c>
      <c r="AQ92" s="11">
        <f t="shared" si="64"/>
        <v>100</v>
      </c>
      <c r="AR92" s="10">
        <v>100</v>
      </c>
      <c r="AS92" s="56">
        <f t="shared" si="29"/>
        <v>2</v>
      </c>
      <c r="AU92" s="11">
        <f ca="1">IFERROR(OFFSET(ITEM_RES!$A$1,MATCH(AV92,ITEM_RES!$J:$J,0)-1,0),0)</f>
        <v>211020301</v>
      </c>
      <c r="AV92" s="10" t="s">
        <v>394</v>
      </c>
      <c r="AW92" s="11">
        <v>1000000</v>
      </c>
      <c r="AZ92" s="11">
        <f ca="1">IFERROR(OFFSET(ITEM_RES!$A$1,MATCH(BA92,ITEM_RES!$J:$J,0)-1,0),0)</f>
        <v>211020401</v>
      </c>
      <c r="BA92" s="10" t="s">
        <v>436</v>
      </c>
      <c r="BB92" s="11">
        <v>1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O92" s="11">
        <f ca="1">IFERROR(OFFSET(ITEM_RES!$A$1,MATCH(BP92,ITEM_RES!$J:$J,0)-1,0),0)</f>
        <v>0</v>
      </c>
      <c r="BQ92" s="11">
        <f t="shared" si="62"/>
        <v>0</v>
      </c>
    </row>
    <row r="93" spans="1:70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369</v>
      </c>
      <c r="M93" s="9" t="s">
        <v>947</v>
      </c>
      <c r="N93" s="9" t="s">
        <v>967</v>
      </c>
      <c r="O93" s="9">
        <v>1</v>
      </c>
      <c r="P93" s="9">
        <v>15</v>
      </c>
      <c r="Q93" s="9" t="s">
        <v>792</v>
      </c>
      <c r="U93" s="9" t="s">
        <v>725</v>
      </c>
      <c r="W93" s="85" t="s">
        <v>543</v>
      </c>
      <c r="X93" s="9">
        <f ca="1">IFERROR(OFFSET(ITEM_RES!$A$5,MATCH(BUILDING!W93,ITEM_RES!$J$5:$J$226,0)-1,0),0)</f>
        <v>211021101</v>
      </c>
      <c r="Y93" s="11">
        <v>100</v>
      </c>
      <c r="Z93" s="85" t="s">
        <v>542</v>
      </c>
      <c r="AA93" s="9">
        <f ca="1">IFERROR(OFFSET(ITEM_RES!$A$5,MATCH(BUILDING!Z93,ITEM_RES!$J$5:$J$226,0)-1,0),0)</f>
        <v>211010401</v>
      </c>
      <c r="AC93" s="9" t="s">
        <v>512</v>
      </c>
      <c r="AD93" s="9">
        <v>9</v>
      </c>
      <c r="AF93" s="11">
        <f ca="1">IFERROR(OFFSET(MANOR_LEVEL!$B$1,MATCH(AG93-1,MANOR_LEVEL!$A:$A,0)-1,0),0)</f>
        <v>796000</v>
      </c>
      <c r="AG93" s="56">
        <v>12</v>
      </c>
      <c r="AI93" s="56">
        <f t="shared" ca="1" si="63"/>
        <v>316300</v>
      </c>
      <c r="AJ93" s="10">
        <f ca="1">AO93+AQ93+(IFERROR(OFFSET(ITEM_RES!$S$1,MATCH(AU93,ITEM_RES!$A:$A,0)-1,0),0)*AW93+IFERROR(OFFSET(ITEM_RES!$S$1,MATCH(AZ93,ITEM_RES!$A:$A,0)-1,0),0)*BB93+IFERROR(OFFSET(ITEM_RES!$S$1,MATCH(BE93,ITEM_RES!$A:$A,0)-1,0),0)*BG93+IFERROR(OFFSET(ITEM_RES!$S$1,MATCH(BJ93,ITEM_RES!$A:$A,0)-1,0),0)*BL93+IFERROR(OFFSET(ITEM_RES!$S$1,MATCH(BO93,ITEM_RES!$A:$A,0)-1,0),0)*BQ93)/1000</f>
        <v>316300.01</v>
      </c>
      <c r="AK93" s="183">
        <f t="shared" ca="1" si="58"/>
        <v>516500</v>
      </c>
      <c r="AM93" s="11">
        <f t="shared" si="24"/>
        <v>45</v>
      </c>
      <c r="AN93" s="10">
        <v>45</v>
      </c>
      <c r="AO93" s="11">
        <f t="shared" si="64"/>
        <v>150</v>
      </c>
      <c r="AP93" s="10">
        <v>150</v>
      </c>
      <c r="AQ93" s="11">
        <f t="shared" si="64"/>
        <v>150</v>
      </c>
      <c r="AR93" s="10">
        <v>150</v>
      </c>
      <c r="AS93" s="56">
        <f t="shared" si="29"/>
        <v>2</v>
      </c>
      <c r="AU93" s="11">
        <f ca="1">IFERROR(OFFSET(ITEM_RES!$A$1,MATCH(AV93,ITEM_RES!$J:$J,0)-1,0),0)</f>
        <v>211020301</v>
      </c>
      <c r="AV93" s="10" t="s">
        <v>394</v>
      </c>
      <c r="AW93" s="11">
        <v>1580000</v>
      </c>
      <c r="AZ93" s="11">
        <f ca="1">IFERROR(OFFSET(ITEM_RES!$A$1,MATCH(BA93,ITEM_RES!$J:$J,0)-1,0),0)</f>
        <v>211020401</v>
      </c>
      <c r="BA93" s="10" t="s">
        <v>436</v>
      </c>
      <c r="BB93" s="11">
        <v>1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O93" s="11">
        <f ca="1">IFERROR(OFFSET(ITEM_RES!$A$1,MATCH(BP93,ITEM_RES!$J:$J,0)-1,0),0)</f>
        <v>0</v>
      </c>
      <c r="BQ93" s="11">
        <f t="shared" si="62"/>
        <v>0</v>
      </c>
    </row>
    <row r="94" spans="1:70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369</v>
      </c>
      <c r="M94" s="9" t="s">
        <v>947</v>
      </c>
      <c r="N94" s="9" t="s">
        <v>967</v>
      </c>
      <c r="O94" s="9">
        <v>1</v>
      </c>
      <c r="P94" s="9">
        <v>15</v>
      </c>
      <c r="Q94" s="9" t="s">
        <v>792</v>
      </c>
      <c r="U94" s="9" t="s">
        <v>725</v>
      </c>
      <c r="W94" s="85" t="s">
        <v>543</v>
      </c>
      <c r="X94" s="9">
        <f ca="1">IFERROR(OFFSET(ITEM_RES!$A$5,MATCH(BUILDING!W94,ITEM_RES!$J$5:$J$226,0)-1,0),0)</f>
        <v>211021101</v>
      </c>
      <c r="Y94" s="11">
        <v>100</v>
      </c>
      <c r="Z94" s="85" t="s">
        <v>542</v>
      </c>
      <c r="AA94" s="9">
        <f ca="1">IFERROR(OFFSET(ITEM_RES!$A$5,MATCH(BUILDING!Z94,ITEM_RES!$J$5:$J$226,0)-1,0),0)</f>
        <v>211010401</v>
      </c>
      <c r="AC94" s="9" t="s">
        <v>512</v>
      </c>
      <c r="AD94" s="9">
        <v>10</v>
      </c>
      <c r="AF94" s="11">
        <f ca="1">IFERROR(OFFSET(MANOR_LEVEL!$B$1,MATCH(AG94-1,MANOR_LEVEL!$A:$A,0)-1,0),0)</f>
        <v>796000</v>
      </c>
      <c r="AG94" s="56">
        <v>12</v>
      </c>
      <c r="AI94" s="56">
        <f t="shared" ca="1" si="63"/>
        <v>440400</v>
      </c>
      <c r="AJ94" s="10">
        <f ca="1">AO94+AQ94+(IFERROR(OFFSET(ITEM_RES!$S$1,MATCH(AU94,ITEM_RES!$A:$A,0)-1,0),0)*AW94+IFERROR(OFFSET(ITEM_RES!$S$1,MATCH(AZ94,ITEM_RES!$A:$A,0)-1,0),0)*BB94+IFERROR(OFFSET(ITEM_RES!$S$1,MATCH(BE94,ITEM_RES!$A:$A,0)-1,0),0)*BG94+IFERROR(OFFSET(ITEM_RES!$S$1,MATCH(BJ94,ITEM_RES!$A:$A,0)-1,0),0)*BL94+IFERROR(OFFSET(ITEM_RES!$S$1,MATCH(BO94,ITEM_RES!$A:$A,0)-1,0),0)*BQ94)/1000</f>
        <v>440400.01</v>
      </c>
      <c r="AK94" s="183">
        <f t="shared" ca="1" si="58"/>
        <v>756700</v>
      </c>
      <c r="AM94" s="11">
        <f t="shared" si="24"/>
        <v>50</v>
      </c>
      <c r="AN94" s="10">
        <v>50</v>
      </c>
      <c r="AO94" s="11">
        <f t="shared" si="64"/>
        <v>200</v>
      </c>
      <c r="AP94" s="10">
        <v>200</v>
      </c>
      <c r="AQ94" s="11">
        <f t="shared" si="64"/>
        <v>200</v>
      </c>
      <c r="AR94" s="10">
        <v>200</v>
      </c>
      <c r="AS94" s="56">
        <f t="shared" si="29"/>
        <v>2</v>
      </c>
      <c r="AU94" s="11">
        <f ca="1">IFERROR(OFFSET(ITEM_RES!$A$1,MATCH(AV94,ITEM_RES!$J:$J,0)-1,0),0)</f>
        <v>211020301</v>
      </c>
      <c r="AV94" s="10" t="s">
        <v>394</v>
      </c>
      <c r="AW94" s="11">
        <v>2200000</v>
      </c>
      <c r="AZ94" s="11">
        <f ca="1">IFERROR(OFFSET(ITEM_RES!$A$1,MATCH(BA94,ITEM_RES!$J:$J,0)-1,0),0)</f>
        <v>211020401</v>
      </c>
      <c r="BA94" s="10" t="s">
        <v>436</v>
      </c>
      <c r="BB94" s="11">
        <v>1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O94" s="11">
        <f ca="1">IFERROR(OFFSET(ITEM_RES!$A$1,MATCH(BP94,ITEM_RES!$J:$J,0)-1,0),0)</f>
        <v>0</v>
      </c>
      <c r="BQ94" s="11">
        <f t="shared" si="62"/>
        <v>0</v>
      </c>
    </row>
    <row r="95" spans="1:70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369</v>
      </c>
      <c r="M95" s="9" t="s">
        <v>947</v>
      </c>
      <c r="N95" s="9" t="s">
        <v>967</v>
      </c>
      <c r="O95" s="9">
        <v>1</v>
      </c>
      <c r="P95" s="9">
        <v>15</v>
      </c>
      <c r="Q95" s="9" t="s">
        <v>792</v>
      </c>
      <c r="U95" s="9" t="s">
        <v>725</v>
      </c>
      <c r="W95" s="85" t="s">
        <v>543</v>
      </c>
      <c r="X95" s="9">
        <f ca="1">IFERROR(OFFSET(ITEM_RES!$A$5,MATCH(BUILDING!W95,ITEM_RES!$J$5:$J$226,0)-1,0),0)</f>
        <v>211021101</v>
      </c>
      <c r="Y95" s="11">
        <v>100</v>
      </c>
      <c r="Z95" s="85" t="s">
        <v>542</v>
      </c>
      <c r="AA95" s="9">
        <f ca="1">IFERROR(OFFSET(ITEM_RES!$A$5,MATCH(BUILDING!Z95,ITEM_RES!$J$5:$J$226,0)-1,0),0)</f>
        <v>211010401</v>
      </c>
      <c r="AC95" s="9" t="s">
        <v>512</v>
      </c>
      <c r="AD95" s="9">
        <v>11</v>
      </c>
      <c r="AF95" s="11">
        <f ca="1">IFERROR(OFFSET(MANOR_LEVEL!$B$1,MATCH(AG95-1,MANOR_LEVEL!$A:$A,0)-1,0),0)</f>
        <v>796000</v>
      </c>
      <c r="AG95" s="56">
        <v>12</v>
      </c>
      <c r="AI95" s="56">
        <f t="shared" ca="1" si="63"/>
        <v>880500</v>
      </c>
      <c r="AJ95" s="10">
        <f ca="1">AO95+AQ95+(IFERROR(OFFSET(ITEM_RES!$S$1,MATCH(AU95,ITEM_RES!$A:$A,0)-1,0),0)*AW95+IFERROR(OFFSET(ITEM_RES!$S$1,MATCH(AZ95,ITEM_RES!$A:$A,0)-1,0),0)*BB95+IFERROR(OFFSET(ITEM_RES!$S$1,MATCH(BE95,ITEM_RES!$A:$A,0)-1,0),0)*BG95+IFERROR(OFFSET(ITEM_RES!$S$1,MATCH(BJ95,ITEM_RES!$A:$A,0)-1,0),0)*BL95+IFERROR(OFFSET(ITEM_RES!$S$1,MATCH(BO95,ITEM_RES!$A:$A,0)-1,0),0)*BQ95)/1000</f>
        <v>880500.01</v>
      </c>
      <c r="AK95" s="183">
        <f t="shared" ca="1" si="58"/>
        <v>1320900</v>
      </c>
      <c r="AM95" s="11">
        <f t="shared" si="24"/>
        <v>55</v>
      </c>
      <c r="AN95" s="10">
        <v>55</v>
      </c>
      <c r="AO95" s="11">
        <f t="shared" si="64"/>
        <v>250</v>
      </c>
      <c r="AP95" s="10">
        <v>250</v>
      </c>
      <c r="AQ95" s="11">
        <f t="shared" si="64"/>
        <v>250</v>
      </c>
      <c r="AR95" s="10">
        <v>250</v>
      </c>
      <c r="AS95" s="56">
        <f t="shared" si="29"/>
        <v>2</v>
      </c>
      <c r="AU95" s="11">
        <f ca="1">IFERROR(OFFSET(ITEM_RES!$A$1,MATCH(AV95,ITEM_RES!$J:$J,0)-1,0),0)</f>
        <v>211020301</v>
      </c>
      <c r="AV95" s="10" t="s">
        <v>394</v>
      </c>
      <c r="AW95" s="11">
        <v>4400000</v>
      </c>
      <c r="AZ95" s="11">
        <f ca="1">IFERROR(OFFSET(ITEM_RES!$A$1,MATCH(BA95,ITEM_RES!$J:$J,0)-1,0),0)</f>
        <v>211020401</v>
      </c>
      <c r="BA95" s="10" t="s">
        <v>436</v>
      </c>
      <c r="BB95" s="11">
        <v>1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O95" s="11">
        <f ca="1">IFERROR(OFFSET(ITEM_RES!$A$1,MATCH(BP95,ITEM_RES!$J:$J,0)-1,0),0)</f>
        <v>0</v>
      </c>
      <c r="BQ95" s="11">
        <f t="shared" si="62"/>
        <v>0</v>
      </c>
    </row>
    <row r="96" spans="1:70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369</v>
      </c>
      <c r="M96" s="9" t="s">
        <v>947</v>
      </c>
      <c r="N96" s="9" t="s">
        <v>967</v>
      </c>
      <c r="O96" s="9">
        <v>1</v>
      </c>
      <c r="P96" s="9">
        <v>15</v>
      </c>
      <c r="Q96" s="9" t="s">
        <v>792</v>
      </c>
      <c r="U96" s="9" t="s">
        <v>725</v>
      </c>
      <c r="W96" s="85" t="s">
        <v>543</v>
      </c>
      <c r="X96" s="9">
        <f ca="1">IFERROR(OFFSET(ITEM_RES!$A$5,MATCH(BUILDING!W96,ITEM_RES!$J$5:$J$226,0)-1,0),0)</f>
        <v>211021101</v>
      </c>
      <c r="Y96" s="11">
        <v>100</v>
      </c>
      <c r="Z96" s="85" t="s">
        <v>542</v>
      </c>
      <c r="AA96" s="9">
        <f ca="1">IFERROR(OFFSET(ITEM_RES!$A$5,MATCH(BUILDING!Z96,ITEM_RES!$J$5:$J$226,0)-1,0),0)</f>
        <v>211010401</v>
      </c>
      <c r="AC96" s="9" t="s">
        <v>512</v>
      </c>
      <c r="AD96" s="9">
        <v>12</v>
      </c>
      <c r="AF96" s="11">
        <f ca="1">IFERROR(OFFSET(MANOR_LEVEL!$B$1,MATCH(AG96-1,MANOR_LEVEL!$A:$A,0)-1,0),0)</f>
        <v>796000</v>
      </c>
      <c r="AG96" s="56">
        <v>12</v>
      </c>
      <c r="AI96" s="56">
        <f t="shared" ca="1" si="63"/>
        <v>1041100</v>
      </c>
      <c r="AJ96" s="10">
        <f ca="1">AO96+AQ96+(IFERROR(OFFSET(ITEM_RES!$S$1,MATCH(AU96,ITEM_RES!$A:$A,0)-1,0),0)*AW96+IFERROR(OFFSET(ITEM_RES!$S$1,MATCH(AZ96,ITEM_RES!$A:$A,0)-1,0),0)*BB96+IFERROR(OFFSET(ITEM_RES!$S$1,MATCH(BE96,ITEM_RES!$A:$A,0)-1,0),0)*BG96+IFERROR(OFFSET(ITEM_RES!$S$1,MATCH(BJ96,ITEM_RES!$A:$A,0)-1,0),0)*BL96+IFERROR(OFFSET(ITEM_RES!$S$1,MATCH(BO96,ITEM_RES!$A:$A,0)-1,0),0)*BQ96)/1000</f>
        <v>1041100.01</v>
      </c>
      <c r="AK96" s="183">
        <f t="shared" ca="1" si="58"/>
        <v>1921600</v>
      </c>
      <c r="AM96" s="11">
        <f t="shared" si="24"/>
        <v>60</v>
      </c>
      <c r="AN96" s="10">
        <v>60</v>
      </c>
      <c r="AO96" s="11">
        <f t="shared" si="64"/>
        <v>300</v>
      </c>
      <c r="AP96" s="10">
        <v>300</v>
      </c>
      <c r="AQ96" s="11">
        <f t="shared" si="64"/>
        <v>300</v>
      </c>
      <c r="AR96" s="10">
        <v>300</v>
      </c>
      <c r="AS96" s="56">
        <f t="shared" si="29"/>
        <v>3</v>
      </c>
      <c r="AU96" s="11">
        <f ca="1">IFERROR(OFFSET(ITEM_RES!$A$1,MATCH(AV96,ITEM_RES!$J:$J,0)-1,0),0)</f>
        <v>211020301</v>
      </c>
      <c r="AV96" s="10" t="s">
        <v>394</v>
      </c>
      <c r="AW96" s="11">
        <v>5200000</v>
      </c>
      <c r="AZ96" s="11">
        <f ca="1">IFERROR(OFFSET(ITEM_RES!$A$1,MATCH(BA96,ITEM_RES!$J:$J,0)-1,0),0)</f>
        <v>211020401</v>
      </c>
      <c r="BA96" s="10" t="s">
        <v>436</v>
      </c>
      <c r="BB96" s="11">
        <v>1</v>
      </c>
      <c r="BE96" s="11">
        <f ca="1">IFERROR(OFFSET(ITEM_RES!$A$1,MATCH(BF96,ITEM_RES!$J:$J,0)-1,0),0)</f>
        <v>0</v>
      </c>
      <c r="BJ96" s="11">
        <f ca="1">IFERROR(OFFSET(ITEM_RES!$A$1,MATCH(BK96,ITEM_RES!$J:$J,0)-1,0),0)</f>
        <v>213010701</v>
      </c>
      <c r="BK96" s="10" t="s">
        <v>461</v>
      </c>
      <c r="BL96" s="11">
        <v>1</v>
      </c>
      <c r="BO96" s="11">
        <f ca="1">IFERROR(OFFSET(ITEM_RES!$A$1,MATCH(BP96,ITEM_RES!$J:$J,0)-1,0),0)</f>
        <v>0</v>
      </c>
      <c r="BQ96" s="11">
        <f t="shared" si="62"/>
        <v>0</v>
      </c>
    </row>
    <row r="97" spans="1:70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369</v>
      </c>
      <c r="M97" s="9" t="s">
        <v>947</v>
      </c>
      <c r="N97" s="9" t="s">
        <v>967</v>
      </c>
      <c r="O97" s="9">
        <v>1</v>
      </c>
      <c r="P97" s="9">
        <v>15</v>
      </c>
      <c r="Q97" s="9" t="s">
        <v>792</v>
      </c>
      <c r="U97" s="9" t="s">
        <v>725</v>
      </c>
      <c r="W97" s="85" t="s">
        <v>543</v>
      </c>
      <c r="X97" s="9">
        <f ca="1">IFERROR(OFFSET(ITEM_RES!$A$5,MATCH(BUILDING!W97,ITEM_RES!$J$5:$J$226,0)-1,0),0)</f>
        <v>211021101</v>
      </c>
      <c r="Y97" s="11">
        <v>100</v>
      </c>
      <c r="Z97" s="85" t="s">
        <v>542</v>
      </c>
      <c r="AA97" s="9">
        <f ca="1">IFERROR(OFFSET(ITEM_RES!$A$5,MATCH(BUILDING!Z97,ITEM_RES!$J$5:$J$226,0)-1,0),0)</f>
        <v>211010401</v>
      </c>
      <c r="AC97" s="9" t="s">
        <v>512</v>
      </c>
      <c r="AD97" s="9">
        <v>13</v>
      </c>
      <c r="AF97" s="11">
        <f ca="1">IFERROR(OFFSET(MANOR_LEVEL!$B$1,MATCH(AG97-1,MANOR_LEVEL!$A:$A,0)-1,0),0)</f>
        <v>796000</v>
      </c>
      <c r="AG97" s="56">
        <v>12</v>
      </c>
      <c r="AI97" s="56">
        <f t="shared" ca="1" si="63"/>
        <v>1720700</v>
      </c>
      <c r="AJ97" s="10">
        <f ca="1">AO97+AQ97+(IFERROR(OFFSET(ITEM_RES!$S$1,MATCH(AU97,ITEM_RES!$A:$A,0)-1,0),0)*AW97+IFERROR(OFFSET(ITEM_RES!$S$1,MATCH(AZ97,ITEM_RES!$A:$A,0)-1,0),0)*BB97+IFERROR(OFFSET(ITEM_RES!$S$1,MATCH(BE97,ITEM_RES!$A:$A,0)-1,0),0)*BG97+IFERROR(OFFSET(ITEM_RES!$S$1,MATCH(BJ97,ITEM_RES!$A:$A,0)-1,0),0)*BL97+IFERROR(OFFSET(ITEM_RES!$S$1,MATCH(BO97,ITEM_RES!$A:$A,0)-1,0),0)*BQ97)/1000</f>
        <v>1720700.01</v>
      </c>
      <c r="AK97" s="183">
        <f t="shared" ca="1" si="58"/>
        <v>2761800</v>
      </c>
      <c r="AM97" s="11">
        <f t="shared" si="24"/>
        <v>65</v>
      </c>
      <c r="AN97" s="10">
        <v>65</v>
      </c>
      <c r="AO97" s="11">
        <f t="shared" si="64"/>
        <v>350</v>
      </c>
      <c r="AP97" s="10">
        <v>350</v>
      </c>
      <c r="AQ97" s="11">
        <f t="shared" si="64"/>
        <v>350</v>
      </c>
      <c r="AR97" s="10">
        <v>350</v>
      </c>
      <c r="AS97" s="56">
        <f t="shared" si="29"/>
        <v>2</v>
      </c>
      <c r="AU97" s="11">
        <f ca="1">IFERROR(OFFSET(ITEM_RES!$A$1,MATCH(AV97,ITEM_RES!$J:$J,0)-1,0),0)</f>
        <v>211020301</v>
      </c>
      <c r="AV97" s="10" t="s">
        <v>394</v>
      </c>
      <c r="AW97" s="11">
        <v>8600000</v>
      </c>
      <c r="AZ97" s="11">
        <f ca="1">IFERROR(OFFSET(ITEM_RES!$A$1,MATCH(BA97,ITEM_RES!$J:$J,0)-1,0),0)</f>
        <v>211020401</v>
      </c>
      <c r="BA97" s="10" t="s">
        <v>436</v>
      </c>
      <c r="BB97" s="11">
        <v>1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O97" s="11">
        <f ca="1">IFERROR(OFFSET(ITEM_RES!$A$1,MATCH(BP97,ITEM_RES!$J:$J,0)-1,0),0)</f>
        <v>0</v>
      </c>
      <c r="BQ97" s="11">
        <f t="shared" si="62"/>
        <v>0</v>
      </c>
    </row>
    <row r="98" spans="1:70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369</v>
      </c>
      <c r="M98" s="9" t="s">
        <v>947</v>
      </c>
      <c r="N98" s="9" t="s">
        <v>967</v>
      </c>
      <c r="O98" s="9">
        <v>1</v>
      </c>
      <c r="P98" s="9">
        <v>15</v>
      </c>
      <c r="Q98" s="9" t="s">
        <v>792</v>
      </c>
      <c r="U98" s="9" t="s">
        <v>725</v>
      </c>
      <c r="W98" s="85" t="s">
        <v>543</v>
      </c>
      <c r="X98" s="9">
        <f ca="1">IFERROR(OFFSET(ITEM_RES!$A$5,MATCH(BUILDING!W98,ITEM_RES!$J$5:$J$226,0)-1,0),0)</f>
        <v>211021101</v>
      </c>
      <c r="Y98" s="11">
        <v>100</v>
      </c>
      <c r="Z98" s="85" t="s">
        <v>542</v>
      </c>
      <c r="AA98" s="9">
        <f ca="1">IFERROR(OFFSET(ITEM_RES!$A$5,MATCH(BUILDING!Z98,ITEM_RES!$J$5:$J$226,0)-1,0),0)</f>
        <v>211010401</v>
      </c>
      <c r="AC98" s="9" t="s">
        <v>512</v>
      </c>
      <c r="AD98" s="9">
        <v>14</v>
      </c>
      <c r="AF98" s="11">
        <f ca="1">IFERROR(OFFSET(MANOR_LEVEL!$B$1,MATCH(AG98-1,MANOR_LEVEL!$A:$A,0)-1,0),0)</f>
        <v>796000</v>
      </c>
      <c r="AG98" s="56">
        <v>12</v>
      </c>
      <c r="AI98" s="56">
        <f t="shared" ca="1" si="63"/>
        <v>2640900</v>
      </c>
      <c r="AJ98" s="10">
        <f ca="1">AO98+AQ98+(IFERROR(OFFSET(ITEM_RES!$S$1,MATCH(AU98,ITEM_RES!$A:$A,0)-1,0),0)*AW98+IFERROR(OFFSET(ITEM_RES!$S$1,MATCH(AZ98,ITEM_RES!$A:$A,0)-1,0),0)*BB98+IFERROR(OFFSET(ITEM_RES!$S$1,MATCH(BE98,ITEM_RES!$A:$A,0)-1,0),0)*BG98+IFERROR(OFFSET(ITEM_RES!$S$1,MATCH(BJ98,ITEM_RES!$A:$A,0)-1,0),0)*BL98+IFERROR(OFFSET(ITEM_RES!$S$1,MATCH(BO98,ITEM_RES!$A:$A,0)-1,0),0)*BQ98)/1000</f>
        <v>2640900.0099999998</v>
      </c>
      <c r="AK98" s="183">
        <f t="shared" ca="1" si="58"/>
        <v>4361600</v>
      </c>
      <c r="AM98" s="11">
        <f t="shared" si="24"/>
        <v>70</v>
      </c>
      <c r="AN98" s="10">
        <v>70</v>
      </c>
      <c r="AO98" s="11">
        <f t="shared" si="64"/>
        <v>450</v>
      </c>
      <c r="AP98" s="10">
        <v>450</v>
      </c>
      <c r="AQ98" s="11">
        <f t="shared" si="64"/>
        <v>450</v>
      </c>
      <c r="AR98" s="10">
        <v>450</v>
      </c>
      <c r="AS98" s="56">
        <f t="shared" si="29"/>
        <v>2</v>
      </c>
      <c r="AU98" s="11">
        <f ca="1">IFERROR(OFFSET(ITEM_RES!$A$1,MATCH(AV98,ITEM_RES!$J:$J,0)-1,0),0)</f>
        <v>211020301</v>
      </c>
      <c r="AV98" s="10" t="s">
        <v>394</v>
      </c>
      <c r="AW98" s="11">
        <v>13200000</v>
      </c>
      <c r="AZ98" s="11">
        <f ca="1">IFERROR(OFFSET(ITEM_RES!$A$1,MATCH(BA98,ITEM_RES!$J:$J,0)-1,0),0)</f>
        <v>211020401</v>
      </c>
      <c r="BA98" s="10" t="s">
        <v>436</v>
      </c>
      <c r="BB98" s="11">
        <v>1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O98" s="11">
        <f ca="1">IFERROR(OFFSET(ITEM_RES!$A$1,MATCH(BP98,ITEM_RES!$J:$J,0)-1,0),0)</f>
        <v>0</v>
      </c>
      <c r="BQ98" s="11">
        <f t="shared" si="62"/>
        <v>0</v>
      </c>
    </row>
    <row r="99" spans="1:70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369</v>
      </c>
      <c r="M99" s="9" t="s">
        <v>947</v>
      </c>
      <c r="N99" s="9" t="s">
        <v>967</v>
      </c>
      <c r="O99" s="9">
        <v>1</v>
      </c>
      <c r="P99" s="9">
        <v>15</v>
      </c>
      <c r="Q99" s="9" t="s">
        <v>792</v>
      </c>
      <c r="U99" s="9" t="s">
        <v>725</v>
      </c>
      <c r="W99" s="85" t="s">
        <v>543</v>
      </c>
      <c r="X99" s="9">
        <f ca="1">IFERROR(OFFSET(ITEM_RES!$A$5,MATCH(BUILDING!W99,ITEM_RES!$J$5:$J$226,0)-1,0),0)</f>
        <v>211021101</v>
      </c>
      <c r="Y99" s="11">
        <v>100</v>
      </c>
      <c r="Z99" s="85" t="s">
        <v>542</v>
      </c>
      <c r="AA99" s="9">
        <f ca="1">IFERROR(OFFSET(ITEM_RES!$A$5,MATCH(BUILDING!Z99,ITEM_RES!$J$5:$J$226,0)-1,0),0)</f>
        <v>211010401</v>
      </c>
      <c r="AC99" s="9" t="s">
        <v>512</v>
      </c>
      <c r="AD99" s="9">
        <v>15</v>
      </c>
      <c r="AF99" s="11">
        <f ca="1">IFERROR(OFFSET(MANOR_LEVEL!$B$1,MATCH(AG99-1,MANOR_LEVEL!$A:$A,0)-1,0),0)</f>
        <v>796000</v>
      </c>
      <c r="AG99" s="56">
        <v>12</v>
      </c>
      <c r="AI99" s="56">
        <f t="shared" ca="1" si="63"/>
        <v>4401100</v>
      </c>
      <c r="AJ99" s="10">
        <f ca="1">AO99+AQ99+(IFERROR(OFFSET(ITEM_RES!$S$1,MATCH(AU99,ITEM_RES!$A:$A,0)-1,0),0)*AW99+IFERROR(OFFSET(ITEM_RES!$S$1,MATCH(AZ99,ITEM_RES!$A:$A,0)-1,0),0)*BB99+IFERROR(OFFSET(ITEM_RES!$S$1,MATCH(BE99,ITEM_RES!$A:$A,0)-1,0),0)*BG99+IFERROR(OFFSET(ITEM_RES!$S$1,MATCH(BJ99,ITEM_RES!$A:$A,0)-1,0),0)*BL99+IFERROR(OFFSET(ITEM_RES!$S$1,MATCH(BO99,ITEM_RES!$A:$A,0)-1,0),0)*BQ99)/1000</f>
        <v>4401100.2</v>
      </c>
      <c r="AK99" s="183">
        <f t="shared" ca="1" si="58"/>
        <v>7042000</v>
      </c>
      <c r="AM99" s="11">
        <f t="shared" si="24"/>
        <v>75</v>
      </c>
      <c r="AN99" s="10">
        <v>75</v>
      </c>
      <c r="AO99" s="11">
        <f t="shared" si="64"/>
        <v>550</v>
      </c>
      <c r="AP99" s="10">
        <v>550</v>
      </c>
      <c r="AQ99" s="11">
        <f t="shared" si="64"/>
        <v>550</v>
      </c>
      <c r="AR99" s="10">
        <v>550</v>
      </c>
      <c r="AS99" s="56">
        <f t="shared" si="29"/>
        <v>2</v>
      </c>
      <c r="AU99" s="11">
        <f ca="1">IFERROR(OFFSET(ITEM_RES!$A$1,MATCH(AV99,ITEM_RES!$J:$J,0)-1,0),0)</f>
        <v>211020301</v>
      </c>
      <c r="AV99" s="10" t="s">
        <v>394</v>
      </c>
      <c r="AW99" s="11">
        <v>22000000</v>
      </c>
      <c r="AZ99" s="11">
        <f ca="1">IFERROR(OFFSET(ITEM_RES!$A$1,MATCH(BA99,ITEM_RES!$J:$J,0)-1,0),0)</f>
        <v>211020501</v>
      </c>
      <c r="BA99" s="10" t="s">
        <v>433</v>
      </c>
      <c r="BB99" s="11">
        <v>1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O99" s="11">
        <f ca="1">IFERROR(OFFSET(ITEM_RES!$A$1,MATCH(BP99,ITEM_RES!$J:$J,0)-1,0),0)</f>
        <v>0</v>
      </c>
      <c r="BQ99" s="11">
        <f t="shared" si="62"/>
        <v>0</v>
      </c>
    </row>
    <row r="100" spans="1:70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369</v>
      </c>
      <c r="M100" s="9" t="s">
        <v>947</v>
      </c>
      <c r="N100" s="9" t="s">
        <v>967</v>
      </c>
      <c r="O100" s="9">
        <v>0</v>
      </c>
      <c r="P100" s="9">
        <v>15</v>
      </c>
      <c r="Q100" s="9" t="s">
        <v>792</v>
      </c>
      <c r="U100" s="9" t="s">
        <v>725</v>
      </c>
      <c r="W100" s="85" t="s">
        <v>543</v>
      </c>
      <c r="X100" s="9">
        <f ca="1">IFERROR(OFFSET(ITEM_RES!$A$5,MATCH(BUILDING!W100,ITEM_RES!$J$5:$J$226,0)-1,0),0)</f>
        <v>211021101</v>
      </c>
      <c r="Y100" s="11">
        <v>100</v>
      </c>
      <c r="Z100" s="85" t="s">
        <v>542</v>
      </c>
      <c r="AA100" s="9">
        <f ca="1">IFERROR(OFFSET(ITEM_RES!$A$5,MATCH(BUILDING!Z100,ITEM_RES!$J$5:$J$226,0)-1,0),0)</f>
        <v>211010401</v>
      </c>
      <c r="AC100" s="9" t="s">
        <v>512</v>
      </c>
      <c r="AD100" s="9">
        <v>16</v>
      </c>
      <c r="AF100" s="11">
        <f ca="1">IFERROR(OFFSET(MANOR_LEVEL!$B$1,MATCH(AG100-1,MANOR_LEVEL!$A:$A,0)-1,0),0)</f>
        <v>796000</v>
      </c>
      <c r="AG100" s="56">
        <v>12</v>
      </c>
      <c r="AI100" s="56">
        <f t="shared" ca="1" si="63"/>
        <v>6001400</v>
      </c>
      <c r="AJ100" s="10">
        <f ca="1">AO100+AQ100+(IFERROR(OFFSET(ITEM_RES!$S$1,MATCH(AU100,ITEM_RES!$A:$A,0)-1,0),0)*AW100+IFERROR(OFFSET(ITEM_RES!$S$1,MATCH(AZ100,ITEM_RES!$A:$A,0)-1,0),0)*BB100+IFERROR(OFFSET(ITEM_RES!$S$1,MATCH(BE100,ITEM_RES!$A:$A,0)-1,0),0)*BG100+IFERROR(OFFSET(ITEM_RES!$S$1,MATCH(BJ100,ITEM_RES!$A:$A,0)-1,0),0)*BL100+IFERROR(OFFSET(ITEM_RES!$S$1,MATCH(BO100,ITEM_RES!$A:$A,0)-1,0),0)*BQ100)/1000</f>
        <v>6001400.2000000002</v>
      </c>
      <c r="AK100" s="183">
        <f t="shared" ca="1" si="58"/>
        <v>10402500</v>
      </c>
      <c r="AM100" s="11">
        <f t="shared" si="24"/>
        <v>80</v>
      </c>
      <c r="AN100" s="10">
        <v>80</v>
      </c>
      <c r="AO100" s="11">
        <f t="shared" si="64"/>
        <v>700</v>
      </c>
      <c r="AP100" s="10">
        <v>700</v>
      </c>
      <c r="AQ100" s="11">
        <f t="shared" si="64"/>
        <v>700</v>
      </c>
      <c r="AR100" s="10">
        <v>700</v>
      </c>
      <c r="AS100" s="56">
        <f t="shared" si="29"/>
        <v>2</v>
      </c>
      <c r="AU100" s="11">
        <f ca="1">IFERROR(OFFSET(ITEM_RES!$A$1,MATCH(AV100,ITEM_RES!$J:$J,0)-1,0),0)</f>
        <v>211020301</v>
      </c>
      <c r="AV100" s="10" t="s">
        <v>394</v>
      </c>
      <c r="AW100" s="11">
        <v>30000000</v>
      </c>
      <c r="AZ100" s="11">
        <f ca="1">IFERROR(OFFSET(ITEM_RES!$A$1,MATCH(BA100,ITEM_RES!$J:$J,0)-1,0),0)</f>
        <v>211020501</v>
      </c>
      <c r="BA100" s="10" t="s">
        <v>433</v>
      </c>
      <c r="BB100" s="11">
        <v>1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O100" s="11">
        <f ca="1">IFERROR(OFFSET(ITEM_RES!$A$1,MATCH(BP100,ITEM_RES!$J:$J,0)-1,0),0)</f>
        <v>0</v>
      </c>
      <c r="BQ100" s="11">
        <f t="shared" si="62"/>
        <v>0</v>
      </c>
    </row>
    <row r="101" spans="1:70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369</v>
      </c>
      <c r="M101" s="9" t="s">
        <v>947</v>
      </c>
      <c r="N101" s="9" t="s">
        <v>967</v>
      </c>
      <c r="O101" s="9">
        <v>0</v>
      </c>
      <c r="P101" s="9">
        <v>15</v>
      </c>
      <c r="Q101" s="9" t="s">
        <v>792</v>
      </c>
      <c r="U101" s="9" t="s">
        <v>725</v>
      </c>
      <c r="W101" s="85" t="s">
        <v>543</v>
      </c>
      <c r="X101" s="9">
        <f ca="1">IFERROR(OFFSET(ITEM_RES!$A$5,MATCH(BUILDING!W101,ITEM_RES!$J$5:$J$226,0)-1,0),0)</f>
        <v>211021101</v>
      </c>
      <c r="Y101" s="11">
        <v>100</v>
      </c>
      <c r="Z101" s="85" t="s">
        <v>542</v>
      </c>
      <c r="AA101" s="9">
        <f ca="1">IFERROR(OFFSET(ITEM_RES!$A$5,MATCH(BUILDING!Z101,ITEM_RES!$J$5:$J$226,0)-1,0),0)</f>
        <v>211010401</v>
      </c>
      <c r="AC101" s="9" t="s">
        <v>512</v>
      </c>
      <c r="AD101" s="9">
        <v>17</v>
      </c>
      <c r="AF101" s="11">
        <f ca="1">IFERROR(OFFSET(MANOR_LEVEL!$B$1,MATCH(AG101-1,MANOR_LEVEL!$A:$A,0)-1,0),0)</f>
        <v>796000</v>
      </c>
      <c r="AG101" s="56">
        <v>12</v>
      </c>
      <c r="AI101" s="56">
        <f t="shared" ca="1" si="63"/>
        <v>9201700</v>
      </c>
      <c r="AJ101" s="10">
        <f ca="1">AO101+AQ101+(IFERROR(OFFSET(ITEM_RES!$S$1,MATCH(AU101,ITEM_RES!$A:$A,0)-1,0),0)*AW101+IFERROR(OFFSET(ITEM_RES!$S$1,MATCH(AZ101,ITEM_RES!$A:$A,0)-1,0),0)*BB101+IFERROR(OFFSET(ITEM_RES!$S$1,MATCH(BE101,ITEM_RES!$A:$A,0)-1,0),0)*BG101+IFERROR(OFFSET(ITEM_RES!$S$1,MATCH(BJ101,ITEM_RES!$A:$A,0)-1,0),0)*BL101+IFERROR(OFFSET(ITEM_RES!$S$1,MATCH(BO101,ITEM_RES!$A:$A,0)-1,0),0)*BQ101)/1000</f>
        <v>9201700.1999999993</v>
      </c>
      <c r="AK101" s="183">
        <f t="shared" ca="1" si="58"/>
        <v>15203100</v>
      </c>
      <c r="AM101" s="11">
        <f t="shared" si="24"/>
        <v>85</v>
      </c>
      <c r="AN101" s="10">
        <v>85</v>
      </c>
      <c r="AO101" s="11">
        <f t="shared" si="64"/>
        <v>850</v>
      </c>
      <c r="AP101" s="10">
        <v>850</v>
      </c>
      <c r="AQ101" s="11">
        <f t="shared" si="64"/>
        <v>850</v>
      </c>
      <c r="AR101" s="10">
        <v>850</v>
      </c>
      <c r="AS101" s="56">
        <f t="shared" si="29"/>
        <v>2</v>
      </c>
      <c r="AU101" s="11">
        <f ca="1">IFERROR(OFFSET(ITEM_RES!$A$1,MATCH(AV101,ITEM_RES!$J:$J,0)-1,0),0)</f>
        <v>211020301</v>
      </c>
      <c r="AV101" s="10" t="s">
        <v>1139</v>
      </c>
      <c r="AW101" s="11">
        <v>46000000</v>
      </c>
      <c r="AZ101" s="11">
        <f ca="1">IFERROR(OFFSET(ITEM_RES!$A$1,MATCH(BA101,ITEM_RES!$J:$J,0)-1,0),0)</f>
        <v>211020501</v>
      </c>
      <c r="BA101" s="10" t="s">
        <v>433</v>
      </c>
      <c r="BB101" s="11">
        <v>1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O101" s="11">
        <f ca="1">IFERROR(OFFSET(ITEM_RES!$A$1,MATCH(BP101,ITEM_RES!$J:$J,0)-1,0),0)</f>
        <v>0</v>
      </c>
      <c r="BQ101" s="11">
        <f t="shared" si="62"/>
        <v>0</v>
      </c>
    </row>
    <row r="102" spans="1:70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369</v>
      </c>
      <c r="M102" s="9" t="s">
        <v>947</v>
      </c>
      <c r="N102" s="9" t="s">
        <v>967</v>
      </c>
      <c r="O102" s="9">
        <v>0</v>
      </c>
      <c r="P102" s="9">
        <v>15</v>
      </c>
      <c r="Q102" s="9" t="s">
        <v>792</v>
      </c>
      <c r="U102" s="9" t="s">
        <v>725</v>
      </c>
      <c r="W102" s="85" t="s">
        <v>543</v>
      </c>
      <c r="X102" s="9">
        <f ca="1">IFERROR(OFFSET(ITEM_RES!$A$5,MATCH(BUILDING!W102,ITEM_RES!$J$5:$J$226,0)-1,0),0)</f>
        <v>211021101</v>
      </c>
      <c r="Y102" s="11">
        <v>100</v>
      </c>
      <c r="Z102" s="85" t="s">
        <v>542</v>
      </c>
      <c r="AA102" s="9">
        <f ca="1">IFERROR(OFFSET(ITEM_RES!$A$5,MATCH(BUILDING!Z102,ITEM_RES!$J$5:$J$226,0)-1,0),0)</f>
        <v>211010401</v>
      </c>
      <c r="AC102" s="9" t="s">
        <v>512</v>
      </c>
      <c r="AD102" s="9">
        <v>18</v>
      </c>
      <c r="AF102" s="11">
        <f ca="1">IFERROR(OFFSET(MANOR_LEVEL!$B$1,MATCH(AG102-1,MANOR_LEVEL!$A:$A,0)-1,0),0)</f>
        <v>796000</v>
      </c>
      <c r="AG102" s="56">
        <v>12</v>
      </c>
      <c r="AI102" s="56">
        <f t="shared" ca="1" si="63"/>
        <v>14002100</v>
      </c>
      <c r="AJ102" s="10">
        <f ca="1">AO102+AQ102+(IFERROR(OFFSET(ITEM_RES!$S$1,MATCH(AU102,ITEM_RES!$A:$A,0)-1,0),0)*AW102+IFERROR(OFFSET(ITEM_RES!$S$1,MATCH(AZ102,ITEM_RES!$A:$A,0)-1,0),0)*BB102+IFERROR(OFFSET(ITEM_RES!$S$1,MATCH(BE102,ITEM_RES!$A:$A,0)-1,0),0)*BG102+IFERROR(OFFSET(ITEM_RES!$S$1,MATCH(BJ102,ITEM_RES!$A:$A,0)-1,0),0)*BL102+IFERROR(OFFSET(ITEM_RES!$S$1,MATCH(BO102,ITEM_RES!$A:$A,0)-1,0),0)*BQ102)/1000</f>
        <v>14002100.199999999</v>
      </c>
      <c r="AK102" s="183">
        <f t="shared" ca="1" si="58"/>
        <v>23203800</v>
      </c>
      <c r="AM102" s="11">
        <f t="shared" si="24"/>
        <v>90</v>
      </c>
      <c r="AN102" s="10">
        <v>90</v>
      </c>
      <c r="AO102" s="11">
        <f t="shared" si="64"/>
        <v>1050</v>
      </c>
      <c r="AP102" s="10">
        <v>1050</v>
      </c>
      <c r="AQ102" s="11">
        <f t="shared" si="64"/>
        <v>1050</v>
      </c>
      <c r="AR102" s="10">
        <v>1050</v>
      </c>
      <c r="AS102" s="56">
        <f t="shared" si="29"/>
        <v>2</v>
      </c>
      <c r="AU102" s="11">
        <f ca="1">IFERROR(OFFSET(ITEM_RES!$A$1,MATCH(AV102,ITEM_RES!$J:$J,0)-1,0),0)</f>
        <v>211020301</v>
      </c>
      <c r="AV102" s="10" t="s">
        <v>1139</v>
      </c>
      <c r="AW102" s="11">
        <v>70000000</v>
      </c>
      <c r="AZ102" s="11">
        <f ca="1">IFERROR(OFFSET(ITEM_RES!$A$1,MATCH(BA102,ITEM_RES!$J:$J,0)-1,0),0)</f>
        <v>211020501</v>
      </c>
      <c r="BA102" s="10" t="s">
        <v>433</v>
      </c>
      <c r="BB102" s="11">
        <v>1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O102" s="11">
        <f ca="1">IFERROR(OFFSET(ITEM_RES!$A$1,MATCH(BP102,ITEM_RES!$J:$J,0)-1,0),0)</f>
        <v>0</v>
      </c>
      <c r="BQ102" s="11">
        <f t="shared" si="62"/>
        <v>0</v>
      </c>
    </row>
    <row r="103" spans="1:70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369</v>
      </c>
      <c r="M103" s="9" t="s">
        <v>947</v>
      </c>
      <c r="N103" s="9" t="s">
        <v>967</v>
      </c>
      <c r="O103" s="9">
        <v>0</v>
      </c>
      <c r="P103" s="9">
        <v>15</v>
      </c>
      <c r="Q103" s="9" t="s">
        <v>792</v>
      </c>
      <c r="U103" s="9" t="s">
        <v>725</v>
      </c>
      <c r="W103" s="85" t="s">
        <v>543</v>
      </c>
      <c r="X103" s="9">
        <f ca="1">IFERROR(OFFSET(ITEM_RES!$A$5,MATCH(BUILDING!W103,ITEM_RES!$J$5:$J$226,0)-1,0),0)</f>
        <v>211021101</v>
      </c>
      <c r="Y103" s="11">
        <v>100</v>
      </c>
      <c r="Z103" s="85" t="s">
        <v>542</v>
      </c>
      <c r="AA103" s="9">
        <f ca="1">IFERROR(OFFSET(ITEM_RES!$A$5,MATCH(BUILDING!Z103,ITEM_RES!$J$5:$J$226,0)-1,0),0)</f>
        <v>211010401</v>
      </c>
      <c r="AC103" s="9" t="s">
        <v>512</v>
      </c>
      <c r="AD103" s="9">
        <v>19</v>
      </c>
      <c r="AF103" s="11">
        <f ca="1">IFERROR(OFFSET(MANOR_LEVEL!$B$1,MATCH(AG103-1,MANOR_LEVEL!$A:$A,0)-1,0),0)</f>
        <v>796000</v>
      </c>
      <c r="AG103" s="56">
        <v>12</v>
      </c>
      <c r="AI103" s="56">
        <f t="shared" ca="1" si="63"/>
        <v>19202500</v>
      </c>
      <c r="AJ103" s="10">
        <f ca="1">AO103+AQ103+(IFERROR(OFFSET(ITEM_RES!$S$1,MATCH(AU103,ITEM_RES!$A:$A,0)-1,0),0)*AW103+IFERROR(OFFSET(ITEM_RES!$S$1,MATCH(AZ103,ITEM_RES!$A:$A,0)-1,0),0)*BB103+IFERROR(OFFSET(ITEM_RES!$S$1,MATCH(BE103,ITEM_RES!$A:$A,0)-1,0),0)*BG103+IFERROR(OFFSET(ITEM_RES!$S$1,MATCH(BJ103,ITEM_RES!$A:$A,0)-1,0),0)*BL103+IFERROR(OFFSET(ITEM_RES!$S$1,MATCH(BO103,ITEM_RES!$A:$A,0)-1,0),0)*BQ103)/1000</f>
        <v>19202500.199999999</v>
      </c>
      <c r="AK103" s="183">
        <f t="shared" ca="1" si="58"/>
        <v>33204600</v>
      </c>
      <c r="AM103" s="11">
        <f t="shared" si="24"/>
        <v>95</v>
      </c>
      <c r="AN103" s="10">
        <v>95</v>
      </c>
      <c r="AO103" s="11">
        <f t="shared" si="64"/>
        <v>1250</v>
      </c>
      <c r="AP103" s="10">
        <v>1250</v>
      </c>
      <c r="AQ103" s="11">
        <f t="shared" si="64"/>
        <v>1250</v>
      </c>
      <c r="AR103" s="10">
        <v>1250</v>
      </c>
      <c r="AS103" s="56">
        <f t="shared" si="29"/>
        <v>2</v>
      </c>
      <c r="AU103" s="11">
        <f ca="1">IFERROR(OFFSET(ITEM_RES!$A$1,MATCH(AV103,ITEM_RES!$J:$J,0)-1,0),0)</f>
        <v>211020301</v>
      </c>
      <c r="AV103" s="10" t="s">
        <v>1139</v>
      </c>
      <c r="AW103" s="11">
        <v>96000000</v>
      </c>
      <c r="AZ103" s="11">
        <f ca="1">IFERROR(OFFSET(ITEM_RES!$A$1,MATCH(BA103,ITEM_RES!$J:$J,0)-1,0),0)</f>
        <v>211020501</v>
      </c>
      <c r="BA103" s="10" t="s">
        <v>433</v>
      </c>
      <c r="BB103" s="11">
        <v>1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O103" s="11">
        <f ca="1">IFERROR(OFFSET(ITEM_RES!$A$1,MATCH(BP103,ITEM_RES!$J:$J,0)-1,0),0)</f>
        <v>0</v>
      </c>
      <c r="BQ103" s="11">
        <f t="shared" si="62"/>
        <v>0</v>
      </c>
    </row>
    <row r="104" spans="1:70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369</v>
      </c>
      <c r="M104" s="9" t="s">
        <v>947</v>
      </c>
      <c r="N104" s="9" t="s">
        <v>967</v>
      </c>
      <c r="O104" s="9">
        <v>0</v>
      </c>
      <c r="P104" s="9">
        <v>15</v>
      </c>
      <c r="Q104" s="9" t="s">
        <v>792</v>
      </c>
      <c r="U104" s="9" t="s">
        <v>725</v>
      </c>
      <c r="W104" s="85" t="s">
        <v>543</v>
      </c>
      <c r="X104" s="9">
        <f ca="1">IFERROR(OFFSET(ITEM_RES!$A$5,MATCH(BUILDING!W104,ITEM_RES!$J$5:$J$226,0)-1,0),0)</f>
        <v>211021101</v>
      </c>
      <c r="Y104" s="11">
        <v>100</v>
      </c>
      <c r="Z104" s="85" t="s">
        <v>542</v>
      </c>
      <c r="AA104" s="9">
        <f ca="1">IFERROR(OFFSET(ITEM_RES!$A$5,MATCH(BUILDING!Z104,ITEM_RES!$J$5:$J$226,0)-1,0),0)</f>
        <v>211010401</v>
      </c>
      <c r="AC104" s="9" t="s">
        <v>512</v>
      </c>
      <c r="AD104" s="9">
        <v>20</v>
      </c>
      <c r="AF104" s="11">
        <f ca="1">IFERROR(OFFSET(MANOR_LEVEL!$B$1,MATCH(AG104-1,MANOR_LEVEL!$A:$A,0)-1,0),0)</f>
        <v>796000</v>
      </c>
      <c r="AG104" s="56">
        <v>12</v>
      </c>
      <c r="AI104" s="56">
        <f t="shared" ca="1" si="63"/>
        <v>30403000</v>
      </c>
      <c r="AJ104" s="10">
        <f ca="1">AO104+AQ104+(IFERROR(OFFSET(ITEM_RES!$S$1,MATCH(AU104,ITEM_RES!$A:$A,0)-1,0),0)*AW104+IFERROR(OFFSET(ITEM_RES!$S$1,MATCH(AZ104,ITEM_RES!$A:$A,0)-1,0),0)*BB104+IFERROR(OFFSET(ITEM_RES!$S$1,MATCH(BE104,ITEM_RES!$A:$A,0)-1,0),0)*BG104+IFERROR(OFFSET(ITEM_RES!$S$1,MATCH(BJ104,ITEM_RES!$A:$A,0)-1,0),0)*BL104+IFERROR(OFFSET(ITEM_RES!$S$1,MATCH(BO104,ITEM_RES!$A:$A,0)-1,0),0)*BQ104)/1000</f>
        <v>30403000.199999999</v>
      </c>
      <c r="AK104" s="183">
        <f t="shared" ca="1" si="58"/>
        <v>49605500</v>
      </c>
      <c r="AM104" s="11">
        <f t="shared" si="24"/>
        <v>100</v>
      </c>
      <c r="AN104" s="10">
        <v>100</v>
      </c>
      <c r="AO104" s="11">
        <f t="shared" si="64"/>
        <v>1500</v>
      </c>
      <c r="AP104" s="10">
        <v>1500</v>
      </c>
      <c r="AQ104" s="11">
        <f t="shared" si="64"/>
        <v>1500</v>
      </c>
      <c r="AR104" s="10">
        <v>1500</v>
      </c>
      <c r="AS104" s="56">
        <f t="shared" si="29"/>
        <v>2</v>
      </c>
      <c r="AU104" s="11">
        <f ca="1">IFERROR(OFFSET(ITEM_RES!$A$1,MATCH(AV104,ITEM_RES!$J:$J,0)-1,0),0)</f>
        <v>211020301</v>
      </c>
      <c r="AV104" s="10" t="s">
        <v>1139</v>
      </c>
      <c r="AW104" s="11">
        <v>152000000</v>
      </c>
      <c r="AZ104" s="11">
        <f ca="1">IFERROR(OFFSET(ITEM_RES!$A$1,MATCH(BA104,ITEM_RES!$J:$J,0)-1,0),0)</f>
        <v>211020501</v>
      </c>
      <c r="BA104" s="10" t="s">
        <v>433</v>
      </c>
      <c r="BB104" s="11">
        <v>1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O104" s="11">
        <f ca="1">IFERROR(OFFSET(ITEM_RES!$A$1,MATCH(BP104,ITEM_RES!$J:$J,0)-1,0),0)</f>
        <v>0</v>
      </c>
      <c r="BQ104" s="11">
        <f t="shared" si="62"/>
        <v>0</v>
      </c>
    </row>
    <row r="105" spans="1:70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79"/>
      <c r="H105" s="16">
        <v>2</v>
      </c>
      <c r="I105" s="16">
        <v>1</v>
      </c>
      <c r="J105" s="79"/>
      <c r="K105" s="67" t="s">
        <v>789</v>
      </c>
      <c r="L105" s="67">
        <v>12</v>
      </c>
      <c r="M105" s="67" t="s">
        <v>948</v>
      </c>
      <c r="N105" s="67" t="s">
        <v>968</v>
      </c>
      <c r="O105" s="16">
        <v>1</v>
      </c>
      <c r="P105" s="16">
        <v>15</v>
      </c>
      <c r="Q105" s="16" t="s">
        <v>791</v>
      </c>
      <c r="R105" s="17"/>
      <c r="S105" s="17"/>
      <c r="T105" s="18"/>
      <c r="U105" s="16" t="s">
        <v>790</v>
      </c>
      <c r="V105" s="79"/>
      <c r="W105" s="87" t="s">
        <v>550</v>
      </c>
      <c r="X105" s="16">
        <f ca="1">IFERROR(OFFSET(ITEM_RES!$A$5,MATCH(BUILDING!W105,ITEM_RES!$J$5:$J$226,0)-1,0),0)</f>
        <v>211021001</v>
      </c>
      <c r="Y105" s="18">
        <v>10</v>
      </c>
      <c r="Z105" s="87" t="s">
        <v>543</v>
      </c>
      <c r="AA105" s="16">
        <f ca="1">IFERROR(OFFSET(ITEM_RES!$A$5,MATCH(BUILDING!Z105,ITEM_RES!$J$5:$J$226,0)-1,0),0)</f>
        <v>211021101</v>
      </c>
      <c r="AB105" s="79"/>
      <c r="AC105" s="16" t="s">
        <v>513</v>
      </c>
      <c r="AD105" s="16">
        <v>1</v>
      </c>
      <c r="AE105" s="79"/>
      <c r="AF105" s="18">
        <f ca="1">IFERROR(OFFSET(MANOR_LEVEL!$B$1,MATCH(AG105-1,MANOR_LEVEL!$A:$A,0)-1,0),0)</f>
        <v>2622400</v>
      </c>
      <c r="AG105" s="57">
        <v>15</v>
      </c>
      <c r="AH105" s="79"/>
      <c r="AI105" s="57">
        <f t="shared" ca="1" si="63"/>
        <v>110</v>
      </c>
      <c r="AJ105" s="17">
        <f ca="1">AO105+AQ105+(IFERROR(OFFSET(ITEM_RES!$S$1,MATCH(AU105,ITEM_RES!$A:$A,0)-1,0),0)*AW105+IFERROR(OFFSET(ITEM_RES!$S$1,MATCH(AZ105,ITEM_RES!$A:$A,0)-1,0),0)*BB105+IFERROR(OFFSET(ITEM_RES!$S$1,MATCH(BE105,ITEM_RES!$A:$A,0)-1,0),0)*BG105+IFERROR(OFFSET(ITEM_RES!$S$1,MATCH(BJ105,ITEM_RES!$A:$A,0)-1,0),0)*BL105+IFERROR(OFFSET(ITEM_RES!$S$1,MATCH(BO105,ITEM_RES!$A:$A,0)-1,0),0)*BQ105)/1000</f>
        <v>110.21</v>
      </c>
      <c r="AK105" s="185">
        <f ca="1">AI105</f>
        <v>110</v>
      </c>
      <c r="AL105" s="79"/>
      <c r="AM105" s="18">
        <f t="shared" si="24"/>
        <v>5</v>
      </c>
      <c r="AN105" s="17">
        <v>5</v>
      </c>
      <c r="AO105" s="18">
        <f t="shared" si="64"/>
        <v>5</v>
      </c>
      <c r="AP105" s="17">
        <v>5</v>
      </c>
      <c r="AQ105" s="18">
        <f t="shared" si="64"/>
        <v>5</v>
      </c>
      <c r="AR105" s="17">
        <v>5</v>
      </c>
      <c r="AS105" s="57">
        <f t="shared" si="29"/>
        <v>3</v>
      </c>
      <c r="AT105" s="18"/>
      <c r="AU105" s="18">
        <f ca="1">IFERROR(OFFSET(ITEM_RES!$A$1,MATCH(AV105,ITEM_RES!$J:$J,0)-1,0),0)</f>
        <v>211020201</v>
      </c>
      <c r="AV105" s="17" t="s">
        <v>431</v>
      </c>
      <c r="AW105" s="18">
        <v>20</v>
      </c>
      <c r="AX105" s="17"/>
      <c r="AY105" s="18"/>
      <c r="AZ105" s="18">
        <f ca="1">IFERROR(OFFSET(ITEM_RES!$A$1,MATCH(BA105,ITEM_RES!$J:$J,0)-1,0),0)</f>
        <v>211020401</v>
      </c>
      <c r="BA105" s="17" t="s">
        <v>423</v>
      </c>
      <c r="BB105" s="18">
        <v>1</v>
      </c>
      <c r="BC105" s="17"/>
      <c r="BD105" s="18"/>
      <c r="BE105" s="18">
        <f ca="1">IFERROR(OFFSET(ITEM_RES!$A$1,MATCH(BF105,ITEM_RES!$J:$J,0)-1,0),0)</f>
        <v>213010101</v>
      </c>
      <c r="BF105" s="17" t="s">
        <v>452</v>
      </c>
      <c r="BG105" s="18">
        <v>1</v>
      </c>
      <c r="BH105" s="17"/>
      <c r="BI105" s="18"/>
      <c r="BJ105" s="18">
        <f ca="1">IFERROR(OFFSET(ITEM_RES!$A$1,MATCH(BK105,ITEM_RES!$J:$J,0)-1,0),0)</f>
        <v>0</v>
      </c>
      <c r="BK105" s="17"/>
      <c r="BL105" s="18"/>
      <c r="BM105" s="17"/>
      <c r="BN105" s="18"/>
      <c r="BO105" s="18">
        <f ca="1">IFERROR(OFFSET(ITEM_RES!$A$1,MATCH(BP105,ITEM_RES!$J:$J,0)-1,0),0)</f>
        <v>0</v>
      </c>
      <c r="BP105" s="17"/>
      <c r="BQ105" s="18">
        <f t="shared" si="62"/>
        <v>0</v>
      </c>
      <c r="BR105" s="17"/>
    </row>
    <row r="106" spans="1:70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789</v>
      </c>
      <c r="M106" s="9" t="s">
        <v>948</v>
      </c>
      <c r="N106" s="9" t="s">
        <v>968</v>
      </c>
      <c r="O106" s="9">
        <v>1</v>
      </c>
      <c r="P106" s="9">
        <v>15</v>
      </c>
      <c r="Q106" s="9" t="s">
        <v>791</v>
      </c>
      <c r="U106" s="9" t="s">
        <v>790</v>
      </c>
      <c r="W106" s="85" t="s">
        <v>405</v>
      </c>
      <c r="X106" s="9">
        <f ca="1">IFERROR(OFFSET(ITEM_RES!$A$5,MATCH(BUILDING!W106,ITEM_RES!$J$5:$J$226,0)-1,0),0)</f>
        <v>211021001</v>
      </c>
      <c r="Y106" s="11">
        <v>10</v>
      </c>
      <c r="Z106" s="85" t="s">
        <v>543</v>
      </c>
      <c r="AA106" s="9">
        <f ca="1">IFERROR(OFFSET(ITEM_RES!$A$5,MATCH(BUILDING!Z106,ITEM_RES!$J$5:$J$226,0)-1,0),0)</f>
        <v>211021101</v>
      </c>
      <c r="AC106" s="9" t="s">
        <v>513</v>
      </c>
      <c r="AD106" s="9">
        <v>2</v>
      </c>
      <c r="AF106" s="11">
        <f ca="1">IFERROR(OFFSET(MANOR_LEVEL!$B$1,MATCH(AG106-1,MANOR_LEVEL!$A:$A,0)-1,0),0)</f>
        <v>4232000</v>
      </c>
      <c r="AG106" s="56">
        <v>16</v>
      </c>
      <c r="AI106" s="56">
        <f t="shared" ca="1" si="63"/>
        <v>20</v>
      </c>
      <c r="AJ106" s="10">
        <f ca="1">AO106+AQ106+(IFERROR(OFFSET(ITEM_RES!$S$1,MATCH(AU106,ITEM_RES!$A:$A,0)-1,0),0)*AW106+IFERROR(OFFSET(ITEM_RES!$S$1,MATCH(AZ106,ITEM_RES!$A:$A,0)-1,0),0)*BB106+IFERROR(OFFSET(ITEM_RES!$S$1,MATCH(BE106,ITEM_RES!$A:$A,0)-1,0),0)*BG106+IFERROR(OFFSET(ITEM_RES!$S$1,MATCH(BJ106,ITEM_RES!$A:$A,0)-1,0),0)*BL106+IFERROR(OFFSET(ITEM_RES!$S$1,MATCH(BO106,ITEM_RES!$A:$A,0)-1,0),0)*BQ106)/1000</f>
        <v>20.21</v>
      </c>
      <c r="AK106" s="183">
        <f ca="1">AI105+AI106</f>
        <v>130</v>
      </c>
      <c r="AM106" s="11">
        <f t="shared" si="24"/>
        <v>10</v>
      </c>
      <c r="AN106" s="10">
        <v>10</v>
      </c>
      <c r="AO106" s="11">
        <f t="shared" si="64"/>
        <v>10</v>
      </c>
      <c r="AP106" s="10">
        <v>10</v>
      </c>
      <c r="AQ106" s="11">
        <f t="shared" si="64"/>
        <v>10</v>
      </c>
      <c r="AR106" s="10">
        <v>10</v>
      </c>
      <c r="AS106" s="56">
        <f t="shared" si="29"/>
        <v>2</v>
      </c>
      <c r="AU106" s="11">
        <f ca="1">IFERROR(OFFSET(ITEM_RES!$A$1,MATCH(AV106,ITEM_RES!$J:$J,0)-1,0),0)</f>
        <v>211020201</v>
      </c>
      <c r="AV106" s="10" t="s">
        <v>432</v>
      </c>
      <c r="AW106" s="11">
        <v>20</v>
      </c>
      <c r="AZ106" s="11">
        <f ca="1">IFERROR(OFFSET(ITEM_RES!$A$1,MATCH(BA106,ITEM_RES!$J:$J,0)-1,0),0)</f>
        <v>211020401</v>
      </c>
      <c r="BA106" s="10" t="s">
        <v>423</v>
      </c>
      <c r="BB106" s="11">
        <v>1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O106" s="11">
        <f ca="1">IFERROR(OFFSET(ITEM_RES!$A$1,MATCH(BP106,ITEM_RES!$J:$J,0)-1,0),0)</f>
        <v>0</v>
      </c>
      <c r="BQ106" s="11">
        <f t="shared" si="62"/>
        <v>0</v>
      </c>
    </row>
    <row r="107" spans="1:70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789</v>
      </c>
      <c r="M107" s="9" t="s">
        <v>948</v>
      </c>
      <c r="N107" s="9" t="s">
        <v>968</v>
      </c>
      <c r="O107" s="9">
        <v>1</v>
      </c>
      <c r="P107" s="9">
        <v>15</v>
      </c>
      <c r="Q107" s="9" t="s">
        <v>791</v>
      </c>
      <c r="U107" s="9" t="s">
        <v>790</v>
      </c>
      <c r="W107" s="85" t="s">
        <v>405</v>
      </c>
      <c r="X107" s="9">
        <f ca="1">IFERROR(OFFSET(ITEM_RES!$A$5,MATCH(BUILDING!W107,ITEM_RES!$J$5:$J$226,0)-1,0),0)</f>
        <v>211021001</v>
      </c>
      <c r="Y107" s="11">
        <v>10</v>
      </c>
      <c r="Z107" s="85" t="s">
        <v>543</v>
      </c>
      <c r="AA107" s="9">
        <f ca="1">IFERROR(OFFSET(ITEM_RES!$A$5,MATCH(BUILDING!Z107,ITEM_RES!$J$5:$J$226,0)-1,0),0)</f>
        <v>211021101</v>
      </c>
      <c r="AC107" s="9" t="s">
        <v>513</v>
      </c>
      <c r="AD107" s="9">
        <v>3</v>
      </c>
      <c r="AF107" s="11">
        <f ca="1">IFERROR(OFFSET(MANOR_LEVEL!$B$1,MATCH(AG107-1,MANOR_LEVEL!$A:$A,0)-1,0),0)</f>
        <v>4232000</v>
      </c>
      <c r="AG107" s="56">
        <v>16</v>
      </c>
      <c r="AI107" s="56">
        <f t="shared" ca="1" si="63"/>
        <v>32</v>
      </c>
      <c r="AJ107" s="10">
        <f ca="1">AO107+AQ107+(IFERROR(OFFSET(ITEM_RES!$S$1,MATCH(AU107,ITEM_RES!$A:$A,0)-1,0),0)*AW107+IFERROR(OFFSET(ITEM_RES!$S$1,MATCH(AZ107,ITEM_RES!$A:$A,0)-1,0),0)*BB107+IFERROR(OFFSET(ITEM_RES!$S$1,MATCH(BE107,ITEM_RES!$A:$A,0)-1,0),0)*BG107+IFERROR(OFFSET(ITEM_RES!$S$1,MATCH(BJ107,ITEM_RES!$A:$A,0)-1,0),0)*BL107+IFERROR(OFFSET(ITEM_RES!$S$1,MATCH(BO107,ITEM_RES!$A:$A,0)-1,0),0)*BQ107)/1000</f>
        <v>31.61</v>
      </c>
      <c r="AK107" s="183">
        <f t="shared" ref="AK107:AK124" ca="1" si="65">AI106+AI107</f>
        <v>52</v>
      </c>
      <c r="AM107" s="11">
        <f t="shared" si="24"/>
        <v>15</v>
      </c>
      <c r="AN107" s="10">
        <v>15</v>
      </c>
      <c r="AO107" s="11">
        <f t="shared" si="64"/>
        <v>15</v>
      </c>
      <c r="AP107" s="10">
        <v>15</v>
      </c>
      <c r="AQ107" s="11">
        <f t="shared" si="64"/>
        <v>15</v>
      </c>
      <c r="AR107" s="10">
        <v>15</v>
      </c>
      <c r="AS107" s="56">
        <f t="shared" si="29"/>
        <v>2</v>
      </c>
      <c r="AU107" s="11">
        <f ca="1">IFERROR(OFFSET(ITEM_RES!$A$1,MATCH(AV107,ITEM_RES!$J:$J,0)-1,0),0)</f>
        <v>211020201</v>
      </c>
      <c r="AV107" s="10" t="s">
        <v>431</v>
      </c>
      <c r="AW107" s="11">
        <v>160</v>
      </c>
      <c r="AZ107" s="11">
        <f ca="1">IFERROR(OFFSET(ITEM_RES!$A$1,MATCH(BA107,ITEM_RES!$J:$J,0)-1,0),0)</f>
        <v>211020401</v>
      </c>
      <c r="BA107" s="10" t="s">
        <v>423</v>
      </c>
      <c r="BB107" s="11">
        <v>1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O107" s="11">
        <f ca="1">IFERROR(OFFSET(ITEM_RES!$A$1,MATCH(BP107,ITEM_RES!$J:$J,0)-1,0),0)</f>
        <v>0</v>
      </c>
      <c r="BQ107" s="11">
        <f t="shared" si="62"/>
        <v>0</v>
      </c>
    </row>
    <row r="108" spans="1:70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789</v>
      </c>
      <c r="M108" s="9" t="s">
        <v>948</v>
      </c>
      <c r="N108" s="9" t="s">
        <v>968</v>
      </c>
      <c r="O108" s="9">
        <v>1</v>
      </c>
      <c r="P108" s="9">
        <v>15</v>
      </c>
      <c r="Q108" s="9" t="s">
        <v>791</v>
      </c>
      <c r="U108" s="9" t="s">
        <v>790</v>
      </c>
      <c r="W108" s="85" t="s">
        <v>405</v>
      </c>
      <c r="X108" s="9">
        <f ca="1">IFERROR(OFFSET(ITEM_RES!$A$5,MATCH(BUILDING!W108,ITEM_RES!$J$5:$J$226,0)-1,0),0)</f>
        <v>211021001</v>
      </c>
      <c r="Y108" s="11">
        <v>10</v>
      </c>
      <c r="Z108" s="85" t="s">
        <v>543</v>
      </c>
      <c r="AA108" s="9">
        <f ca="1">IFERROR(OFFSET(ITEM_RES!$A$5,MATCH(BUILDING!Z108,ITEM_RES!$J$5:$J$226,0)-1,0),0)</f>
        <v>211021101</v>
      </c>
      <c r="AC108" s="9" t="s">
        <v>513</v>
      </c>
      <c r="AD108" s="9">
        <v>4</v>
      </c>
      <c r="AF108" s="11">
        <f ca="1">IFERROR(OFFSET(MANOR_LEVEL!$B$1,MATCH(AG108-1,MANOR_LEVEL!$A:$A,0)-1,0),0)</f>
        <v>4232000</v>
      </c>
      <c r="AG108" s="56">
        <v>16</v>
      </c>
      <c r="AI108" s="56">
        <f t="shared" ca="1" si="63"/>
        <v>69</v>
      </c>
      <c r="AJ108" s="10">
        <f ca="1">AO108+AQ108+(IFERROR(OFFSET(ITEM_RES!$S$1,MATCH(AU108,ITEM_RES!$A:$A,0)-1,0),0)*AW108+IFERROR(OFFSET(ITEM_RES!$S$1,MATCH(AZ108,ITEM_RES!$A:$A,0)-1,0),0)*BB108+IFERROR(OFFSET(ITEM_RES!$S$1,MATCH(BE108,ITEM_RES!$A:$A,0)-1,0),0)*BG108+IFERROR(OFFSET(ITEM_RES!$S$1,MATCH(BJ108,ITEM_RES!$A:$A,0)-1,0),0)*BL108+IFERROR(OFFSET(ITEM_RES!$S$1,MATCH(BO108,ITEM_RES!$A:$A,0)-1,0),0)*BQ108)/1000</f>
        <v>69.210000000000008</v>
      </c>
      <c r="AK108" s="183">
        <f t="shared" ca="1" si="65"/>
        <v>101</v>
      </c>
      <c r="AM108" s="11">
        <f t="shared" si="24"/>
        <v>20</v>
      </c>
      <c r="AN108" s="10">
        <v>20</v>
      </c>
      <c r="AO108" s="11">
        <f t="shared" si="64"/>
        <v>25</v>
      </c>
      <c r="AP108" s="10">
        <v>25</v>
      </c>
      <c r="AQ108" s="11">
        <f t="shared" si="64"/>
        <v>25</v>
      </c>
      <c r="AR108" s="10">
        <v>25</v>
      </c>
      <c r="AS108" s="56">
        <f t="shared" si="29"/>
        <v>2</v>
      </c>
      <c r="AU108" s="11">
        <f ca="1">IFERROR(OFFSET(ITEM_RES!$A$1,MATCH(AV108,ITEM_RES!$J:$J,0)-1,0),0)</f>
        <v>211020201</v>
      </c>
      <c r="AV108" s="10" t="s">
        <v>431</v>
      </c>
      <c r="AW108" s="11">
        <v>1920</v>
      </c>
      <c r="AZ108" s="11">
        <f ca="1">IFERROR(OFFSET(ITEM_RES!$A$1,MATCH(BA108,ITEM_RES!$J:$J,0)-1,0),0)</f>
        <v>211020401</v>
      </c>
      <c r="BA108" s="10" t="s">
        <v>423</v>
      </c>
      <c r="BB108" s="11">
        <v>1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O108" s="11">
        <f ca="1">IFERROR(OFFSET(ITEM_RES!$A$1,MATCH(BP108,ITEM_RES!$J:$J,0)-1,0),0)</f>
        <v>0</v>
      </c>
      <c r="BQ108" s="11">
        <f t="shared" si="62"/>
        <v>0</v>
      </c>
    </row>
    <row r="109" spans="1:70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789</v>
      </c>
      <c r="M109" s="9" t="s">
        <v>948</v>
      </c>
      <c r="N109" s="9" t="s">
        <v>968</v>
      </c>
      <c r="O109" s="9">
        <v>1</v>
      </c>
      <c r="P109" s="9">
        <v>15</v>
      </c>
      <c r="Q109" s="9" t="s">
        <v>791</v>
      </c>
      <c r="U109" s="9" t="s">
        <v>790</v>
      </c>
      <c r="W109" s="85" t="s">
        <v>405</v>
      </c>
      <c r="X109" s="9">
        <f ca="1">IFERROR(OFFSET(ITEM_RES!$A$5,MATCH(BUILDING!W109,ITEM_RES!$J$5:$J$226,0)-1,0),0)</f>
        <v>211021001</v>
      </c>
      <c r="Y109" s="11">
        <v>10</v>
      </c>
      <c r="Z109" s="85" t="s">
        <v>543</v>
      </c>
      <c r="AA109" s="9">
        <f ca="1">IFERROR(OFFSET(ITEM_RES!$A$5,MATCH(BUILDING!Z109,ITEM_RES!$J$5:$J$226,0)-1,0),0)</f>
        <v>211021101</v>
      </c>
      <c r="AC109" s="9" t="s">
        <v>513</v>
      </c>
      <c r="AD109" s="9">
        <v>5</v>
      </c>
      <c r="AF109" s="11">
        <f ca="1">IFERROR(OFFSET(MANOR_LEVEL!$B$1,MATCH(AG109-1,MANOR_LEVEL!$A:$A,0)-1,0),0)</f>
        <v>4232000</v>
      </c>
      <c r="AG109" s="56">
        <v>16</v>
      </c>
      <c r="AI109" s="56">
        <f t="shared" ca="1" si="63"/>
        <v>340</v>
      </c>
      <c r="AJ109" s="10">
        <f ca="1">AO109+AQ109+(IFERROR(OFFSET(ITEM_RES!$S$1,MATCH(AU109,ITEM_RES!$A:$A,0)-1,0),0)*AW109+IFERROR(OFFSET(ITEM_RES!$S$1,MATCH(AZ109,ITEM_RES!$A:$A,0)-1,0),0)*BB109+IFERROR(OFFSET(ITEM_RES!$S$1,MATCH(BE109,ITEM_RES!$A:$A,0)-1,0),0)*BG109+IFERROR(OFFSET(ITEM_RES!$S$1,MATCH(BJ109,ITEM_RES!$A:$A,0)-1,0),0)*BL109+IFERROR(OFFSET(ITEM_RES!$S$1,MATCH(BO109,ITEM_RES!$A:$A,0)-1,0),0)*BQ109)/1000</f>
        <v>340.01</v>
      </c>
      <c r="AK109" s="183">
        <f t="shared" ca="1" si="65"/>
        <v>409</v>
      </c>
      <c r="AM109" s="11">
        <f t="shared" si="24"/>
        <v>25</v>
      </c>
      <c r="AN109" s="10">
        <v>25</v>
      </c>
      <c r="AO109" s="11">
        <f t="shared" si="64"/>
        <v>40</v>
      </c>
      <c r="AP109" s="10">
        <v>40</v>
      </c>
      <c r="AQ109" s="11">
        <f t="shared" si="64"/>
        <v>40</v>
      </c>
      <c r="AR109" s="10">
        <v>40</v>
      </c>
      <c r="AS109" s="56">
        <f t="shared" si="29"/>
        <v>2</v>
      </c>
      <c r="AU109" s="11">
        <f ca="1">IFERROR(OFFSET(ITEM_RES!$A$1,MATCH(AV109,ITEM_RES!$J:$J,0)-1,0),0)</f>
        <v>211020201</v>
      </c>
      <c r="AV109" s="10" t="s">
        <v>431</v>
      </c>
      <c r="AW109" s="11">
        <v>26000</v>
      </c>
      <c r="AZ109" s="11">
        <f ca="1">IFERROR(OFFSET(ITEM_RES!$A$1,MATCH(BA109,ITEM_RES!$J:$J,0)-1,0),0)</f>
        <v>211020401</v>
      </c>
      <c r="BA109" s="10" t="s">
        <v>423</v>
      </c>
      <c r="BB109" s="11">
        <v>1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O109" s="11">
        <f ca="1">IFERROR(OFFSET(ITEM_RES!$A$1,MATCH(BP109,ITEM_RES!$J:$J,0)-1,0),0)</f>
        <v>0</v>
      </c>
      <c r="BQ109" s="11">
        <f t="shared" si="62"/>
        <v>0</v>
      </c>
    </row>
    <row r="110" spans="1:70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789</v>
      </c>
      <c r="M110" s="9" t="s">
        <v>948</v>
      </c>
      <c r="N110" s="9" t="s">
        <v>968</v>
      </c>
      <c r="O110" s="9">
        <v>1</v>
      </c>
      <c r="P110" s="9">
        <v>15</v>
      </c>
      <c r="Q110" s="9" t="s">
        <v>791</v>
      </c>
      <c r="U110" s="9" t="s">
        <v>790</v>
      </c>
      <c r="W110" s="85" t="s">
        <v>405</v>
      </c>
      <c r="X110" s="9">
        <f ca="1">IFERROR(OFFSET(ITEM_RES!$A$5,MATCH(BUILDING!W110,ITEM_RES!$J$5:$J$226,0)-1,0),0)</f>
        <v>211021001</v>
      </c>
      <c r="Y110" s="11">
        <v>10</v>
      </c>
      <c r="Z110" s="85" t="s">
        <v>543</v>
      </c>
      <c r="AA110" s="9">
        <f ca="1">IFERROR(OFFSET(ITEM_RES!$A$5,MATCH(BUILDING!Z110,ITEM_RES!$J$5:$J$226,0)-1,0),0)</f>
        <v>211021101</v>
      </c>
      <c r="AC110" s="9" t="s">
        <v>513</v>
      </c>
      <c r="AD110" s="9">
        <v>6</v>
      </c>
      <c r="AF110" s="11">
        <f ca="1">IFERROR(OFFSET(MANOR_LEVEL!$B$1,MATCH(AG110-1,MANOR_LEVEL!$A:$A,0)-1,0),0)</f>
        <v>4232000</v>
      </c>
      <c r="AG110" s="56">
        <v>16</v>
      </c>
      <c r="AI110" s="56">
        <f t="shared" ca="1" si="63"/>
        <v>2500</v>
      </c>
      <c r="AJ110" s="10">
        <f ca="1">AO110+AQ110+(IFERROR(OFFSET(ITEM_RES!$S$1,MATCH(AU110,ITEM_RES!$A:$A,0)-1,0),0)*AW110+IFERROR(OFFSET(ITEM_RES!$S$1,MATCH(AZ110,ITEM_RES!$A:$A,0)-1,0),0)*BB110+IFERROR(OFFSET(ITEM_RES!$S$1,MATCH(BE110,ITEM_RES!$A:$A,0)-1,0),0)*BG110+IFERROR(OFFSET(ITEM_RES!$S$1,MATCH(BJ110,ITEM_RES!$A:$A,0)-1,0),0)*BL110+IFERROR(OFFSET(ITEM_RES!$S$1,MATCH(BO110,ITEM_RES!$A:$A,0)-1,0),0)*BQ110)/1000</f>
        <v>2500.0100000000002</v>
      </c>
      <c r="AK110" s="183">
        <f t="shared" ca="1" si="65"/>
        <v>2840</v>
      </c>
      <c r="AM110" s="11">
        <f t="shared" si="24"/>
        <v>30</v>
      </c>
      <c r="AN110" s="10">
        <v>30</v>
      </c>
      <c r="AO110" s="11">
        <f t="shared" si="64"/>
        <v>50</v>
      </c>
      <c r="AP110" s="10">
        <v>50</v>
      </c>
      <c r="AQ110" s="11">
        <f t="shared" si="64"/>
        <v>50</v>
      </c>
      <c r="AR110" s="10">
        <v>50</v>
      </c>
      <c r="AS110" s="56">
        <f t="shared" si="29"/>
        <v>2</v>
      </c>
      <c r="AU110" s="11">
        <f ca="1">IFERROR(OFFSET(ITEM_RES!$A$1,MATCH(AV110,ITEM_RES!$J:$J,0)-1,0),0)</f>
        <v>211020201</v>
      </c>
      <c r="AV110" s="10" t="s">
        <v>431</v>
      </c>
      <c r="AW110" s="11">
        <v>240000</v>
      </c>
      <c r="AZ110" s="11">
        <f ca="1">IFERROR(OFFSET(ITEM_RES!$A$1,MATCH(BA110,ITEM_RES!$J:$J,0)-1,0),0)</f>
        <v>211020401</v>
      </c>
      <c r="BA110" s="10" t="s">
        <v>423</v>
      </c>
      <c r="BB110" s="11">
        <v>1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O110" s="11">
        <f ca="1">IFERROR(OFFSET(ITEM_RES!$A$1,MATCH(BP110,ITEM_RES!$J:$J,0)-1,0),0)</f>
        <v>0</v>
      </c>
      <c r="BQ110" s="11">
        <f t="shared" si="62"/>
        <v>0</v>
      </c>
    </row>
    <row r="111" spans="1:70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789</v>
      </c>
      <c r="M111" s="9" t="s">
        <v>948</v>
      </c>
      <c r="N111" s="9" t="s">
        <v>968</v>
      </c>
      <c r="O111" s="9">
        <v>1</v>
      </c>
      <c r="P111" s="9">
        <v>15</v>
      </c>
      <c r="Q111" s="9" t="s">
        <v>791</v>
      </c>
      <c r="U111" s="9" t="s">
        <v>790</v>
      </c>
      <c r="W111" s="85" t="s">
        <v>405</v>
      </c>
      <c r="X111" s="9">
        <f ca="1">IFERROR(OFFSET(ITEM_RES!$A$5,MATCH(BUILDING!W111,ITEM_RES!$J$5:$J$226,0)-1,0),0)</f>
        <v>211021001</v>
      </c>
      <c r="Y111" s="11">
        <v>10</v>
      </c>
      <c r="Z111" s="85" t="s">
        <v>543</v>
      </c>
      <c r="AA111" s="9">
        <f ca="1">IFERROR(OFFSET(ITEM_RES!$A$5,MATCH(BUILDING!Z111,ITEM_RES!$J$5:$J$226,0)-1,0),0)</f>
        <v>211021101</v>
      </c>
      <c r="AC111" s="9" t="s">
        <v>513</v>
      </c>
      <c r="AD111" s="9">
        <v>7</v>
      </c>
      <c r="AF111" s="11">
        <f ca="1">IFERROR(OFFSET(MANOR_LEVEL!$B$1,MATCH(AG111-1,MANOR_LEVEL!$A:$A,0)-1,0),0)</f>
        <v>4232000</v>
      </c>
      <c r="AG111" s="56">
        <v>16</v>
      </c>
      <c r="AI111" s="56">
        <f t="shared" ca="1" si="63"/>
        <v>5600</v>
      </c>
      <c r="AJ111" s="10">
        <f ca="1">AO111+AQ111+(IFERROR(OFFSET(ITEM_RES!$S$1,MATCH(AU111,ITEM_RES!$A:$A,0)-1,0),0)*AW111+IFERROR(OFFSET(ITEM_RES!$S$1,MATCH(AZ111,ITEM_RES!$A:$A,0)-1,0),0)*BB111+IFERROR(OFFSET(ITEM_RES!$S$1,MATCH(BE111,ITEM_RES!$A:$A,0)-1,0),0)*BG111+IFERROR(OFFSET(ITEM_RES!$S$1,MATCH(BJ111,ITEM_RES!$A:$A,0)-1,0),0)*BL111+IFERROR(OFFSET(ITEM_RES!$S$1,MATCH(BO111,ITEM_RES!$A:$A,0)-1,0),0)*BQ111)/1000</f>
        <v>5600.01</v>
      </c>
      <c r="AK111" s="183">
        <f t="shared" ca="1" si="65"/>
        <v>8100</v>
      </c>
      <c r="AM111" s="11">
        <f t="shared" si="24"/>
        <v>35</v>
      </c>
      <c r="AN111" s="10">
        <v>35</v>
      </c>
      <c r="AO111" s="11">
        <f t="shared" si="64"/>
        <v>100</v>
      </c>
      <c r="AP111" s="10">
        <v>100</v>
      </c>
      <c r="AQ111" s="11">
        <f t="shared" si="64"/>
        <v>100</v>
      </c>
      <c r="AR111" s="10">
        <v>100</v>
      </c>
      <c r="AS111" s="56">
        <f t="shared" si="29"/>
        <v>2</v>
      </c>
      <c r="AU111" s="11">
        <f ca="1">IFERROR(OFFSET(ITEM_RES!$A$1,MATCH(AV111,ITEM_RES!$J:$J,0)-1,0),0)</f>
        <v>211020201</v>
      </c>
      <c r="AV111" s="10" t="s">
        <v>431</v>
      </c>
      <c r="AW111" s="11">
        <v>540000</v>
      </c>
      <c r="AZ111" s="11">
        <f ca="1">IFERROR(OFFSET(ITEM_RES!$A$1,MATCH(BA111,ITEM_RES!$J:$J,0)-1,0),0)</f>
        <v>211020401</v>
      </c>
      <c r="BA111" s="10" t="s">
        <v>423</v>
      </c>
      <c r="BB111" s="11">
        <v>1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O111" s="11">
        <f ca="1">IFERROR(OFFSET(ITEM_RES!$A$1,MATCH(BP111,ITEM_RES!$J:$J,0)-1,0),0)</f>
        <v>0</v>
      </c>
      <c r="BQ111" s="11">
        <f t="shared" si="62"/>
        <v>0</v>
      </c>
    </row>
    <row r="112" spans="1:70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789</v>
      </c>
      <c r="M112" s="9" t="s">
        <v>948</v>
      </c>
      <c r="N112" s="9" t="s">
        <v>968</v>
      </c>
      <c r="O112" s="9">
        <v>1</v>
      </c>
      <c r="P112" s="9">
        <v>15</v>
      </c>
      <c r="Q112" s="9" t="s">
        <v>791</v>
      </c>
      <c r="U112" s="9" t="s">
        <v>790</v>
      </c>
      <c r="W112" s="85" t="s">
        <v>405</v>
      </c>
      <c r="X112" s="9">
        <f ca="1">IFERROR(OFFSET(ITEM_RES!$A$5,MATCH(BUILDING!W112,ITEM_RES!$J$5:$J$226,0)-1,0),0)</f>
        <v>211021001</v>
      </c>
      <c r="Y112" s="11">
        <v>10</v>
      </c>
      <c r="Z112" s="85" t="s">
        <v>543</v>
      </c>
      <c r="AA112" s="9">
        <f ca="1">IFERROR(OFFSET(ITEM_RES!$A$5,MATCH(BUILDING!Z112,ITEM_RES!$J$5:$J$226,0)-1,0),0)</f>
        <v>211021101</v>
      </c>
      <c r="AC112" s="9" t="s">
        <v>513</v>
      </c>
      <c r="AD112" s="9">
        <v>8</v>
      </c>
      <c r="AF112" s="11">
        <f ca="1">IFERROR(OFFSET(MANOR_LEVEL!$B$1,MATCH(AG112-1,MANOR_LEVEL!$A:$A,0)-1,0),0)</f>
        <v>4232000</v>
      </c>
      <c r="AG112" s="56">
        <v>16</v>
      </c>
      <c r="AI112" s="56">
        <f t="shared" ca="1" si="63"/>
        <v>10200</v>
      </c>
      <c r="AJ112" s="10">
        <f ca="1">AO112+AQ112+(IFERROR(OFFSET(ITEM_RES!$S$1,MATCH(AU112,ITEM_RES!$A:$A,0)-1,0),0)*AW112+IFERROR(OFFSET(ITEM_RES!$S$1,MATCH(AZ112,ITEM_RES!$A:$A,0)-1,0),0)*BB112+IFERROR(OFFSET(ITEM_RES!$S$1,MATCH(BE112,ITEM_RES!$A:$A,0)-1,0),0)*BG112+IFERROR(OFFSET(ITEM_RES!$S$1,MATCH(BJ112,ITEM_RES!$A:$A,0)-1,0),0)*BL112+IFERROR(OFFSET(ITEM_RES!$S$1,MATCH(BO112,ITEM_RES!$A:$A,0)-1,0),0)*BQ112)/1000</f>
        <v>10200.01</v>
      </c>
      <c r="AK112" s="183">
        <f t="shared" ca="1" si="65"/>
        <v>15800</v>
      </c>
      <c r="AM112" s="11">
        <f t="shared" si="24"/>
        <v>40</v>
      </c>
      <c r="AN112" s="10">
        <v>40</v>
      </c>
      <c r="AO112" s="11">
        <f t="shared" si="64"/>
        <v>100</v>
      </c>
      <c r="AP112" s="10">
        <v>100</v>
      </c>
      <c r="AQ112" s="11">
        <f t="shared" si="64"/>
        <v>100</v>
      </c>
      <c r="AR112" s="10">
        <v>100</v>
      </c>
      <c r="AS112" s="56">
        <f t="shared" si="29"/>
        <v>2</v>
      </c>
      <c r="AU112" s="11">
        <f ca="1">IFERROR(OFFSET(ITEM_RES!$A$1,MATCH(AV112,ITEM_RES!$J:$J,0)-1,0),0)</f>
        <v>211020201</v>
      </c>
      <c r="AV112" s="10" t="s">
        <v>431</v>
      </c>
      <c r="AW112" s="11">
        <v>1000000</v>
      </c>
      <c r="AZ112" s="11">
        <f ca="1">IFERROR(OFFSET(ITEM_RES!$A$1,MATCH(BA112,ITEM_RES!$J:$J,0)-1,0),0)</f>
        <v>211020401</v>
      </c>
      <c r="BA112" s="10" t="s">
        <v>423</v>
      </c>
      <c r="BB112" s="11">
        <v>1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O112" s="11">
        <f ca="1">IFERROR(OFFSET(ITEM_RES!$A$1,MATCH(BP112,ITEM_RES!$J:$J,0)-1,0),0)</f>
        <v>0</v>
      </c>
      <c r="BQ112" s="11">
        <f t="shared" si="62"/>
        <v>0</v>
      </c>
    </row>
    <row r="113" spans="1:70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789</v>
      </c>
      <c r="M113" s="9" t="s">
        <v>948</v>
      </c>
      <c r="N113" s="9" t="s">
        <v>968</v>
      </c>
      <c r="O113" s="9">
        <v>1</v>
      </c>
      <c r="P113" s="9">
        <v>15</v>
      </c>
      <c r="Q113" s="9" t="s">
        <v>791</v>
      </c>
      <c r="U113" s="9" t="s">
        <v>790</v>
      </c>
      <c r="W113" s="85" t="s">
        <v>405</v>
      </c>
      <c r="X113" s="9">
        <f ca="1">IFERROR(OFFSET(ITEM_RES!$A$5,MATCH(BUILDING!W113,ITEM_RES!$J$5:$J$226,0)-1,0),0)</f>
        <v>211021001</v>
      </c>
      <c r="Y113" s="11">
        <v>10</v>
      </c>
      <c r="Z113" s="85" t="s">
        <v>543</v>
      </c>
      <c r="AA113" s="9">
        <f ca="1">IFERROR(OFFSET(ITEM_RES!$A$5,MATCH(BUILDING!Z113,ITEM_RES!$J$5:$J$226,0)-1,0),0)</f>
        <v>211021101</v>
      </c>
      <c r="AC113" s="9" t="s">
        <v>513</v>
      </c>
      <c r="AD113" s="9">
        <v>9</v>
      </c>
      <c r="AF113" s="11">
        <f ca="1">IFERROR(OFFSET(MANOR_LEVEL!$B$1,MATCH(AG113-1,MANOR_LEVEL!$A:$A,0)-1,0),0)</f>
        <v>4232000</v>
      </c>
      <c r="AG113" s="56">
        <v>16</v>
      </c>
      <c r="AI113" s="56">
        <f t="shared" ca="1" si="63"/>
        <v>16100</v>
      </c>
      <c r="AJ113" s="10">
        <f ca="1">AO113+AQ113+(IFERROR(OFFSET(ITEM_RES!$S$1,MATCH(AU113,ITEM_RES!$A:$A,0)-1,0),0)*AW113+IFERROR(OFFSET(ITEM_RES!$S$1,MATCH(AZ113,ITEM_RES!$A:$A,0)-1,0),0)*BB113+IFERROR(OFFSET(ITEM_RES!$S$1,MATCH(BE113,ITEM_RES!$A:$A,0)-1,0),0)*BG113+IFERROR(OFFSET(ITEM_RES!$S$1,MATCH(BJ113,ITEM_RES!$A:$A,0)-1,0),0)*BL113+IFERROR(OFFSET(ITEM_RES!$S$1,MATCH(BO113,ITEM_RES!$A:$A,0)-1,0),0)*BQ113)/1000</f>
        <v>16100.01</v>
      </c>
      <c r="AK113" s="183">
        <f t="shared" ca="1" si="65"/>
        <v>26300</v>
      </c>
      <c r="AM113" s="11">
        <f t="shared" si="24"/>
        <v>45</v>
      </c>
      <c r="AN113" s="10">
        <v>45</v>
      </c>
      <c r="AO113" s="11">
        <f t="shared" si="64"/>
        <v>150</v>
      </c>
      <c r="AP113" s="10">
        <v>150</v>
      </c>
      <c r="AQ113" s="11">
        <f t="shared" si="64"/>
        <v>150</v>
      </c>
      <c r="AR113" s="10">
        <v>150</v>
      </c>
      <c r="AS113" s="56">
        <f t="shared" si="29"/>
        <v>2</v>
      </c>
      <c r="AU113" s="11">
        <f ca="1">IFERROR(OFFSET(ITEM_RES!$A$1,MATCH(AV113,ITEM_RES!$J:$J,0)-1,0),0)</f>
        <v>211020201</v>
      </c>
      <c r="AV113" s="10" t="s">
        <v>431</v>
      </c>
      <c r="AW113" s="11">
        <v>1580000</v>
      </c>
      <c r="AZ113" s="11">
        <f ca="1">IFERROR(OFFSET(ITEM_RES!$A$1,MATCH(BA113,ITEM_RES!$J:$J,0)-1,0),0)</f>
        <v>211020401</v>
      </c>
      <c r="BA113" s="10" t="s">
        <v>423</v>
      </c>
      <c r="BB113" s="11">
        <v>1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O113" s="11">
        <f ca="1">IFERROR(OFFSET(ITEM_RES!$A$1,MATCH(BP113,ITEM_RES!$J:$J,0)-1,0),0)</f>
        <v>0</v>
      </c>
      <c r="BQ113" s="11">
        <f t="shared" si="62"/>
        <v>0</v>
      </c>
    </row>
    <row r="114" spans="1:70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789</v>
      </c>
      <c r="M114" s="9" t="s">
        <v>948</v>
      </c>
      <c r="N114" s="9" t="s">
        <v>968</v>
      </c>
      <c r="O114" s="9">
        <v>1</v>
      </c>
      <c r="P114" s="9">
        <v>15</v>
      </c>
      <c r="Q114" s="9" t="s">
        <v>791</v>
      </c>
      <c r="U114" s="9" t="s">
        <v>790</v>
      </c>
      <c r="W114" s="85" t="s">
        <v>405</v>
      </c>
      <c r="X114" s="9">
        <f ca="1">IFERROR(OFFSET(ITEM_RES!$A$5,MATCH(BUILDING!W114,ITEM_RES!$J$5:$J$226,0)-1,0),0)</f>
        <v>211021001</v>
      </c>
      <c r="Y114" s="11">
        <v>10</v>
      </c>
      <c r="Z114" s="85" t="s">
        <v>543</v>
      </c>
      <c r="AA114" s="9">
        <f ca="1">IFERROR(OFFSET(ITEM_RES!$A$5,MATCH(BUILDING!Z114,ITEM_RES!$J$5:$J$226,0)-1,0),0)</f>
        <v>211021101</v>
      </c>
      <c r="AC114" s="9" t="s">
        <v>513</v>
      </c>
      <c r="AD114" s="9">
        <v>10</v>
      </c>
      <c r="AF114" s="11">
        <f ca="1">IFERROR(OFFSET(MANOR_LEVEL!$B$1,MATCH(AG114-1,MANOR_LEVEL!$A:$A,0)-1,0),0)</f>
        <v>4232000</v>
      </c>
      <c r="AG114" s="56">
        <v>16</v>
      </c>
      <c r="AI114" s="56">
        <f t="shared" ca="1" si="63"/>
        <v>22400</v>
      </c>
      <c r="AJ114" s="10">
        <f ca="1">AO114+AQ114+(IFERROR(OFFSET(ITEM_RES!$S$1,MATCH(AU114,ITEM_RES!$A:$A,0)-1,0),0)*AW114+IFERROR(OFFSET(ITEM_RES!$S$1,MATCH(AZ114,ITEM_RES!$A:$A,0)-1,0),0)*BB114+IFERROR(OFFSET(ITEM_RES!$S$1,MATCH(BE114,ITEM_RES!$A:$A,0)-1,0),0)*BG114+IFERROR(OFFSET(ITEM_RES!$S$1,MATCH(BJ114,ITEM_RES!$A:$A,0)-1,0),0)*BL114+IFERROR(OFFSET(ITEM_RES!$S$1,MATCH(BO114,ITEM_RES!$A:$A,0)-1,0),0)*BQ114)/1000</f>
        <v>22400.01</v>
      </c>
      <c r="AK114" s="183">
        <f t="shared" ca="1" si="65"/>
        <v>38500</v>
      </c>
      <c r="AM114" s="11">
        <f t="shared" si="24"/>
        <v>50</v>
      </c>
      <c r="AN114" s="10">
        <v>50</v>
      </c>
      <c r="AO114" s="11">
        <f t="shared" si="64"/>
        <v>200</v>
      </c>
      <c r="AP114" s="10">
        <v>200</v>
      </c>
      <c r="AQ114" s="11">
        <f t="shared" si="64"/>
        <v>200</v>
      </c>
      <c r="AR114" s="10">
        <v>200</v>
      </c>
      <c r="AS114" s="56">
        <f t="shared" si="29"/>
        <v>2</v>
      </c>
      <c r="AU114" s="11">
        <f ca="1">IFERROR(OFFSET(ITEM_RES!$A$1,MATCH(AV114,ITEM_RES!$J:$J,0)-1,0),0)</f>
        <v>211020201</v>
      </c>
      <c r="AV114" s="10" t="s">
        <v>431</v>
      </c>
      <c r="AW114" s="11">
        <v>2200000</v>
      </c>
      <c r="AZ114" s="11">
        <f ca="1">IFERROR(OFFSET(ITEM_RES!$A$1,MATCH(BA114,ITEM_RES!$J:$J,0)-1,0),0)</f>
        <v>211020401</v>
      </c>
      <c r="BA114" s="10" t="s">
        <v>423</v>
      </c>
      <c r="BB114" s="11">
        <v>1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O114" s="11">
        <f ca="1">IFERROR(OFFSET(ITEM_RES!$A$1,MATCH(BP114,ITEM_RES!$J:$J,0)-1,0),0)</f>
        <v>0</v>
      </c>
      <c r="BQ114" s="11">
        <f t="shared" si="62"/>
        <v>0</v>
      </c>
    </row>
    <row r="115" spans="1:70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789</v>
      </c>
      <c r="M115" s="9" t="s">
        <v>948</v>
      </c>
      <c r="N115" s="9" t="s">
        <v>968</v>
      </c>
      <c r="O115" s="9">
        <v>1</v>
      </c>
      <c r="P115" s="9">
        <v>15</v>
      </c>
      <c r="Q115" s="9" t="s">
        <v>791</v>
      </c>
      <c r="U115" s="9" t="s">
        <v>790</v>
      </c>
      <c r="W115" s="85" t="s">
        <v>405</v>
      </c>
      <c r="X115" s="9">
        <f ca="1">IFERROR(OFFSET(ITEM_RES!$A$5,MATCH(BUILDING!W115,ITEM_RES!$J$5:$J$226,0)-1,0),0)</f>
        <v>211021001</v>
      </c>
      <c r="Y115" s="11">
        <v>10</v>
      </c>
      <c r="Z115" s="85" t="s">
        <v>543</v>
      </c>
      <c r="AA115" s="9">
        <f ca="1">IFERROR(OFFSET(ITEM_RES!$A$5,MATCH(BUILDING!Z115,ITEM_RES!$J$5:$J$226,0)-1,0),0)</f>
        <v>211021101</v>
      </c>
      <c r="AC115" s="9" t="s">
        <v>513</v>
      </c>
      <c r="AD115" s="9">
        <v>11</v>
      </c>
      <c r="AF115" s="11">
        <f ca="1">IFERROR(OFFSET(MANOR_LEVEL!$B$1,MATCH(AG115-1,MANOR_LEVEL!$A:$A,0)-1,0),0)</f>
        <v>4232000</v>
      </c>
      <c r="AG115" s="56">
        <v>16</v>
      </c>
      <c r="AI115" s="56">
        <f t="shared" ca="1" si="63"/>
        <v>880500</v>
      </c>
      <c r="AJ115" s="10">
        <f ca="1">AO115+AQ115+(IFERROR(OFFSET(ITEM_RES!$S$1,MATCH(AU115,ITEM_RES!$A:$A,0)-1,0),0)*AW115+IFERROR(OFFSET(ITEM_RES!$S$1,MATCH(AZ115,ITEM_RES!$A:$A,0)-1,0),0)*BB115+IFERROR(OFFSET(ITEM_RES!$S$1,MATCH(BE115,ITEM_RES!$A:$A,0)-1,0),0)*BG115+IFERROR(OFFSET(ITEM_RES!$S$1,MATCH(BJ115,ITEM_RES!$A:$A,0)-1,0),0)*BL115+IFERROR(OFFSET(ITEM_RES!$S$1,MATCH(BO115,ITEM_RES!$A:$A,0)-1,0),0)*BQ115)/1000</f>
        <v>880500.01</v>
      </c>
      <c r="AK115" s="183">
        <f t="shared" ca="1" si="65"/>
        <v>902900</v>
      </c>
      <c r="AM115" s="11">
        <f t="shared" si="24"/>
        <v>55</v>
      </c>
      <c r="AN115" s="10">
        <v>55</v>
      </c>
      <c r="AO115" s="11">
        <f t="shared" si="64"/>
        <v>250</v>
      </c>
      <c r="AP115" s="10">
        <v>250</v>
      </c>
      <c r="AQ115" s="11">
        <f t="shared" si="64"/>
        <v>250</v>
      </c>
      <c r="AR115" s="10">
        <v>250</v>
      </c>
      <c r="AS115" s="56">
        <f t="shared" si="29"/>
        <v>2</v>
      </c>
      <c r="AU115" s="11">
        <f ca="1">IFERROR(OFFSET(ITEM_RES!$A$1,MATCH(AV115,ITEM_RES!$J:$J,0)-1,0),0)</f>
        <v>211020301</v>
      </c>
      <c r="AV115" s="10" t="s">
        <v>394</v>
      </c>
      <c r="AW115" s="11">
        <v>4400000</v>
      </c>
      <c r="AZ115" s="11">
        <f ca="1">IFERROR(OFFSET(ITEM_RES!$A$1,MATCH(BA115,ITEM_RES!$J:$J,0)-1,0),0)</f>
        <v>211020401</v>
      </c>
      <c r="BA115" s="10" t="s">
        <v>423</v>
      </c>
      <c r="BB115" s="11">
        <v>1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O115" s="11">
        <f ca="1">IFERROR(OFFSET(ITEM_RES!$A$1,MATCH(BP115,ITEM_RES!$J:$J,0)-1,0),0)</f>
        <v>0</v>
      </c>
      <c r="BQ115" s="11">
        <f t="shared" si="62"/>
        <v>0</v>
      </c>
    </row>
    <row r="116" spans="1:70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789</v>
      </c>
      <c r="M116" s="9" t="s">
        <v>948</v>
      </c>
      <c r="N116" s="9" t="s">
        <v>968</v>
      </c>
      <c r="O116" s="9">
        <v>1</v>
      </c>
      <c r="P116" s="9">
        <v>15</v>
      </c>
      <c r="Q116" s="9" t="s">
        <v>791</v>
      </c>
      <c r="U116" s="9" t="s">
        <v>790</v>
      </c>
      <c r="W116" s="85" t="s">
        <v>405</v>
      </c>
      <c r="X116" s="9">
        <f ca="1">IFERROR(OFFSET(ITEM_RES!$A$5,MATCH(BUILDING!W116,ITEM_RES!$J$5:$J$226,0)-1,0),0)</f>
        <v>211021001</v>
      </c>
      <c r="Y116" s="11">
        <v>10</v>
      </c>
      <c r="Z116" s="85" t="s">
        <v>543</v>
      </c>
      <c r="AA116" s="9">
        <f ca="1">IFERROR(OFFSET(ITEM_RES!$A$5,MATCH(BUILDING!Z116,ITEM_RES!$J$5:$J$226,0)-1,0),0)</f>
        <v>211021101</v>
      </c>
      <c r="AC116" s="9" t="s">
        <v>513</v>
      </c>
      <c r="AD116" s="9">
        <v>12</v>
      </c>
      <c r="AF116" s="11">
        <f ca="1">IFERROR(OFFSET(MANOR_LEVEL!$B$1,MATCH(AG116-1,MANOR_LEVEL!$A:$A,0)-1,0),0)</f>
        <v>4232000</v>
      </c>
      <c r="AG116" s="56">
        <v>16</v>
      </c>
      <c r="AI116" s="56">
        <f t="shared" ca="1" si="63"/>
        <v>1040600</v>
      </c>
      <c r="AJ116" s="10">
        <f ca="1">AO116+AQ116+(IFERROR(OFFSET(ITEM_RES!$S$1,MATCH(AU116,ITEM_RES!$A:$A,0)-1,0),0)*AW116+IFERROR(OFFSET(ITEM_RES!$S$1,MATCH(AZ116,ITEM_RES!$A:$A,0)-1,0),0)*BB116+IFERROR(OFFSET(ITEM_RES!$S$1,MATCH(BE116,ITEM_RES!$A:$A,0)-1,0),0)*BG116+IFERROR(OFFSET(ITEM_RES!$S$1,MATCH(BJ116,ITEM_RES!$A:$A,0)-1,0),0)*BL116+IFERROR(OFFSET(ITEM_RES!$S$1,MATCH(BO116,ITEM_RES!$A:$A,0)-1,0),0)*BQ116)/1000</f>
        <v>1040600.01</v>
      </c>
      <c r="AK116" s="183">
        <f t="shared" ca="1" si="65"/>
        <v>1921100</v>
      </c>
      <c r="AM116" s="11">
        <f t="shared" si="24"/>
        <v>60</v>
      </c>
      <c r="AN116" s="10">
        <v>60</v>
      </c>
      <c r="AO116" s="11">
        <f t="shared" si="64"/>
        <v>300</v>
      </c>
      <c r="AP116" s="10">
        <v>300</v>
      </c>
      <c r="AQ116" s="11">
        <f t="shared" si="64"/>
        <v>300</v>
      </c>
      <c r="AR116" s="10">
        <v>300</v>
      </c>
      <c r="AS116" s="56">
        <f t="shared" si="29"/>
        <v>2</v>
      </c>
      <c r="AU116" s="11">
        <f ca="1">IFERROR(OFFSET(ITEM_RES!$A$1,MATCH(AV116,ITEM_RES!$J:$J,0)-1,0),0)</f>
        <v>211020301</v>
      </c>
      <c r="AV116" s="10" t="s">
        <v>394</v>
      </c>
      <c r="AW116" s="11">
        <v>5200000</v>
      </c>
      <c r="AZ116" s="11">
        <f ca="1">IFERROR(OFFSET(ITEM_RES!$A$1,MATCH(BA116,ITEM_RES!$J:$J,0)-1,0),0)</f>
        <v>211020401</v>
      </c>
      <c r="BA116" s="10" t="s">
        <v>423</v>
      </c>
      <c r="BB116" s="11">
        <v>1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O116" s="11">
        <f ca="1">IFERROR(OFFSET(ITEM_RES!$A$1,MATCH(BP116,ITEM_RES!$J:$J,0)-1,0),0)</f>
        <v>0</v>
      </c>
      <c r="BQ116" s="11">
        <f t="shared" si="62"/>
        <v>0</v>
      </c>
    </row>
    <row r="117" spans="1:70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789</v>
      </c>
      <c r="M117" s="9" t="s">
        <v>948</v>
      </c>
      <c r="N117" s="9" t="s">
        <v>968</v>
      </c>
      <c r="O117" s="9">
        <v>1</v>
      </c>
      <c r="P117" s="9">
        <v>15</v>
      </c>
      <c r="Q117" s="9" t="s">
        <v>791</v>
      </c>
      <c r="U117" s="9" t="s">
        <v>790</v>
      </c>
      <c r="W117" s="85" t="s">
        <v>405</v>
      </c>
      <c r="X117" s="9">
        <f ca="1">IFERROR(OFFSET(ITEM_RES!$A$5,MATCH(BUILDING!W117,ITEM_RES!$J$5:$J$226,0)-1,0),0)</f>
        <v>211021001</v>
      </c>
      <c r="Y117" s="11">
        <v>10</v>
      </c>
      <c r="Z117" s="85" t="s">
        <v>543</v>
      </c>
      <c r="AA117" s="9">
        <f ca="1">IFERROR(OFFSET(ITEM_RES!$A$5,MATCH(BUILDING!Z117,ITEM_RES!$J$5:$J$226,0)-1,0),0)</f>
        <v>211021101</v>
      </c>
      <c r="AC117" s="9" t="s">
        <v>513</v>
      </c>
      <c r="AD117" s="9">
        <v>13</v>
      </c>
      <c r="AF117" s="11">
        <f ca="1">IFERROR(OFFSET(MANOR_LEVEL!$B$1,MATCH(AG117-1,MANOR_LEVEL!$A:$A,0)-1,0),0)</f>
        <v>4232000</v>
      </c>
      <c r="AG117" s="56">
        <v>16</v>
      </c>
      <c r="AI117" s="56">
        <f t="shared" ca="1" si="63"/>
        <v>1720700</v>
      </c>
      <c r="AJ117" s="10">
        <f ca="1">AO117+AQ117+(IFERROR(OFFSET(ITEM_RES!$S$1,MATCH(AU117,ITEM_RES!$A:$A,0)-1,0),0)*AW117+IFERROR(OFFSET(ITEM_RES!$S$1,MATCH(AZ117,ITEM_RES!$A:$A,0)-1,0),0)*BB117+IFERROR(OFFSET(ITEM_RES!$S$1,MATCH(BE117,ITEM_RES!$A:$A,0)-1,0),0)*BG117+IFERROR(OFFSET(ITEM_RES!$S$1,MATCH(BJ117,ITEM_RES!$A:$A,0)-1,0),0)*BL117+IFERROR(OFFSET(ITEM_RES!$S$1,MATCH(BO117,ITEM_RES!$A:$A,0)-1,0),0)*BQ117)/1000</f>
        <v>1720700.01</v>
      </c>
      <c r="AK117" s="183">
        <f t="shared" ca="1" si="65"/>
        <v>2761300</v>
      </c>
      <c r="AM117" s="11">
        <f t="shared" si="24"/>
        <v>65</v>
      </c>
      <c r="AN117" s="10">
        <v>65</v>
      </c>
      <c r="AO117" s="11">
        <f t="shared" si="64"/>
        <v>350</v>
      </c>
      <c r="AP117" s="10">
        <v>350</v>
      </c>
      <c r="AQ117" s="11">
        <f t="shared" si="64"/>
        <v>350</v>
      </c>
      <c r="AR117" s="10">
        <v>350</v>
      </c>
      <c r="AS117" s="56">
        <f t="shared" si="29"/>
        <v>2</v>
      </c>
      <c r="AU117" s="11">
        <f ca="1">IFERROR(OFFSET(ITEM_RES!$A$1,MATCH(AV117,ITEM_RES!$J:$J,0)-1,0),0)</f>
        <v>211020301</v>
      </c>
      <c r="AV117" s="10" t="s">
        <v>394</v>
      </c>
      <c r="AW117" s="11">
        <v>8600000</v>
      </c>
      <c r="AZ117" s="11">
        <f ca="1">IFERROR(OFFSET(ITEM_RES!$A$1,MATCH(BA117,ITEM_RES!$J:$J,0)-1,0),0)</f>
        <v>211020401</v>
      </c>
      <c r="BA117" s="10" t="s">
        <v>423</v>
      </c>
      <c r="BB117" s="11">
        <v>1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O117" s="11">
        <f ca="1">IFERROR(OFFSET(ITEM_RES!$A$1,MATCH(BP117,ITEM_RES!$J:$J,0)-1,0),0)</f>
        <v>0</v>
      </c>
      <c r="BQ117" s="11">
        <f t="shared" si="62"/>
        <v>0</v>
      </c>
    </row>
    <row r="118" spans="1:70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789</v>
      </c>
      <c r="M118" s="9" t="s">
        <v>948</v>
      </c>
      <c r="N118" s="9" t="s">
        <v>968</v>
      </c>
      <c r="O118" s="9">
        <v>1</v>
      </c>
      <c r="P118" s="9">
        <v>15</v>
      </c>
      <c r="Q118" s="9" t="s">
        <v>791</v>
      </c>
      <c r="U118" s="9" t="s">
        <v>790</v>
      </c>
      <c r="W118" s="85" t="s">
        <v>405</v>
      </c>
      <c r="X118" s="9">
        <f ca="1">IFERROR(OFFSET(ITEM_RES!$A$5,MATCH(BUILDING!W118,ITEM_RES!$J$5:$J$226,0)-1,0),0)</f>
        <v>211021001</v>
      </c>
      <c r="Y118" s="11">
        <v>10</v>
      </c>
      <c r="Z118" s="85" t="s">
        <v>543</v>
      </c>
      <c r="AA118" s="9">
        <f ca="1">IFERROR(OFFSET(ITEM_RES!$A$5,MATCH(BUILDING!Z118,ITEM_RES!$J$5:$J$226,0)-1,0),0)</f>
        <v>211021101</v>
      </c>
      <c r="AC118" s="9" t="s">
        <v>513</v>
      </c>
      <c r="AD118" s="9">
        <v>14</v>
      </c>
      <c r="AF118" s="11">
        <f ca="1">IFERROR(OFFSET(MANOR_LEVEL!$B$1,MATCH(AG118-1,MANOR_LEVEL!$A:$A,0)-1,0),0)</f>
        <v>4232000</v>
      </c>
      <c r="AG118" s="56">
        <v>16</v>
      </c>
      <c r="AI118" s="56">
        <f t="shared" ca="1" si="63"/>
        <v>2640900</v>
      </c>
      <c r="AJ118" s="10">
        <f ca="1">AO118+AQ118+(IFERROR(OFFSET(ITEM_RES!$S$1,MATCH(AU118,ITEM_RES!$A:$A,0)-1,0),0)*AW118+IFERROR(OFFSET(ITEM_RES!$S$1,MATCH(AZ118,ITEM_RES!$A:$A,0)-1,0),0)*BB118+IFERROR(OFFSET(ITEM_RES!$S$1,MATCH(BE118,ITEM_RES!$A:$A,0)-1,0),0)*BG118+IFERROR(OFFSET(ITEM_RES!$S$1,MATCH(BJ118,ITEM_RES!$A:$A,0)-1,0),0)*BL118+IFERROR(OFFSET(ITEM_RES!$S$1,MATCH(BO118,ITEM_RES!$A:$A,0)-1,0),0)*BQ118)/1000</f>
        <v>2640900.0099999998</v>
      </c>
      <c r="AK118" s="183">
        <f t="shared" ca="1" si="65"/>
        <v>4361600</v>
      </c>
      <c r="AM118" s="11">
        <f t="shared" si="24"/>
        <v>70</v>
      </c>
      <c r="AN118" s="10">
        <v>70</v>
      </c>
      <c r="AO118" s="11">
        <f t="shared" si="64"/>
        <v>450</v>
      </c>
      <c r="AP118" s="10">
        <v>450</v>
      </c>
      <c r="AQ118" s="11">
        <f t="shared" si="64"/>
        <v>450</v>
      </c>
      <c r="AR118" s="10">
        <v>450</v>
      </c>
      <c r="AS118" s="56">
        <f t="shared" si="29"/>
        <v>2</v>
      </c>
      <c r="AU118" s="11">
        <f ca="1">IFERROR(OFFSET(ITEM_RES!$A$1,MATCH(AV118,ITEM_RES!$J:$J,0)-1,0),0)</f>
        <v>211020301</v>
      </c>
      <c r="AV118" s="10" t="s">
        <v>394</v>
      </c>
      <c r="AW118" s="11">
        <v>13200000</v>
      </c>
      <c r="AZ118" s="11">
        <f ca="1">IFERROR(OFFSET(ITEM_RES!$A$1,MATCH(BA118,ITEM_RES!$J:$J,0)-1,0),0)</f>
        <v>211020401</v>
      </c>
      <c r="BA118" s="10" t="s">
        <v>423</v>
      </c>
      <c r="BB118" s="11">
        <v>1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O118" s="11">
        <f ca="1">IFERROR(OFFSET(ITEM_RES!$A$1,MATCH(BP118,ITEM_RES!$J:$J,0)-1,0),0)</f>
        <v>0</v>
      </c>
      <c r="BQ118" s="11">
        <f t="shared" si="62"/>
        <v>0</v>
      </c>
    </row>
    <row r="119" spans="1:70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789</v>
      </c>
      <c r="M119" s="9" t="s">
        <v>948</v>
      </c>
      <c r="N119" s="9" t="s">
        <v>968</v>
      </c>
      <c r="O119" s="9">
        <v>1</v>
      </c>
      <c r="P119" s="9">
        <v>15</v>
      </c>
      <c r="Q119" s="9" t="s">
        <v>791</v>
      </c>
      <c r="U119" s="9" t="s">
        <v>790</v>
      </c>
      <c r="W119" s="85" t="s">
        <v>405</v>
      </c>
      <c r="X119" s="9">
        <f ca="1">IFERROR(OFFSET(ITEM_RES!$A$5,MATCH(BUILDING!W119,ITEM_RES!$J$5:$J$226,0)-1,0),0)</f>
        <v>211021001</v>
      </c>
      <c r="Y119" s="11">
        <v>10</v>
      </c>
      <c r="Z119" s="85" t="s">
        <v>543</v>
      </c>
      <c r="AA119" s="9">
        <f ca="1">IFERROR(OFFSET(ITEM_RES!$A$5,MATCH(BUILDING!Z119,ITEM_RES!$J$5:$J$226,0)-1,0),0)</f>
        <v>211021101</v>
      </c>
      <c r="AC119" s="9" t="s">
        <v>513</v>
      </c>
      <c r="AD119" s="9">
        <v>15</v>
      </c>
      <c r="AF119" s="11">
        <f ca="1">IFERROR(OFFSET(MANOR_LEVEL!$B$1,MATCH(AG119-1,MANOR_LEVEL!$A:$A,0)-1,0),0)</f>
        <v>4232000</v>
      </c>
      <c r="AG119" s="56">
        <v>16</v>
      </c>
      <c r="AI119" s="56">
        <f t="shared" ca="1" si="63"/>
        <v>4401100</v>
      </c>
      <c r="AJ119" s="10">
        <f ca="1">AO119+AQ119+(IFERROR(OFFSET(ITEM_RES!$S$1,MATCH(AU119,ITEM_RES!$A:$A,0)-1,0),0)*AW119+IFERROR(OFFSET(ITEM_RES!$S$1,MATCH(AZ119,ITEM_RES!$A:$A,0)-1,0),0)*BB119+IFERROR(OFFSET(ITEM_RES!$S$1,MATCH(BE119,ITEM_RES!$A:$A,0)-1,0),0)*BG119+IFERROR(OFFSET(ITEM_RES!$S$1,MATCH(BJ119,ITEM_RES!$A:$A,0)-1,0),0)*BL119+IFERROR(OFFSET(ITEM_RES!$S$1,MATCH(BO119,ITEM_RES!$A:$A,0)-1,0),0)*BQ119)/1000</f>
        <v>4401100.2</v>
      </c>
      <c r="AK119" s="183">
        <f t="shared" ca="1" si="65"/>
        <v>7042000</v>
      </c>
      <c r="AM119" s="11">
        <f t="shared" si="24"/>
        <v>75</v>
      </c>
      <c r="AN119" s="10">
        <v>75</v>
      </c>
      <c r="AO119" s="11">
        <f t="shared" si="64"/>
        <v>550</v>
      </c>
      <c r="AP119" s="10">
        <v>550</v>
      </c>
      <c r="AQ119" s="11">
        <f t="shared" si="64"/>
        <v>550</v>
      </c>
      <c r="AR119" s="10">
        <v>550</v>
      </c>
      <c r="AS119" s="56">
        <f t="shared" si="29"/>
        <v>2</v>
      </c>
      <c r="AU119" s="11">
        <f ca="1">IFERROR(OFFSET(ITEM_RES!$A$1,MATCH(AV119,ITEM_RES!$J:$J,0)-1,0),0)</f>
        <v>211020301</v>
      </c>
      <c r="AV119" s="10" t="s">
        <v>394</v>
      </c>
      <c r="AW119" s="11">
        <v>22000000</v>
      </c>
      <c r="AZ119" s="11">
        <f ca="1">IFERROR(OFFSET(ITEM_RES!$A$1,MATCH(BA119,ITEM_RES!$J:$J,0)-1,0),0)</f>
        <v>211020501</v>
      </c>
      <c r="BA119" s="10" t="s">
        <v>424</v>
      </c>
      <c r="BB119" s="11">
        <v>1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O119" s="11">
        <f ca="1">IFERROR(OFFSET(ITEM_RES!$A$1,MATCH(BP119,ITEM_RES!$J:$J,0)-1,0),0)</f>
        <v>0</v>
      </c>
      <c r="BQ119" s="11">
        <f t="shared" si="62"/>
        <v>0</v>
      </c>
    </row>
    <row r="120" spans="1:70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789</v>
      </c>
      <c r="M120" s="9" t="s">
        <v>948</v>
      </c>
      <c r="N120" s="9" t="s">
        <v>968</v>
      </c>
      <c r="O120" s="9">
        <v>0</v>
      </c>
      <c r="P120" s="9">
        <v>15</v>
      </c>
      <c r="Q120" s="9" t="s">
        <v>791</v>
      </c>
      <c r="U120" s="9" t="s">
        <v>790</v>
      </c>
      <c r="W120" s="85" t="s">
        <v>405</v>
      </c>
      <c r="X120" s="9">
        <f ca="1">IFERROR(OFFSET(ITEM_RES!$A$5,MATCH(BUILDING!W120,ITEM_RES!$J$5:$J$226,0)-1,0),0)</f>
        <v>211021001</v>
      </c>
      <c r="Y120" s="11">
        <v>10</v>
      </c>
      <c r="Z120" s="85" t="s">
        <v>543</v>
      </c>
      <c r="AA120" s="9">
        <f ca="1">IFERROR(OFFSET(ITEM_RES!$A$5,MATCH(BUILDING!Z120,ITEM_RES!$J$5:$J$226,0)-1,0),0)</f>
        <v>211021101</v>
      </c>
      <c r="AC120" s="9" t="s">
        <v>513</v>
      </c>
      <c r="AD120" s="9">
        <v>16</v>
      </c>
      <c r="AF120" s="11">
        <f ca="1">IFERROR(OFFSET(MANOR_LEVEL!$B$1,MATCH(AG120-1,MANOR_LEVEL!$A:$A,0)-1,0),0)</f>
        <v>4232000</v>
      </c>
      <c r="AG120" s="56">
        <v>16</v>
      </c>
      <c r="AI120" s="56">
        <f t="shared" ca="1" si="63"/>
        <v>6001400</v>
      </c>
      <c r="AJ120" s="10">
        <f ca="1">AO120+AQ120+(IFERROR(OFFSET(ITEM_RES!$S$1,MATCH(AU120,ITEM_RES!$A:$A,0)-1,0),0)*AW120+IFERROR(OFFSET(ITEM_RES!$S$1,MATCH(AZ120,ITEM_RES!$A:$A,0)-1,0),0)*BB120+IFERROR(OFFSET(ITEM_RES!$S$1,MATCH(BE120,ITEM_RES!$A:$A,0)-1,0),0)*BG120+IFERROR(OFFSET(ITEM_RES!$S$1,MATCH(BJ120,ITEM_RES!$A:$A,0)-1,0),0)*BL120+IFERROR(OFFSET(ITEM_RES!$S$1,MATCH(BO120,ITEM_RES!$A:$A,0)-1,0),0)*BQ120)/1000</f>
        <v>6001400.2000000002</v>
      </c>
      <c r="AK120" s="183">
        <f t="shared" ca="1" si="65"/>
        <v>10402500</v>
      </c>
      <c r="AM120" s="11">
        <f t="shared" si="24"/>
        <v>80</v>
      </c>
      <c r="AN120" s="10">
        <v>80</v>
      </c>
      <c r="AO120" s="11">
        <f t="shared" si="64"/>
        <v>700</v>
      </c>
      <c r="AP120" s="10">
        <v>700</v>
      </c>
      <c r="AQ120" s="11">
        <f t="shared" si="64"/>
        <v>700</v>
      </c>
      <c r="AR120" s="10">
        <v>700</v>
      </c>
      <c r="AS120" s="56">
        <f t="shared" si="29"/>
        <v>2</v>
      </c>
      <c r="AU120" s="11">
        <f ca="1">IFERROR(OFFSET(ITEM_RES!$A$1,MATCH(AV120,ITEM_RES!$J:$J,0)-1,0),0)</f>
        <v>211020301</v>
      </c>
      <c r="AV120" s="10" t="s">
        <v>394</v>
      </c>
      <c r="AW120" s="11">
        <v>30000000</v>
      </c>
      <c r="AZ120" s="11">
        <f ca="1">IFERROR(OFFSET(ITEM_RES!$A$1,MATCH(BA120,ITEM_RES!$J:$J,0)-1,0),0)</f>
        <v>211020501</v>
      </c>
      <c r="BA120" s="10" t="s">
        <v>424</v>
      </c>
      <c r="BB120" s="11">
        <v>1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O120" s="11">
        <f ca="1">IFERROR(OFFSET(ITEM_RES!$A$1,MATCH(BP120,ITEM_RES!$J:$J,0)-1,0),0)</f>
        <v>0</v>
      </c>
      <c r="BQ120" s="11">
        <f t="shared" si="62"/>
        <v>0</v>
      </c>
    </row>
    <row r="121" spans="1:70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789</v>
      </c>
      <c r="M121" s="9" t="s">
        <v>948</v>
      </c>
      <c r="N121" s="9" t="s">
        <v>968</v>
      </c>
      <c r="O121" s="9">
        <v>0</v>
      </c>
      <c r="P121" s="9">
        <v>15</v>
      </c>
      <c r="Q121" s="9" t="s">
        <v>791</v>
      </c>
      <c r="U121" s="9" t="s">
        <v>790</v>
      </c>
      <c r="W121" s="85" t="s">
        <v>405</v>
      </c>
      <c r="X121" s="9">
        <f ca="1">IFERROR(OFFSET(ITEM_RES!$A$5,MATCH(BUILDING!W121,ITEM_RES!$J$5:$J$226,0)-1,0),0)</f>
        <v>211021001</v>
      </c>
      <c r="Y121" s="11">
        <v>10</v>
      </c>
      <c r="Z121" s="85" t="s">
        <v>543</v>
      </c>
      <c r="AA121" s="9">
        <f ca="1">IFERROR(OFFSET(ITEM_RES!$A$5,MATCH(BUILDING!Z121,ITEM_RES!$J$5:$J$226,0)-1,0),0)</f>
        <v>211021101</v>
      </c>
      <c r="AC121" s="9" t="s">
        <v>513</v>
      </c>
      <c r="AD121" s="9">
        <v>17</v>
      </c>
      <c r="AF121" s="11">
        <f ca="1">IFERROR(OFFSET(MANOR_LEVEL!$B$1,MATCH(AG121-1,MANOR_LEVEL!$A:$A,0)-1,0),0)</f>
        <v>4232000</v>
      </c>
      <c r="AG121" s="56">
        <v>16</v>
      </c>
      <c r="AI121" s="56">
        <f t="shared" ca="1" si="63"/>
        <v>9201700</v>
      </c>
      <c r="AJ121" s="10">
        <f ca="1">AO121+AQ121+(IFERROR(OFFSET(ITEM_RES!$S$1,MATCH(AU121,ITEM_RES!$A:$A,0)-1,0),0)*AW121+IFERROR(OFFSET(ITEM_RES!$S$1,MATCH(AZ121,ITEM_RES!$A:$A,0)-1,0),0)*BB121+IFERROR(OFFSET(ITEM_RES!$S$1,MATCH(BE121,ITEM_RES!$A:$A,0)-1,0),0)*BG121+IFERROR(OFFSET(ITEM_RES!$S$1,MATCH(BJ121,ITEM_RES!$A:$A,0)-1,0),0)*BL121+IFERROR(OFFSET(ITEM_RES!$S$1,MATCH(BO121,ITEM_RES!$A:$A,0)-1,0),0)*BQ121)/1000</f>
        <v>9201700.1999999993</v>
      </c>
      <c r="AK121" s="183">
        <f t="shared" ca="1" si="65"/>
        <v>15203100</v>
      </c>
      <c r="AM121" s="11">
        <f t="shared" si="24"/>
        <v>85</v>
      </c>
      <c r="AN121" s="10">
        <v>85</v>
      </c>
      <c r="AO121" s="11">
        <f t="shared" si="64"/>
        <v>850</v>
      </c>
      <c r="AP121" s="10">
        <v>850</v>
      </c>
      <c r="AQ121" s="11">
        <f t="shared" si="64"/>
        <v>850</v>
      </c>
      <c r="AR121" s="10">
        <v>850</v>
      </c>
      <c r="AS121" s="56">
        <f t="shared" si="29"/>
        <v>2</v>
      </c>
      <c r="AU121" s="11">
        <f ca="1">IFERROR(OFFSET(ITEM_RES!$A$1,MATCH(AV121,ITEM_RES!$J:$J,0)-1,0),0)</f>
        <v>211020301</v>
      </c>
      <c r="AV121" s="10" t="s">
        <v>1139</v>
      </c>
      <c r="AW121" s="11">
        <v>46000000</v>
      </c>
      <c r="AZ121" s="11">
        <f ca="1">IFERROR(OFFSET(ITEM_RES!$A$1,MATCH(BA121,ITEM_RES!$J:$J,0)-1,0),0)</f>
        <v>211020501</v>
      </c>
      <c r="BA121" s="10" t="s">
        <v>424</v>
      </c>
      <c r="BB121" s="11">
        <v>1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O121" s="11">
        <f ca="1">IFERROR(OFFSET(ITEM_RES!$A$1,MATCH(BP121,ITEM_RES!$J:$J,0)-1,0),0)</f>
        <v>0</v>
      </c>
      <c r="BQ121" s="11">
        <f t="shared" si="62"/>
        <v>0</v>
      </c>
    </row>
    <row r="122" spans="1:70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789</v>
      </c>
      <c r="M122" s="9" t="s">
        <v>948</v>
      </c>
      <c r="N122" s="9" t="s">
        <v>968</v>
      </c>
      <c r="O122" s="9">
        <v>0</v>
      </c>
      <c r="P122" s="9">
        <v>15</v>
      </c>
      <c r="Q122" s="9" t="s">
        <v>791</v>
      </c>
      <c r="U122" s="9" t="s">
        <v>790</v>
      </c>
      <c r="W122" s="85" t="s">
        <v>405</v>
      </c>
      <c r="X122" s="9">
        <f ca="1">IFERROR(OFFSET(ITEM_RES!$A$5,MATCH(BUILDING!W122,ITEM_RES!$J$5:$J$226,0)-1,0),0)</f>
        <v>211021001</v>
      </c>
      <c r="Y122" s="11">
        <v>10</v>
      </c>
      <c r="Z122" s="85" t="s">
        <v>543</v>
      </c>
      <c r="AA122" s="9">
        <f ca="1">IFERROR(OFFSET(ITEM_RES!$A$5,MATCH(BUILDING!Z122,ITEM_RES!$J$5:$J$226,0)-1,0),0)</f>
        <v>211021101</v>
      </c>
      <c r="AC122" s="9" t="s">
        <v>513</v>
      </c>
      <c r="AD122" s="9">
        <v>18</v>
      </c>
      <c r="AF122" s="11">
        <f ca="1">IFERROR(OFFSET(MANOR_LEVEL!$B$1,MATCH(AG122-1,MANOR_LEVEL!$A:$A,0)-1,0),0)</f>
        <v>4232000</v>
      </c>
      <c r="AG122" s="56">
        <v>16</v>
      </c>
      <c r="AI122" s="56">
        <f t="shared" ca="1" si="63"/>
        <v>14002100</v>
      </c>
      <c r="AJ122" s="10">
        <f ca="1">AO122+AQ122+(IFERROR(OFFSET(ITEM_RES!$S$1,MATCH(AU122,ITEM_RES!$A:$A,0)-1,0),0)*AW122+IFERROR(OFFSET(ITEM_RES!$S$1,MATCH(AZ122,ITEM_RES!$A:$A,0)-1,0),0)*BB122+IFERROR(OFFSET(ITEM_RES!$S$1,MATCH(BE122,ITEM_RES!$A:$A,0)-1,0),0)*BG122+IFERROR(OFFSET(ITEM_RES!$S$1,MATCH(BJ122,ITEM_RES!$A:$A,0)-1,0),0)*BL122+IFERROR(OFFSET(ITEM_RES!$S$1,MATCH(BO122,ITEM_RES!$A:$A,0)-1,0),0)*BQ122)/1000</f>
        <v>14002100.199999999</v>
      </c>
      <c r="AK122" s="183">
        <f t="shared" ca="1" si="65"/>
        <v>23203800</v>
      </c>
      <c r="AM122" s="11">
        <f t="shared" si="24"/>
        <v>90</v>
      </c>
      <c r="AN122" s="10">
        <v>90</v>
      </c>
      <c r="AO122" s="11">
        <f t="shared" si="64"/>
        <v>1050</v>
      </c>
      <c r="AP122" s="10">
        <v>1050</v>
      </c>
      <c r="AQ122" s="11">
        <f t="shared" si="64"/>
        <v>1050</v>
      </c>
      <c r="AR122" s="10">
        <v>1050</v>
      </c>
      <c r="AS122" s="56">
        <f t="shared" si="29"/>
        <v>2</v>
      </c>
      <c r="AU122" s="11">
        <f ca="1">IFERROR(OFFSET(ITEM_RES!$A$1,MATCH(AV122,ITEM_RES!$J:$J,0)-1,0),0)</f>
        <v>211020301</v>
      </c>
      <c r="AV122" s="10" t="s">
        <v>1139</v>
      </c>
      <c r="AW122" s="11">
        <v>70000000</v>
      </c>
      <c r="AZ122" s="11">
        <f ca="1">IFERROR(OFFSET(ITEM_RES!$A$1,MATCH(BA122,ITEM_RES!$J:$J,0)-1,0),0)</f>
        <v>211020501</v>
      </c>
      <c r="BA122" s="10" t="s">
        <v>424</v>
      </c>
      <c r="BB122" s="11">
        <v>1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O122" s="11">
        <f ca="1">IFERROR(OFFSET(ITEM_RES!$A$1,MATCH(BP122,ITEM_RES!$J:$J,0)-1,0),0)</f>
        <v>0</v>
      </c>
      <c r="BQ122" s="11">
        <f t="shared" si="62"/>
        <v>0</v>
      </c>
    </row>
    <row r="123" spans="1:70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789</v>
      </c>
      <c r="M123" s="9" t="s">
        <v>948</v>
      </c>
      <c r="N123" s="9" t="s">
        <v>968</v>
      </c>
      <c r="O123" s="9">
        <v>0</v>
      </c>
      <c r="P123" s="9">
        <v>15</v>
      </c>
      <c r="Q123" s="9" t="s">
        <v>791</v>
      </c>
      <c r="U123" s="9" t="s">
        <v>790</v>
      </c>
      <c r="W123" s="85" t="s">
        <v>405</v>
      </c>
      <c r="X123" s="9">
        <f ca="1">IFERROR(OFFSET(ITEM_RES!$A$5,MATCH(BUILDING!W123,ITEM_RES!$J$5:$J$226,0)-1,0),0)</f>
        <v>211021001</v>
      </c>
      <c r="Y123" s="11">
        <v>10</v>
      </c>
      <c r="Z123" s="85" t="s">
        <v>543</v>
      </c>
      <c r="AA123" s="9">
        <f ca="1">IFERROR(OFFSET(ITEM_RES!$A$5,MATCH(BUILDING!Z123,ITEM_RES!$J$5:$J$226,0)-1,0),0)</f>
        <v>211021101</v>
      </c>
      <c r="AC123" s="9" t="s">
        <v>513</v>
      </c>
      <c r="AD123" s="9">
        <v>19</v>
      </c>
      <c r="AF123" s="11">
        <f ca="1">IFERROR(OFFSET(MANOR_LEVEL!$B$1,MATCH(AG123-1,MANOR_LEVEL!$A:$A,0)-1,0),0)</f>
        <v>4232000</v>
      </c>
      <c r="AG123" s="56">
        <v>16</v>
      </c>
      <c r="AI123" s="56">
        <f t="shared" ca="1" si="63"/>
        <v>19202500</v>
      </c>
      <c r="AJ123" s="10">
        <f ca="1">AO123+AQ123+(IFERROR(OFFSET(ITEM_RES!$S$1,MATCH(AU123,ITEM_RES!$A:$A,0)-1,0),0)*AW123+IFERROR(OFFSET(ITEM_RES!$S$1,MATCH(AZ123,ITEM_RES!$A:$A,0)-1,0),0)*BB123+IFERROR(OFFSET(ITEM_RES!$S$1,MATCH(BE123,ITEM_RES!$A:$A,0)-1,0),0)*BG123+IFERROR(OFFSET(ITEM_RES!$S$1,MATCH(BJ123,ITEM_RES!$A:$A,0)-1,0),0)*BL123+IFERROR(OFFSET(ITEM_RES!$S$1,MATCH(BO123,ITEM_RES!$A:$A,0)-1,0),0)*BQ123)/1000</f>
        <v>19202500.199999999</v>
      </c>
      <c r="AK123" s="183">
        <f t="shared" ca="1" si="65"/>
        <v>33204600</v>
      </c>
      <c r="AM123" s="11">
        <f t="shared" si="24"/>
        <v>95</v>
      </c>
      <c r="AN123" s="10">
        <v>95</v>
      </c>
      <c r="AO123" s="11">
        <f t="shared" si="64"/>
        <v>1250</v>
      </c>
      <c r="AP123" s="10">
        <v>1250</v>
      </c>
      <c r="AQ123" s="11">
        <f t="shared" si="64"/>
        <v>1250</v>
      </c>
      <c r="AR123" s="10">
        <v>1250</v>
      </c>
      <c r="AS123" s="56">
        <f t="shared" si="29"/>
        <v>2</v>
      </c>
      <c r="AU123" s="11">
        <f ca="1">IFERROR(OFFSET(ITEM_RES!$A$1,MATCH(AV123,ITEM_RES!$J:$J,0)-1,0),0)</f>
        <v>211020301</v>
      </c>
      <c r="AV123" s="10" t="s">
        <v>1139</v>
      </c>
      <c r="AW123" s="11">
        <v>96000000</v>
      </c>
      <c r="AZ123" s="11">
        <f ca="1">IFERROR(OFFSET(ITEM_RES!$A$1,MATCH(BA123,ITEM_RES!$J:$J,0)-1,0),0)</f>
        <v>211020501</v>
      </c>
      <c r="BA123" s="10" t="s">
        <v>424</v>
      </c>
      <c r="BB123" s="11">
        <v>1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O123" s="11">
        <f ca="1">IFERROR(OFFSET(ITEM_RES!$A$1,MATCH(BP123,ITEM_RES!$J:$J,0)-1,0),0)</f>
        <v>0</v>
      </c>
      <c r="BQ123" s="11">
        <f t="shared" si="62"/>
        <v>0</v>
      </c>
    </row>
    <row r="124" spans="1:70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789</v>
      </c>
      <c r="M124" s="9" t="s">
        <v>948</v>
      </c>
      <c r="N124" s="9" t="s">
        <v>968</v>
      </c>
      <c r="O124" s="9">
        <v>0</v>
      </c>
      <c r="P124" s="9">
        <v>15</v>
      </c>
      <c r="Q124" s="9" t="s">
        <v>791</v>
      </c>
      <c r="U124" s="9" t="s">
        <v>790</v>
      </c>
      <c r="W124" s="85" t="s">
        <v>405</v>
      </c>
      <c r="X124" s="9">
        <f ca="1">IFERROR(OFFSET(ITEM_RES!$A$5,MATCH(BUILDING!W124,ITEM_RES!$J$5:$J$226,0)-1,0),0)</f>
        <v>211021001</v>
      </c>
      <c r="Y124" s="11">
        <v>10</v>
      </c>
      <c r="Z124" s="85" t="s">
        <v>543</v>
      </c>
      <c r="AA124" s="9">
        <f ca="1">IFERROR(OFFSET(ITEM_RES!$A$5,MATCH(BUILDING!Z124,ITEM_RES!$J$5:$J$226,0)-1,0),0)</f>
        <v>211021101</v>
      </c>
      <c r="AC124" s="9" t="s">
        <v>513</v>
      </c>
      <c r="AD124" s="9">
        <v>20</v>
      </c>
      <c r="AF124" s="11">
        <f ca="1">IFERROR(OFFSET(MANOR_LEVEL!$B$1,MATCH(AG124-1,MANOR_LEVEL!$A:$A,0)-1,0),0)</f>
        <v>4232000</v>
      </c>
      <c r="AG124" s="56">
        <v>16</v>
      </c>
      <c r="AI124" s="56">
        <f t="shared" ca="1" si="63"/>
        <v>30403000</v>
      </c>
      <c r="AJ124" s="10">
        <f ca="1">AO124+AQ124+(IFERROR(OFFSET(ITEM_RES!$S$1,MATCH(AU124,ITEM_RES!$A:$A,0)-1,0),0)*AW124+IFERROR(OFFSET(ITEM_RES!$S$1,MATCH(AZ124,ITEM_RES!$A:$A,0)-1,0),0)*BB124+IFERROR(OFFSET(ITEM_RES!$S$1,MATCH(BE124,ITEM_RES!$A:$A,0)-1,0),0)*BG124+IFERROR(OFFSET(ITEM_RES!$S$1,MATCH(BJ124,ITEM_RES!$A:$A,0)-1,0),0)*BL124+IFERROR(OFFSET(ITEM_RES!$S$1,MATCH(BO124,ITEM_RES!$A:$A,0)-1,0),0)*BQ124)/1000</f>
        <v>30403000.199999999</v>
      </c>
      <c r="AK124" s="183">
        <f t="shared" ca="1" si="65"/>
        <v>49605500</v>
      </c>
      <c r="AM124" s="11">
        <f t="shared" si="24"/>
        <v>100</v>
      </c>
      <c r="AN124" s="10">
        <v>100</v>
      </c>
      <c r="AO124" s="11">
        <f t="shared" si="64"/>
        <v>1500</v>
      </c>
      <c r="AP124" s="10">
        <v>1500</v>
      </c>
      <c r="AQ124" s="11">
        <f t="shared" si="64"/>
        <v>1500</v>
      </c>
      <c r="AR124" s="10">
        <v>1500</v>
      </c>
      <c r="AS124" s="56">
        <f t="shared" si="29"/>
        <v>2</v>
      </c>
      <c r="AU124" s="11">
        <f ca="1">IFERROR(OFFSET(ITEM_RES!$A$1,MATCH(AV124,ITEM_RES!$J:$J,0)-1,0),0)</f>
        <v>211020301</v>
      </c>
      <c r="AV124" s="10" t="s">
        <v>1139</v>
      </c>
      <c r="AW124" s="11">
        <v>152000000</v>
      </c>
      <c r="AZ124" s="11">
        <f ca="1">IFERROR(OFFSET(ITEM_RES!$A$1,MATCH(BA124,ITEM_RES!$J:$J,0)-1,0),0)</f>
        <v>211020501</v>
      </c>
      <c r="BA124" s="10" t="s">
        <v>424</v>
      </c>
      <c r="BB124" s="11">
        <v>1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O124" s="11">
        <f ca="1">IFERROR(OFFSET(ITEM_RES!$A$1,MATCH(BP124,ITEM_RES!$J:$J,0)-1,0),0)</f>
        <v>0</v>
      </c>
      <c r="BQ124" s="11">
        <f t="shared" si="62"/>
        <v>0</v>
      </c>
    </row>
    <row r="125" spans="1:70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79"/>
      <c r="H125" s="16">
        <v>1</v>
      </c>
      <c r="I125" s="16">
        <v>1</v>
      </c>
      <c r="J125" s="79"/>
      <c r="K125" s="16" t="s">
        <v>360</v>
      </c>
      <c r="L125" s="16">
        <v>1</v>
      </c>
      <c r="M125" s="16" t="s">
        <v>949</v>
      </c>
      <c r="N125" s="16" t="s">
        <v>969</v>
      </c>
      <c r="O125" s="16">
        <v>1</v>
      </c>
      <c r="P125" s="16">
        <v>15</v>
      </c>
      <c r="Q125" s="16" t="s">
        <v>788</v>
      </c>
      <c r="R125" s="17"/>
      <c r="S125" s="17"/>
      <c r="T125" s="18"/>
      <c r="U125" s="16" t="s">
        <v>704</v>
      </c>
      <c r="V125" s="79"/>
      <c r="W125" s="87"/>
      <c r="X125" s="16">
        <f ca="1">IFERROR(OFFSET(ITEM_RES!$A$5,MATCH(BUILDING!W125,ITEM_RES!$J$5:$J$226,0)-1,0),0)</f>
        <v>0</v>
      </c>
      <c r="Y125" s="18"/>
      <c r="Z125" s="87" t="s">
        <v>544</v>
      </c>
      <c r="AA125" s="16">
        <f ca="1">IFERROR(OFFSET(ITEM_RES!$A$5,MATCH(BUILDING!Z125,ITEM_RES!$J$5:$J$226,0)-1,0),0)</f>
        <v>211010501</v>
      </c>
      <c r="AB125" s="79"/>
      <c r="AC125" s="16" t="s">
        <v>514</v>
      </c>
      <c r="AD125" s="16">
        <v>1</v>
      </c>
      <c r="AE125" s="79"/>
      <c r="AF125" s="18">
        <f ca="1">IFERROR(OFFSET(MANOR_LEVEL!$B$1,MATCH(AG125-1,MANOR_LEVEL!$A:$A,0)-1,0),0)</f>
        <v>0</v>
      </c>
      <c r="AG125" s="57">
        <v>1</v>
      </c>
      <c r="AH125" s="79"/>
      <c r="AI125" s="57">
        <f t="shared" ca="1" si="63"/>
        <v>110</v>
      </c>
      <c r="AJ125" s="17">
        <f ca="1">AO125+AQ125+(IFERROR(OFFSET(ITEM_RES!$S$1,MATCH(AU125,ITEM_RES!$A:$A,0)-1,0),0)*AW125+IFERROR(OFFSET(ITEM_RES!$S$1,MATCH(AZ125,ITEM_RES!$A:$A,0)-1,0),0)*BB125+IFERROR(OFFSET(ITEM_RES!$S$1,MATCH(BE125,ITEM_RES!$A:$A,0)-1,0),0)*BG125+IFERROR(OFFSET(ITEM_RES!$S$1,MATCH(BJ125,ITEM_RES!$A:$A,0)-1,0),0)*BL125+IFERROR(OFFSET(ITEM_RES!$S$1,MATCH(BO125,ITEM_RES!$A:$A,0)-1,0),0)*BQ125)/1000</f>
        <v>110.21</v>
      </c>
      <c r="AK125" s="185">
        <f ca="1">AI125</f>
        <v>110</v>
      </c>
      <c r="AL125" s="79"/>
      <c r="AM125" s="18">
        <f t="shared" si="24"/>
        <v>5</v>
      </c>
      <c r="AN125" s="17">
        <v>5</v>
      </c>
      <c r="AO125" s="18">
        <f t="shared" si="64"/>
        <v>5</v>
      </c>
      <c r="AP125" s="17">
        <v>5</v>
      </c>
      <c r="AQ125" s="18">
        <f t="shared" si="64"/>
        <v>5</v>
      </c>
      <c r="AR125" s="17">
        <v>5</v>
      </c>
      <c r="AS125" s="57">
        <f t="shared" si="29"/>
        <v>3</v>
      </c>
      <c r="AT125" s="18"/>
      <c r="AU125" s="18">
        <f ca="1">IFERROR(OFFSET(ITEM_RES!$A$1,MATCH(AV125,ITEM_RES!$J:$J,0)-1,0),0)</f>
        <v>211010501</v>
      </c>
      <c r="AV125" s="17" t="s">
        <v>1224</v>
      </c>
      <c r="AW125" s="18">
        <v>20</v>
      </c>
      <c r="AX125" s="17"/>
      <c r="AY125" s="18"/>
      <c r="AZ125" s="18">
        <f ca="1">IFERROR(OFFSET(ITEM_RES!$A$1,MATCH(BA125,ITEM_RES!$J:$J,0)-1,0),0)</f>
        <v>211020401</v>
      </c>
      <c r="BA125" s="17" t="s">
        <v>1222</v>
      </c>
      <c r="BB125" s="18">
        <v>1</v>
      </c>
      <c r="BC125" s="17"/>
      <c r="BD125" s="18"/>
      <c r="BE125" s="18">
        <f ca="1">IFERROR(OFFSET(ITEM_RES!$A$1,MATCH(BF125,ITEM_RES!$J:$J,0)-1,0),0)</f>
        <v>213010101</v>
      </c>
      <c r="BF125" s="17" t="s">
        <v>452</v>
      </c>
      <c r="BG125" s="18">
        <v>1</v>
      </c>
      <c r="BH125" s="17"/>
      <c r="BI125" s="18"/>
      <c r="BJ125" s="18">
        <f ca="1">IFERROR(OFFSET(ITEM_RES!$A$1,MATCH(BK125,ITEM_RES!$J:$J,0)-1,0),0)</f>
        <v>0</v>
      </c>
      <c r="BK125" s="17"/>
      <c r="BL125" s="18"/>
      <c r="BM125" s="17"/>
      <c r="BN125" s="18"/>
      <c r="BO125" s="18">
        <f ca="1">IFERROR(OFFSET(ITEM_RES!$A$1,MATCH(BP125,ITEM_RES!$J:$J,0)-1,0),0)</f>
        <v>0</v>
      </c>
      <c r="BP125" s="17"/>
      <c r="BQ125" s="18">
        <f t="shared" si="62"/>
        <v>0</v>
      </c>
      <c r="BR125" s="17"/>
    </row>
    <row r="126" spans="1:70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M126" s="9" t="s">
        <v>949</v>
      </c>
      <c r="N126" s="9" t="s">
        <v>969</v>
      </c>
      <c r="O126" s="9">
        <v>1</v>
      </c>
      <c r="P126" s="9">
        <v>15</v>
      </c>
      <c r="Q126" s="9" t="s">
        <v>788</v>
      </c>
      <c r="U126" s="9" t="s">
        <v>704</v>
      </c>
      <c r="X126" s="9">
        <f ca="1">IFERROR(OFFSET(ITEM_RES!$A$5,MATCH(BUILDING!W126,ITEM_RES!$J$5:$J$226,0)-1,0),0)</f>
        <v>0</v>
      </c>
      <c r="Z126" s="85" t="s">
        <v>544</v>
      </c>
      <c r="AA126" s="9">
        <f ca="1">IFERROR(OFFSET(ITEM_RES!$A$5,MATCH(BUILDING!Z126,ITEM_RES!$J$5:$J$226,0)-1,0),0)</f>
        <v>211010501</v>
      </c>
      <c r="AC126" s="9" t="s">
        <v>514</v>
      </c>
      <c r="AD126" s="9">
        <v>2</v>
      </c>
      <c r="AF126" s="11">
        <f ca="1">IFERROR(OFFSET(MANOR_LEVEL!$B$1,MATCH(AG126-1,MANOR_LEVEL!$A:$A,0)-1,0),0)</f>
        <v>0</v>
      </c>
      <c r="AG126" s="56">
        <v>1</v>
      </c>
      <c r="AI126" s="56">
        <f t="shared" ca="1" si="63"/>
        <v>20</v>
      </c>
      <c r="AJ126" s="10">
        <f ca="1">AO126+AQ126+(IFERROR(OFFSET(ITEM_RES!$S$1,MATCH(AU126,ITEM_RES!$A:$A,0)-1,0),0)*AW126+IFERROR(OFFSET(ITEM_RES!$S$1,MATCH(AZ126,ITEM_RES!$A:$A,0)-1,0),0)*BB126+IFERROR(OFFSET(ITEM_RES!$S$1,MATCH(BE126,ITEM_RES!$A:$A,0)-1,0),0)*BG126+IFERROR(OFFSET(ITEM_RES!$S$1,MATCH(BJ126,ITEM_RES!$A:$A,0)-1,0),0)*BL126+IFERROR(OFFSET(ITEM_RES!$S$1,MATCH(BO126,ITEM_RES!$A:$A,0)-1,0),0)*BQ126)/1000</f>
        <v>20.21</v>
      </c>
      <c r="AK126" s="183">
        <f ca="1">AI125+AI126</f>
        <v>130</v>
      </c>
      <c r="AM126" s="11">
        <f t="shared" si="24"/>
        <v>10</v>
      </c>
      <c r="AN126" s="10">
        <v>10</v>
      </c>
      <c r="AO126" s="11">
        <f t="shared" si="64"/>
        <v>10</v>
      </c>
      <c r="AP126" s="10">
        <v>10</v>
      </c>
      <c r="AQ126" s="11">
        <f t="shared" si="64"/>
        <v>10</v>
      </c>
      <c r="AR126" s="10">
        <v>10</v>
      </c>
      <c r="AS126" s="56">
        <f t="shared" si="29"/>
        <v>2</v>
      </c>
      <c r="AU126" s="11">
        <f ca="1">IFERROR(OFFSET(ITEM_RES!$A$1,MATCH(AV126,ITEM_RES!$J:$J,0)-1,0),0)</f>
        <v>211010501</v>
      </c>
      <c r="AV126" s="10" t="s">
        <v>1224</v>
      </c>
      <c r="AW126" s="11">
        <v>20</v>
      </c>
      <c r="AZ126" s="11">
        <f ca="1">IFERROR(OFFSET(ITEM_RES!$A$1,MATCH(BA126,ITEM_RES!$J:$J,0)-1,0),0)</f>
        <v>211020401</v>
      </c>
      <c r="BA126" s="10" t="s">
        <v>1222</v>
      </c>
      <c r="BB126" s="11">
        <v>1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O126" s="11">
        <f ca="1">IFERROR(OFFSET(ITEM_RES!$A$1,MATCH(BP126,ITEM_RES!$J:$J,0)-1,0),0)</f>
        <v>0</v>
      </c>
      <c r="BQ126" s="11">
        <f t="shared" si="62"/>
        <v>0</v>
      </c>
    </row>
    <row r="127" spans="1:70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M127" s="9" t="s">
        <v>949</v>
      </c>
      <c r="N127" s="9" t="s">
        <v>969</v>
      </c>
      <c r="O127" s="9">
        <v>1</v>
      </c>
      <c r="P127" s="9">
        <v>15</v>
      </c>
      <c r="Q127" s="9" t="s">
        <v>788</v>
      </c>
      <c r="U127" s="9" t="s">
        <v>704</v>
      </c>
      <c r="X127" s="9">
        <f ca="1">IFERROR(OFFSET(ITEM_RES!$A$5,MATCH(BUILDING!W127,ITEM_RES!$J$5:$J$226,0)-1,0),0)</f>
        <v>0</v>
      </c>
      <c r="Z127" s="85" t="s">
        <v>544</v>
      </c>
      <c r="AA127" s="9">
        <f ca="1">IFERROR(OFFSET(ITEM_RES!$A$5,MATCH(BUILDING!Z127,ITEM_RES!$J$5:$J$226,0)-1,0),0)</f>
        <v>211010501</v>
      </c>
      <c r="AC127" s="9" t="s">
        <v>514</v>
      </c>
      <c r="AD127" s="9">
        <v>3</v>
      </c>
      <c r="AF127" s="11">
        <f ca="1">IFERROR(OFFSET(MANOR_LEVEL!$B$1,MATCH(AG127-1,MANOR_LEVEL!$A:$A,0)-1,0),0)</f>
        <v>0</v>
      </c>
      <c r="AG127" s="56">
        <v>1</v>
      </c>
      <c r="AI127" s="56">
        <f t="shared" ca="1" si="63"/>
        <v>32</v>
      </c>
      <c r="AJ127" s="10">
        <f ca="1">AO127+AQ127+(IFERROR(OFFSET(ITEM_RES!$S$1,MATCH(AU127,ITEM_RES!$A:$A,0)-1,0),0)*AW127+IFERROR(OFFSET(ITEM_RES!$S$1,MATCH(AZ127,ITEM_RES!$A:$A,0)-1,0),0)*BB127+IFERROR(OFFSET(ITEM_RES!$S$1,MATCH(BE127,ITEM_RES!$A:$A,0)-1,0),0)*BG127+IFERROR(OFFSET(ITEM_RES!$S$1,MATCH(BJ127,ITEM_RES!$A:$A,0)-1,0),0)*BL127+IFERROR(OFFSET(ITEM_RES!$S$1,MATCH(BO127,ITEM_RES!$A:$A,0)-1,0),0)*BQ127)/1000</f>
        <v>31.61</v>
      </c>
      <c r="AK127" s="183">
        <f t="shared" ref="AK127:AK144" ca="1" si="66">AI126+AI127</f>
        <v>52</v>
      </c>
      <c r="AM127" s="11">
        <f t="shared" si="24"/>
        <v>15</v>
      </c>
      <c r="AN127" s="10">
        <v>15</v>
      </c>
      <c r="AO127" s="11">
        <f t="shared" si="64"/>
        <v>15</v>
      </c>
      <c r="AP127" s="10">
        <v>15</v>
      </c>
      <c r="AQ127" s="11">
        <f t="shared" si="64"/>
        <v>15</v>
      </c>
      <c r="AR127" s="10">
        <v>15</v>
      </c>
      <c r="AS127" s="56">
        <f t="shared" si="29"/>
        <v>2</v>
      </c>
      <c r="AU127" s="11">
        <f ca="1">IFERROR(OFFSET(ITEM_RES!$A$1,MATCH(AV127,ITEM_RES!$J:$J,0)-1,0),0)</f>
        <v>211010501</v>
      </c>
      <c r="AV127" s="10" t="s">
        <v>1224</v>
      </c>
      <c r="AW127" s="11">
        <v>160</v>
      </c>
      <c r="AZ127" s="11">
        <f ca="1">IFERROR(OFFSET(ITEM_RES!$A$1,MATCH(BA127,ITEM_RES!$J:$J,0)-1,0),0)</f>
        <v>211020401</v>
      </c>
      <c r="BA127" s="10" t="s">
        <v>1222</v>
      </c>
      <c r="BB127" s="11">
        <v>1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O127" s="11">
        <f ca="1">IFERROR(OFFSET(ITEM_RES!$A$1,MATCH(BP127,ITEM_RES!$J:$J,0)-1,0),0)</f>
        <v>0</v>
      </c>
      <c r="BQ127" s="11">
        <f t="shared" si="62"/>
        <v>0</v>
      </c>
    </row>
    <row r="128" spans="1:70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M128" s="9" t="s">
        <v>949</v>
      </c>
      <c r="N128" s="9" t="s">
        <v>969</v>
      </c>
      <c r="O128" s="9">
        <v>1</v>
      </c>
      <c r="P128" s="9">
        <v>15</v>
      </c>
      <c r="Q128" s="9" t="s">
        <v>788</v>
      </c>
      <c r="U128" s="9" t="s">
        <v>704</v>
      </c>
      <c r="X128" s="9">
        <f ca="1">IFERROR(OFFSET(ITEM_RES!$A$5,MATCH(BUILDING!W128,ITEM_RES!$J$5:$J$226,0)-1,0),0)</f>
        <v>0</v>
      </c>
      <c r="Z128" s="85" t="s">
        <v>544</v>
      </c>
      <c r="AA128" s="9">
        <f ca="1">IFERROR(OFFSET(ITEM_RES!$A$5,MATCH(BUILDING!Z128,ITEM_RES!$J$5:$J$226,0)-1,0),0)</f>
        <v>211010501</v>
      </c>
      <c r="AC128" s="9" t="s">
        <v>514</v>
      </c>
      <c r="AD128" s="9">
        <v>4</v>
      </c>
      <c r="AF128" s="11">
        <f ca="1">IFERROR(OFFSET(MANOR_LEVEL!$B$1,MATCH(AG128-1,MANOR_LEVEL!$A:$A,0)-1,0),0)</f>
        <v>0</v>
      </c>
      <c r="AG128" s="56">
        <v>1</v>
      </c>
      <c r="AI128" s="56">
        <f t="shared" ca="1" si="63"/>
        <v>69</v>
      </c>
      <c r="AJ128" s="10">
        <f ca="1">AO128+AQ128+(IFERROR(OFFSET(ITEM_RES!$S$1,MATCH(AU128,ITEM_RES!$A:$A,0)-1,0),0)*AW128+IFERROR(OFFSET(ITEM_RES!$S$1,MATCH(AZ128,ITEM_RES!$A:$A,0)-1,0),0)*BB128+IFERROR(OFFSET(ITEM_RES!$S$1,MATCH(BE128,ITEM_RES!$A:$A,0)-1,0),0)*BG128+IFERROR(OFFSET(ITEM_RES!$S$1,MATCH(BJ128,ITEM_RES!$A:$A,0)-1,0),0)*BL128+IFERROR(OFFSET(ITEM_RES!$S$1,MATCH(BO128,ITEM_RES!$A:$A,0)-1,0),0)*BQ128)/1000</f>
        <v>69.210000000000008</v>
      </c>
      <c r="AK128" s="183">
        <f t="shared" ca="1" si="66"/>
        <v>101</v>
      </c>
      <c r="AM128" s="11">
        <f t="shared" si="24"/>
        <v>20</v>
      </c>
      <c r="AN128" s="10">
        <v>20</v>
      </c>
      <c r="AO128" s="11">
        <f t="shared" si="64"/>
        <v>25</v>
      </c>
      <c r="AP128" s="10">
        <v>25</v>
      </c>
      <c r="AQ128" s="11">
        <f t="shared" si="64"/>
        <v>25</v>
      </c>
      <c r="AR128" s="10">
        <v>25</v>
      </c>
      <c r="AS128" s="56">
        <f t="shared" si="29"/>
        <v>2</v>
      </c>
      <c r="AU128" s="11">
        <f ca="1">IFERROR(OFFSET(ITEM_RES!$A$1,MATCH(AV128,ITEM_RES!$J:$J,0)-1,0),0)</f>
        <v>211010501</v>
      </c>
      <c r="AV128" s="10" t="s">
        <v>1224</v>
      </c>
      <c r="AW128" s="11">
        <v>1920</v>
      </c>
      <c r="AZ128" s="11">
        <f ca="1">IFERROR(OFFSET(ITEM_RES!$A$1,MATCH(BA128,ITEM_RES!$J:$J,0)-1,0),0)</f>
        <v>211020401</v>
      </c>
      <c r="BA128" s="10" t="s">
        <v>1222</v>
      </c>
      <c r="BB128" s="11">
        <v>1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O128" s="11">
        <f ca="1">IFERROR(OFFSET(ITEM_RES!$A$1,MATCH(BP128,ITEM_RES!$J:$J,0)-1,0),0)</f>
        <v>0</v>
      </c>
      <c r="BQ128" s="11">
        <f t="shared" si="62"/>
        <v>0</v>
      </c>
    </row>
    <row r="129" spans="1:69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M129" s="9" t="s">
        <v>949</v>
      </c>
      <c r="N129" s="9" t="s">
        <v>969</v>
      </c>
      <c r="O129" s="9">
        <v>1</v>
      </c>
      <c r="P129" s="9">
        <v>15</v>
      </c>
      <c r="Q129" s="9" t="s">
        <v>788</v>
      </c>
      <c r="U129" s="9" t="s">
        <v>704</v>
      </c>
      <c r="X129" s="9">
        <f ca="1">IFERROR(OFFSET(ITEM_RES!$A$5,MATCH(BUILDING!W129,ITEM_RES!$J$5:$J$226,0)-1,0),0)</f>
        <v>0</v>
      </c>
      <c r="Z129" s="85" t="s">
        <v>544</v>
      </c>
      <c r="AA129" s="9">
        <f ca="1">IFERROR(OFFSET(ITEM_RES!$A$5,MATCH(BUILDING!Z129,ITEM_RES!$J$5:$J$226,0)-1,0),0)</f>
        <v>211010501</v>
      </c>
      <c r="AC129" s="9" t="s">
        <v>514</v>
      </c>
      <c r="AD129" s="9">
        <v>5</v>
      </c>
      <c r="AF129" s="11">
        <f ca="1">IFERROR(OFFSET(MANOR_LEVEL!$B$1,MATCH(AG129-1,MANOR_LEVEL!$A:$A,0)-1,0),0)</f>
        <v>444</v>
      </c>
      <c r="AG129" s="56">
        <v>2</v>
      </c>
      <c r="AI129" s="56">
        <f t="shared" ca="1" si="63"/>
        <v>340</v>
      </c>
      <c r="AJ129" s="10">
        <f ca="1">AO129+AQ129+(IFERROR(OFFSET(ITEM_RES!$S$1,MATCH(AU129,ITEM_RES!$A:$A,0)-1,0),0)*AW129+IFERROR(OFFSET(ITEM_RES!$S$1,MATCH(AZ129,ITEM_RES!$A:$A,0)-1,0),0)*BB129+IFERROR(OFFSET(ITEM_RES!$S$1,MATCH(BE129,ITEM_RES!$A:$A,0)-1,0),0)*BG129+IFERROR(OFFSET(ITEM_RES!$S$1,MATCH(BJ129,ITEM_RES!$A:$A,0)-1,0),0)*BL129+IFERROR(OFFSET(ITEM_RES!$S$1,MATCH(BO129,ITEM_RES!$A:$A,0)-1,0),0)*BQ129)/1000</f>
        <v>340.01</v>
      </c>
      <c r="AK129" s="183">
        <f t="shared" ca="1" si="66"/>
        <v>409</v>
      </c>
      <c r="AM129" s="11">
        <f t="shared" si="24"/>
        <v>25</v>
      </c>
      <c r="AN129" s="10">
        <v>25</v>
      </c>
      <c r="AO129" s="11">
        <f t="shared" si="64"/>
        <v>40</v>
      </c>
      <c r="AP129" s="10">
        <v>40</v>
      </c>
      <c r="AQ129" s="11">
        <f t="shared" si="64"/>
        <v>40</v>
      </c>
      <c r="AR129" s="10">
        <v>40</v>
      </c>
      <c r="AS129" s="56">
        <f t="shared" si="29"/>
        <v>2</v>
      </c>
      <c r="AU129" s="11">
        <f ca="1">IFERROR(OFFSET(ITEM_RES!$A$1,MATCH(AV129,ITEM_RES!$J:$J,0)-1,0),0)</f>
        <v>211010501</v>
      </c>
      <c r="AV129" s="10" t="s">
        <v>1224</v>
      </c>
      <c r="AW129" s="11">
        <v>26000</v>
      </c>
      <c r="AZ129" s="11">
        <f ca="1">IFERROR(OFFSET(ITEM_RES!$A$1,MATCH(BA129,ITEM_RES!$J:$J,0)-1,0),0)</f>
        <v>211020401</v>
      </c>
      <c r="BA129" s="10" t="s">
        <v>1222</v>
      </c>
      <c r="BB129" s="11">
        <v>1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O129" s="11">
        <f ca="1">IFERROR(OFFSET(ITEM_RES!$A$1,MATCH(BP129,ITEM_RES!$J:$J,0)-1,0),0)</f>
        <v>0</v>
      </c>
      <c r="BQ129" s="11">
        <f t="shared" si="62"/>
        <v>0</v>
      </c>
    </row>
    <row r="130" spans="1:69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M130" s="9" t="s">
        <v>949</v>
      </c>
      <c r="N130" s="9" t="s">
        <v>969</v>
      </c>
      <c r="O130" s="9">
        <v>1</v>
      </c>
      <c r="P130" s="9">
        <v>15</v>
      </c>
      <c r="Q130" s="9" t="s">
        <v>788</v>
      </c>
      <c r="U130" s="9" t="s">
        <v>704</v>
      </c>
      <c r="X130" s="9">
        <f ca="1">IFERROR(OFFSET(ITEM_RES!$A$5,MATCH(BUILDING!W130,ITEM_RES!$J$5:$J$226,0)-1,0),0)</f>
        <v>0</v>
      </c>
      <c r="Z130" s="85" t="s">
        <v>544</v>
      </c>
      <c r="AA130" s="9">
        <f ca="1">IFERROR(OFFSET(ITEM_RES!$A$5,MATCH(BUILDING!Z130,ITEM_RES!$J$5:$J$226,0)-1,0),0)</f>
        <v>211010501</v>
      </c>
      <c r="AC130" s="9" t="s">
        <v>514</v>
      </c>
      <c r="AD130" s="9">
        <v>6</v>
      </c>
      <c r="AF130" s="11">
        <f ca="1">IFERROR(OFFSET(MANOR_LEVEL!$B$1,MATCH(AG130-1,MANOR_LEVEL!$A:$A,0)-1,0),0)</f>
        <v>528</v>
      </c>
      <c r="AG130" s="56">
        <v>3</v>
      </c>
      <c r="AI130" s="56">
        <f t="shared" ca="1" si="63"/>
        <v>2500</v>
      </c>
      <c r="AJ130" s="10">
        <f ca="1">AO130+AQ130+(IFERROR(OFFSET(ITEM_RES!$S$1,MATCH(AU130,ITEM_RES!$A:$A,0)-1,0),0)*AW130+IFERROR(OFFSET(ITEM_RES!$S$1,MATCH(AZ130,ITEM_RES!$A:$A,0)-1,0),0)*BB130+IFERROR(OFFSET(ITEM_RES!$S$1,MATCH(BE130,ITEM_RES!$A:$A,0)-1,0),0)*BG130+IFERROR(OFFSET(ITEM_RES!$S$1,MATCH(BJ130,ITEM_RES!$A:$A,0)-1,0),0)*BL130+IFERROR(OFFSET(ITEM_RES!$S$1,MATCH(BO130,ITEM_RES!$A:$A,0)-1,0),0)*BQ130)/1000</f>
        <v>2500.0100000000002</v>
      </c>
      <c r="AK130" s="183">
        <f t="shared" ca="1" si="66"/>
        <v>2840</v>
      </c>
      <c r="AM130" s="11">
        <f t="shared" si="24"/>
        <v>30</v>
      </c>
      <c r="AN130" s="10">
        <v>30</v>
      </c>
      <c r="AO130" s="11">
        <f t="shared" si="64"/>
        <v>50</v>
      </c>
      <c r="AP130" s="10">
        <v>50</v>
      </c>
      <c r="AQ130" s="11">
        <f t="shared" si="64"/>
        <v>50</v>
      </c>
      <c r="AR130" s="10">
        <v>50</v>
      </c>
      <c r="AS130" s="56">
        <f t="shared" si="29"/>
        <v>2</v>
      </c>
      <c r="AU130" s="11">
        <f ca="1">IFERROR(OFFSET(ITEM_RES!$A$1,MATCH(AV130,ITEM_RES!$J:$J,0)-1,0),0)</f>
        <v>211010501</v>
      </c>
      <c r="AV130" s="10" t="s">
        <v>1224</v>
      </c>
      <c r="AW130" s="11">
        <v>240000</v>
      </c>
      <c r="AZ130" s="11">
        <f ca="1">IFERROR(OFFSET(ITEM_RES!$A$1,MATCH(BA130,ITEM_RES!$J:$J,0)-1,0),0)</f>
        <v>211020401</v>
      </c>
      <c r="BA130" s="10" t="s">
        <v>1222</v>
      </c>
      <c r="BB130" s="11">
        <v>1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O130" s="11">
        <f ca="1">IFERROR(OFFSET(ITEM_RES!$A$1,MATCH(BP130,ITEM_RES!$J:$J,0)-1,0),0)</f>
        <v>0</v>
      </c>
      <c r="BQ130" s="11">
        <f t="shared" si="62"/>
        <v>0</v>
      </c>
    </row>
    <row r="131" spans="1:69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M131" s="9" t="s">
        <v>949</v>
      </c>
      <c r="N131" s="9" t="s">
        <v>969</v>
      </c>
      <c r="O131" s="9">
        <v>1</v>
      </c>
      <c r="P131" s="9">
        <v>15</v>
      </c>
      <c r="Q131" s="9" t="s">
        <v>788</v>
      </c>
      <c r="U131" s="9" t="s">
        <v>704</v>
      </c>
      <c r="X131" s="9">
        <f ca="1">IFERROR(OFFSET(ITEM_RES!$A$5,MATCH(BUILDING!W131,ITEM_RES!$J$5:$J$226,0)-1,0),0)</f>
        <v>0</v>
      </c>
      <c r="Z131" s="85" t="s">
        <v>544</v>
      </c>
      <c r="AA131" s="9">
        <f ca="1">IFERROR(OFFSET(ITEM_RES!$A$5,MATCH(BUILDING!Z131,ITEM_RES!$J$5:$J$226,0)-1,0),0)</f>
        <v>211010501</v>
      </c>
      <c r="AC131" s="9" t="s">
        <v>514</v>
      </c>
      <c r="AD131" s="9">
        <v>7</v>
      </c>
      <c r="AF131" s="11">
        <f ca="1">IFERROR(OFFSET(MANOR_LEVEL!$B$1,MATCH(AG131-1,MANOR_LEVEL!$A:$A,0)-1,0),0)</f>
        <v>800</v>
      </c>
      <c r="AG131" s="56">
        <v>4</v>
      </c>
      <c r="AI131" s="56">
        <f t="shared" ca="1" si="63"/>
        <v>5600</v>
      </c>
      <c r="AJ131" s="10">
        <f ca="1">AO131+AQ131+(IFERROR(OFFSET(ITEM_RES!$S$1,MATCH(AU131,ITEM_RES!$A:$A,0)-1,0),0)*AW131+IFERROR(OFFSET(ITEM_RES!$S$1,MATCH(AZ131,ITEM_RES!$A:$A,0)-1,0),0)*BB131+IFERROR(OFFSET(ITEM_RES!$S$1,MATCH(BE131,ITEM_RES!$A:$A,0)-1,0),0)*BG131+IFERROR(OFFSET(ITEM_RES!$S$1,MATCH(BJ131,ITEM_RES!$A:$A,0)-1,0),0)*BL131+IFERROR(OFFSET(ITEM_RES!$S$1,MATCH(BO131,ITEM_RES!$A:$A,0)-1,0),0)*BQ131)/1000</f>
        <v>5600.01</v>
      </c>
      <c r="AK131" s="183">
        <f t="shared" ca="1" si="66"/>
        <v>8100</v>
      </c>
      <c r="AM131" s="11">
        <f t="shared" si="24"/>
        <v>35</v>
      </c>
      <c r="AN131" s="10">
        <v>35</v>
      </c>
      <c r="AO131" s="11">
        <f t="shared" si="64"/>
        <v>100</v>
      </c>
      <c r="AP131" s="10">
        <v>100</v>
      </c>
      <c r="AQ131" s="11">
        <f t="shared" si="64"/>
        <v>100</v>
      </c>
      <c r="AR131" s="10">
        <v>100</v>
      </c>
      <c r="AS131" s="56">
        <f t="shared" si="29"/>
        <v>2</v>
      </c>
      <c r="AU131" s="11">
        <f ca="1">IFERROR(OFFSET(ITEM_RES!$A$1,MATCH(AV131,ITEM_RES!$J:$J,0)-1,0),0)</f>
        <v>211010501</v>
      </c>
      <c r="AV131" s="10" t="s">
        <v>1224</v>
      </c>
      <c r="AW131" s="11">
        <v>540000</v>
      </c>
      <c r="AZ131" s="11">
        <f ca="1">IFERROR(OFFSET(ITEM_RES!$A$1,MATCH(BA131,ITEM_RES!$J:$J,0)-1,0),0)</f>
        <v>211020401</v>
      </c>
      <c r="BA131" s="10" t="s">
        <v>1222</v>
      </c>
      <c r="BB131" s="11">
        <v>1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O131" s="11">
        <f ca="1">IFERROR(OFFSET(ITEM_RES!$A$1,MATCH(BP131,ITEM_RES!$J:$J,0)-1,0),0)</f>
        <v>0</v>
      </c>
      <c r="BQ131" s="11">
        <f t="shared" si="62"/>
        <v>0</v>
      </c>
    </row>
    <row r="132" spans="1:69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M132" s="9" t="s">
        <v>949</v>
      </c>
      <c r="N132" s="9" t="s">
        <v>969</v>
      </c>
      <c r="O132" s="9">
        <v>1</v>
      </c>
      <c r="P132" s="9">
        <v>15</v>
      </c>
      <c r="Q132" s="9" t="s">
        <v>788</v>
      </c>
      <c r="U132" s="9" t="s">
        <v>704</v>
      </c>
      <c r="X132" s="9">
        <f ca="1">IFERROR(OFFSET(ITEM_RES!$A$5,MATCH(BUILDING!W132,ITEM_RES!$J$5:$J$226,0)-1,0),0)</f>
        <v>0</v>
      </c>
      <c r="Z132" s="85" t="s">
        <v>544</v>
      </c>
      <c r="AA132" s="9">
        <f ca="1">IFERROR(OFFSET(ITEM_RES!$A$5,MATCH(BUILDING!Z132,ITEM_RES!$J$5:$J$226,0)-1,0),0)</f>
        <v>211010501</v>
      </c>
      <c r="AC132" s="9" t="s">
        <v>514</v>
      </c>
      <c r="AD132" s="9">
        <v>8</v>
      </c>
      <c r="AF132" s="11">
        <f ca="1">IFERROR(OFFSET(MANOR_LEVEL!$B$1,MATCH(AG132-1,MANOR_LEVEL!$A:$A,0)-1,0),0)</f>
        <v>1500</v>
      </c>
      <c r="AG132" s="56">
        <v>5</v>
      </c>
      <c r="AI132" s="56">
        <f t="shared" ca="1" si="63"/>
        <v>10200</v>
      </c>
      <c r="AJ132" s="10">
        <f ca="1">AO132+AQ132+(IFERROR(OFFSET(ITEM_RES!$S$1,MATCH(AU132,ITEM_RES!$A:$A,0)-1,0),0)*AW132+IFERROR(OFFSET(ITEM_RES!$S$1,MATCH(AZ132,ITEM_RES!$A:$A,0)-1,0),0)*BB132+IFERROR(OFFSET(ITEM_RES!$S$1,MATCH(BE132,ITEM_RES!$A:$A,0)-1,0),0)*BG132+IFERROR(OFFSET(ITEM_RES!$S$1,MATCH(BJ132,ITEM_RES!$A:$A,0)-1,0),0)*BL132+IFERROR(OFFSET(ITEM_RES!$S$1,MATCH(BO132,ITEM_RES!$A:$A,0)-1,0),0)*BQ132)/1000</f>
        <v>10200.01</v>
      </c>
      <c r="AK132" s="183">
        <f t="shared" ca="1" si="66"/>
        <v>15800</v>
      </c>
      <c r="AM132" s="11">
        <f t="shared" si="24"/>
        <v>40</v>
      </c>
      <c r="AN132" s="10">
        <v>40</v>
      </c>
      <c r="AO132" s="11">
        <f t="shared" si="64"/>
        <v>100</v>
      </c>
      <c r="AP132" s="10">
        <v>100</v>
      </c>
      <c r="AQ132" s="11">
        <f t="shared" si="64"/>
        <v>100</v>
      </c>
      <c r="AR132" s="10">
        <v>100</v>
      </c>
      <c r="AS132" s="56">
        <f t="shared" si="29"/>
        <v>2</v>
      </c>
      <c r="AU132" s="11">
        <f ca="1">IFERROR(OFFSET(ITEM_RES!$A$1,MATCH(AV132,ITEM_RES!$J:$J,0)-1,0),0)</f>
        <v>211010501</v>
      </c>
      <c r="AV132" s="10" t="s">
        <v>1224</v>
      </c>
      <c r="AW132" s="11">
        <v>1000000</v>
      </c>
      <c r="AZ132" s="11">
        <f ca="1">IFERROR(OFFSET(ITEM_RES!$A$1,MATCH(BA132,ITEM_RES!$J:$J,0)-1,0),0)</f>
        <v>211020401</v>
      </c>
      <c r="BA132" s="10" t="s">
        <v>1222</v>
      </c>
      <c r="BB132" s="11">
        <v>1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O132" s="11">
        <f ca="1">IFERROR(OFFSET(ITEM_RES!$A$1,MATCH(BP132,ITEM_RES!$J:$J,0)-1,0),0)</f>
        <v>0</v>
      </c>
      <c r="BQ132" s="11">
        <f t="shared" si="62"/>
        <v>0</v>
      </c>
    </row>
    <row r="133" spans="1:69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M133" s="9" t="s">
        <v>949</v>
      </c>
      <c r="N133" s="9" t="s">
        <v>969</v>
      </c>
      <c r="O133" s="9">
        <v>1</v>
      </c>
      <c r="P133" s="9">
        <v>15</v>
      </c>
      <c r="Q133" s="9" t="s">
        <v>788</v>
      </c>
      <c r="U133" s="9" t="s">
        <v>704</v>
      </c>
      <c r="X133" s="9">
        <f ca="1">IFERROR(OFFSET(ITEM_RES!$A$5,MATCH(BUILDING!W133,ITEM_RES!$J$5:$J$226,0)-1,0),0)</f>
        <v>0</v>
      </c>
      <c r="Z133" s="85" t="s">
        <v>544</v>
      </c>
      <c r="AA133" s="9">
        <f ca="1">IFERROR(OFFSET(ITEM_RES!$A$5,MATCH(BUILDING!Z133,ITEM_RES!$J$5:$J$226,0)-1,0),0)</f>
        <v>211010501</v>
      </c>
      <c r="AC133" s="9" t="s">
        <v>514</v>
      </c>
      <c r="AD133" s="9">
        <v>9</v>
      </c>
      <c r="AF133" s="11">
        <f ca="1">IFERROR(OFFSET(MANOR_LEVEL!$B$1,MATCH(AG133-1,MANOR_LEVEL!$A:$A,0)-1,0),0)</f>
        <v>3872</v>
      </c>
      <c r="AG133" s="56">
        <v>6</v>
      </c>
      <c r="AI133" s="56">
        <f t="shared" ca="1" si="63"/>
        <v>16100</v>
      </c>
      <c r="AJ133" s="10">
        <f ca="1">AO133+AQ133+(IFERROR(OFFSET(ITEM_RES!$S$1,MATCH(AU133,ITEM_RES!$A:$A,0)-1,0),0)*AW133+IFERROR(OFFSET(ITEM_RES!$S$1,MATCH(AZ133,ITEM_RES!$A:$A,0)-1,0),0)*BB133+IFERROR(OFFSET(ITEM_RES!$S$1,MATCH(BE133,ITEM_RES!$A:$A,0)-1,0),0)*BG133+IFERROR(OFFSET(ITEM_RES!$S$1,MATCH(BJ133,ITEM_RES!$A:$A,0)-1,0),0)*BL133+IFERROR(OFFSET(ITEM_RES!$S$1,MATCH(BO133,ITEM_RES!$A:$A,0)-1,0),0)*BQ133)/1000</f>
        <v>16100.01</v>
      </c>
      <c r="AK133" s="183">
        <f t="shared" ca="1" si="66"/>
        <v>26300</v>
      </c>
      <c r="AM133" s="11">
        <f t="shared" ref="AM133:AM236" si="67">ROUND(AN133,0)</f>
        <v>45</v>
      </c>
      <c r="AN133" s="10">
        <v>45</v>
      </c>
      <c r="AO133" s="11">
        <f t="shared" si="64"/>
        <v>150</v>
      </c>
      <c r="AP133" s="10">
        <v>150</v>
      </c>
      <c r="AQ133" s="11">
        <f t="shared" si="64"/>
        <v>150</v>
      </c>
      <c r="AR133" s="10">
        <v>150</v>
      </c>
      <c r="AS133" s="56">
        <f t="shared" si="29"/>
        <v>2</v>
      </c>
      <c r="AU133" s="11">
        <f ca="1">IFERROR(OFFSET(ITEM_RES!$A$1,MATCH(AV133,ITEM_RES!$J:$J,0)-1,0),0)</f>
        <v>211010501</v>
      </c>
      <c r="AV133" s="10" t="s">
        <v>1224</v>
      </c>
      <c r="AW133" s="11">
        <v>1580000</v>
      </c>
      <c r="AZ133" s="11">
        <f ca="1">IFERROR(OFFSET(ITEM_RES!$A$1,MATCH(BA133,ITEM_RES!$J:$J,0)-1,0),0)</f>
        <v>211020401</v>
      </c>
      <c r="BA133" s="10" t="s">
        <v>1222</v>
      </c>
      <c r="BB133" s="11">
        <v>1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O133" s="11">
        <f ca="1">IFERROR(OFFSET(ITEM_RES!$A$1,MATCH(BP133,ITEM_RES!$J:$J,0)-1,0),0)</f>
        <v>0</v>
      </c>
      <c r="BQ133" s="11">
        <f t="shared" si="62"/>
        <v>0</v>
      </c>
    </row>
    <row r="134" spans="1:69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M134" s="9" t="s">
        <v>949</v>
      </c>
      <c r="N134" s="9" t="s">
        <v>969</v>
      </c>
      <c r="O134" s="9">
        <v>1</v>
      </c>
      <c r="P134" s="9">
        <v>15</v>
      </c>
      <c r="Q134" s="9" t="s">
        <v>788</v>
      </c>
      <c r="U134" s="9" t="s">
        <v>704</v>
      </c>
      <c r="X134" s="9">
        <f ca="1">IFERROR(OFFSET(ITEM_RES!$A$5,MATCH(BUILDING!W134,ITEM_RES!$J$5:$J$226,0)-1,0),0)</f>
        <v>0</v>
      </c>
      <c r="Z134" s="85" t="s">
        <v>544</v>
      </c>
      <c r="AA134" s="9">
        <f ca="1">IFERROR(OFFSET(ITEM_RES!$A$5,MATCH(BUILDING!Z134,ITEM_RES!$J$5:$J$226,0)-1,0),0)</f>
        <v>211010501</v>
      </c>
      <c r="AC134" s="9" t="s">
        <v>514</v>
      </c>
      <c r="AD134" s="9">
        <v>10</v>
      </c>
      <c r="AF134" s="11">
        <f ca="1">IFERROR(OFFSET(MANOR_LEVEL!$B$1,MATCH(AG134-1,MANOR_LEVEL!$A:$A,0)-1,0),0)</f>
        <v>32640</v>
      </c>
      <c r="AG134" s="56">
        <v>7</v>
      </c>
      <c r="AI134" s="56">
        <f t="shared" ca="1" si="63"/>
        <v>22400</v>
      </c>
      <c r="AJ134" s="10">
        <f ca="1">AO134+AQ134+(IFERROR(OFFSET(ITEM_RES!$S$1,MATCH(AU134,ITEM_RES!$A:$A,0)-1,0),0)*AW134+IFERROR(OFFSET(ITEM_RES!$S$1,MATCH(AZ134,ITEM_RES!$A:$A,0)-1,0),0)*BB134+IFERROR(OFFSET(ITEM_RES!$S$1,MATCH(BE134,ITEM_RES!$A:$A,0)-1,0),0)*BG134+IFERROR(OFFSET(ITEM_RES!$S$1,MATCH(BJ134,ITEM_RES!$A:$A,0)-1,0),0)*BL134+IFERROR(OFFSET(ITEM_RES!$S$1,MATCH(BO134,ITEM_RES!$A:$A,0)-1,0),0)*BQ134)/1000</f>
        <v>22400.01</v>
      </c>
      <c r="AK134" s="183">
        <f t="shared" ca="1" si="66"/>
        <v>38500</v>
      </c>
      <c r="AM134" s="11">
        <f t="shared" si="67"/>
        <v>50</v>
      </c>
      <c r="AN134" s="10">
        <v>50</v>
      </c>
      <c r="AO134" s="11">
        <f t="shared" si="64"/>
        <v>200</v>
      </c>
      <c r="AP134" s="10">
        <v>200</v>
      </c>
      <c r="AQ134" s="11">
        <f t="shared" si="64"/>
        <v>200</v>
      </c>
      <c r="AR134" s="10">
        <v>200</v>
      </c>
      <c r="AS134" s="56">
        <f t="shared" ref="AS134:AS237" si="68">(AW134&gt;0)*1+(BB134&gt;0)*1+(BG134&gt;0)*1+(BL134&gt;0)*1+(BQ134&gt;0)*1</f>
        <v>2</v>
      </c>
      <c r="AU134" s="11">
        <f ca="1">IFERROR(OFFSET(ITEM_RES!$A$1,MATCH(AV134,ITEM_RES!$J:$J,0)-1,0),0)</f>
        <v>211010501</v>
      </c>
      <c r="AV134" s="10" t="s">
        <v>1224</v>
      </c>
      <c r="AW134" s="11">
        <v>2200000</v>
      </c>
      <c r="AZ134" s="11">
        <f ca="1">IFERROR(OFFSET(ITEM_RES!$A$1,MATCH(BA134,ITEM_RES!$J:$J,0)-1,0),0)</f>
        <v>211020401</v>
      </c>
      <c r="BA134" s="10" t="s">
        <v>1222</v>
      </c>
      <c r="BB134" s="11">
        <v>1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O134" s="11">
        <f ca="1">IFERROR(OFFSET(ITEM_RES!$A$1,MATCH(BP134,ITEM_RES!$J:$J,0)-1,0),0)</f>
        <v>0</v>
      </c>
      <c r="BQ134" s="11">
        <f t="shared" si="62"/>
        <v>0</v>
      </c>
    </row>
    <row r="135" spans="1:69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M135" s="9" t="s">
        <v>949</v>
      </c>
      <c r="N135" s="9" t="s">
        <v>969</v>
      </c>
      <c r="O135" s="9">
        <v>1</v>
      </c>
      <c r="P135" s="9">
        <v>15</v>
      </c>
      <c r="Q135" s="9" t="s">
        <v>788</v>
      </c>
      <c r="U135" s="9" t="s">
        <v>704</v>
      </c>
      <c r="X135" s="9">
        <f ca="1">IFERROR(OFFSET(ITEM_RES!$A$5,MATCH(BUILDING!W135,ITEM_RES!$J$5:$J$226,0)-1,0),0)</f>
        <v>0</v>
      </c>
      <c r="Z135" s="85" t="s">
        <v>544</v>
      </c>
      <c r="AA135" s="9">
        <f ca="1">IFERROR(OFFSET(ITEM_RES!$A$5,MATCH(BUILDING!Z135,ITEM_RES!$J$5:$J$226,0)-1,0),0)</f>
        <v>211010501</v>
      </c>
      <c r="AC135" s="9" t="s">
        <v>514</v>
      </c>
      <c r="AD135" s="9">
        <v>11</v>
      </c>
      <c r="AF135" s="11">
        <f ca="1">IFERROR(OFFSET(MANOR_LEVEL!$B$1,MATCH(AG135-1,MANOR_LEVEL!$A:$A,0)-1,0),0)</f>
        <v>94800</v>
      </c>
      <c r="AG135" s="56">
        <v>8</v>
      </c>
      <c r="AI135" s="56">
        <f t="shared" ca="1" si="63"/>
        <v>88500</v>
      </c>
      <c r="AJ135" s="10">
        <f ca="1">AO135+AQ135+(IFERROR(OFFSET(ITEM_RES!$S$1,MATCH(AU135,ITEM_RES!$A:$A,0)-1,0),0)*AW135+IFERROR(OFFSET(ITEM_RES!$S$1,MATCH(AZ135,ITEM_RES!$A:$A,0)-1,0),0)*BB135+IFERROR(OFFSET(ITEM_RES!$S$1,MATCH(BE135,ITEM_RES!$A:$A,0)-1,0),0)*BG135+IFERROR(OFFSET(ITEM_RES!$S$1,MATCH(BJ135,ITEM_RES!$A:$A,0)-1,0),0)*BL135+IFERROR(OFFSET(ITEM_RES!$S$1,MATCH(BO135,ITEM_RES!$A:$A,0)-1,0),0)*BQ135)/1000</f>
        <v>88500.01</v>
      </c>
      <c r="AK135" s="183">
        <f t="shared" ca="1" si="66"/>
        <v>110900</v>
      </c>
      <c r="AM135" s="11">
        <f t="shared" si="67"/>
        <v>55</v>
      </c>
      <c r="AN135" s="10">
        <v>55</v>
      </c>
      <c r="AO135" s="11">
        <f t="shared" si="64"/>
        <v>250</v>
      </c>
      <c r="AP135" s="10">
        <v>250</v>
      </c>
      <c r="AQ135" s="11">
        <f t="shared" si="64"/>
        <v>250</v>
      </c>
      <c r="AR135" s="10">
        <v>250</v>
      </c>
      <c r="AS135" s="56">
        <f t="shared" si="68"/>
        <v>2</v>
      </c>
      <c r="AU135" s="11">
        <f ca="1">IFERROR(OFFSET(ITEM_RES!$A$1,MATCH(AV135,ITEM_RES!$J:$J,0)-1,0),0)</f>
        <v>211010601</v>
      </c>
      <c r="AV135" s="10" t="s">
        <v>1225</v>
      </c>
      <c r="AW135" s="11">
        <v>4400000</v>
      </c>
      <c r="AZ135" s="11">
        <f ca="1">IFERROR(OFFSET(ITEM_RES!$A$1,MATCH(BA135,ITEM_RES!$J:$J,0)-1,0),0)</f>
        <v>211020401</v>
      </c>
      <c r="BA135" s="10" t="s">
        <v>1222</v>
      </c>
      <c r="BB135" s="11">
        <v>1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O135" s="11">
        <f ca="1">IFERROR(OFFSET(ITEM_RES!$A$1,MATCH(BP135,ITEM_RES!$J:$J,0)-1,0),0)</f>
        <v>0</v>
      </c>
      <c r="BQ135" s="11">
        <f t="shared" si="62"/>
        <v>0</v>
      </c>
    </row>
    <row r="136" spans="1:69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M136" s="9" t="s">
        <v>949</v>
      </c>
      <c r="N136" s="9" t="s">
        <v>969</v>
      </c>
      <c r="O136" s="9">
        <v>1</v>
      </c>
      <c r="P136" s="9">
        <v>15</v>
      </c>
      <c r="Q136" s="9" t="s">
        <v>788</v>
      </c>
      <c r="U136" s="9" t="s">
        <v>704</v>
      </c>
      <c r="X136" s="9">
        <f ca="1">IFERROR(OFFSET(ITEM_RES!$A$5,MATCH(BUILDING!W136,ITEM_RES!$J$5:$J$226,0)-1,0),0)</f>
        <v>0</v>
      </c>
      <c r="Z136" s="85" t="s">
        <v>544</v>
      </c>
      <c r="AA136" s="9">
        <f ca="1">IFERROR(OFFSET(ITEM_RES!$A$5,MATCH(BUILDING!Z136,ITEM_RES!$J$5:$J$226,0)-1,0),0)</f>
        <v>211010501</v>
      </c>
      <c r="AC136" s="9" t="s">
        <v>514</v>
      </c>
      <c r="AD136" s="9">
        <v>12</v>
      </c>
      <c r="AF136" s="11">
        <f ca="1">IFERROR(OFFSET(MANOR_LEVEL!$B$1,MATCH(AG136-1,MANOR_LEVEL!$A:$A,0)-1,0),0)</f>
        <v>186400</v>
      </c>
      <c r="AG136" s="56">
        <v>9</v>
      </c>
      <c r="AI136" s="56">
        <f t="shared" ca="1" si="63"/>
        <v>104600</v>
      </c>
      <c r="AJ136" s="10">
        <f ca="1">AO136+AQ136+(IFERROR(OFFSET(ITEM_RES!$S$1,MATCH(AU136,ITEM_RES!$A:$A,0)-1,0),0)*AW136+IFERROR(OFFSET(ITEM_RES!$S$1,MATCH(AZ136,ITEM_RES!$A:$A,0)-1,0),0)*BB136+IFERROR(OFFSET(ITEM_RES!$S$1,MATCH(BE136,ITEM_RES!$A:$A,0)-1,0),0)*BG136+IFERROR(OFFSET(ITEM_RES!$S$1,MATCH(BJ136,ITEM_RES!$A:$A,0)-1,0),0)*BL136+IFERROR(OFFSET(ITEM_RES!$S$1,MATCH(BO136,ITEM_RES!$A:$A,0)-1,0),0)*BQ136)/1000</f>
        <v>104600.01</v>
      </c>
      <c r="AK136" s="183">
        <f t="shared" ca="1" si="66"/>
        <v>193100</v>
      </c>
      <c r="AM136" s="11">
        <f t="shared" si="67"/>
        <v>60</v>
      </c>
      <c r="AN136" s="10">
        <v>60</v>
      </c>
      <c r="AO136" s="11">
        <f t="shared" si="64"/>
        <v>300</v>
      </c>
      <c r="AP136" s="10">
        <v>300</v>
      </c>
      <c r="AQ136" s="11">
        <f t="shared" si="64"/>
        <v>300</v>
      </c>
      <c r="AR136" s="10">
        <v>300</v>
      </c>
      <c r="AS136" s="56">
        <f t="shared" si="68"/>
        <v>2</v>
      </c>
      <c r="AU136" s="11">
        <f ca="1">IFERROR(OFFSET(ITEM_RES!$A$1,MATCH(AV136,ITEM_RES!$J:$J,0)-1,0),0)</f>
        <v>211010601</v>
      </c>
      <c r="AV136" s="10" t="s">
        <v>1225</v>
      </c>
      <c r="AW136" s="11">
        <v>5200000</v>
      </c>
      <c r="AZ136" s="11">
        <f ca="1">IFERROR(OFFSET(ITEM_RES!$A$1,MATCH(BA136,ITEM_RES!$J:$J,0)-1,0),0)</f>
        <v>211020401</v>
      </c>
      <c r="BA136" s="10" t="s">
        <v>1222</v>
      </c>
      <c r="BB136" s="11">
        <v>1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O136" s="11">
        <f ca="1">IFERROR(OFFSET(ITEM_RES!$A$1,MATCH(BP136,ITEM_RES!$J:$J,0)-1,0),0)</f>
        <v>0</v>
      </c>
      <c r="BQ136" s="11">
        <f t="shared" si="62"/>
        <v>0</v>
      </c>
    </row>
    <row r="137" spans="1:69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M137" s="9" t="s">
        <v>949</v>
      </c>
      <c r="N137" s="9" t="s">
        <v>969</v>
      </c>
      <c r="O137" s="9">
        <v>1</v>
      </c>
      <c r="P137" s="9">
        <v>15</v>
      </c>
      <c r="Q137" s="9" t="s">
        <v>788</v>
      </c>
      <c r="U137" s="9" t="s">
        <v>704</v>
      </c>
      <c r="X137" s="9">
        <f ca="1">IFERROR(OFFSET(ITEM_RES!$A$5,MATCH(BUILDING!W137,ITEM_RES!$J$5:$J$226,0)-1,0),0)</f>
        <v>0</v>
      </c>
      <c r="Z137" s="85" t="s">
        <v>544</v>
      </c>
      <c r="AA137" s="9">
        <f ca="1">IFERROR(OFFSET(ITEM_RES!$A$5,MATCH(BUILDING!Z137,ITEM_RES!$J$5:$J$226,0)-1,0),0)</f>
        <v>211010501</v>
      </c>
      <c r="AC137" s="9" t="s">
        <v>514</v>
      </c>
      <c r="AD137" s="9">
        <v>13</v>
      </c>
      <c r="AF137" s="11">
        <f ca="1">IFERROR(OFFSET(MANOR_LEVEL!$B$1,MATCH(AG137-1,MANOR_LEVEL!$A:$A,0)-1,0),0)</f>
        <v>311600</v>
      </c>
      <c r="AG137" s="56">
        <v>10</v>
      </c>
      <c r="AI137" s="56">
        <f t="shared" ca="1" si="63"/>
        <v>172700</v>
      </c>
      <c r="AJ137" s="10">
        <f ca="1">AO137+AQ137+(IFERROR(OFFSET(ITEM_RES!$S$1,MATCH(AU137,ITEM_RES!$A:$A,0)-1,0),0)*AW137+IFERROR(OFFSET(ITEM_RES!$S$1,MATCH(AZ137,ITEM_RES!$A:$A,0)-1,0),0)*BB137+IFERROR(OFFSET(ITEM_RES!$S$1,MATCH(BE137,ITEM_RES!$A:$A,0)-1,0),0)*BG137+IFERROR(OFFSET(ITEM_RES!$S$1,MATCH(BJ137,ITEM_RES!$A:$A,0)-1,0),0)*BL137+IFERROR(OFFSET(ITEM_RES!$S$1,MATCH(BO137,ITEM_RES!$A:$A,0)-1,0),0)*BQ137)/1000</f>
        <v>172700.01</v>
      </c>
      <c r="AK137" s="183">
        <f t="shared" ca="1" si="66"/>
        <v>277300</v>
      </c>
      <c r="AM137" s="11">
        <f t="shared" si="67"/>
        <v>65</v>
      </c>
      <c r="AN137" s="10">
        <v>65</v>
      </c>
      <c r="AO137" s="11">
        <f t="shared" si="64"/>
        <v>350</v>
      </c>
      <c r="AP137" s="10">
        <v>350</v>
      </c>
      <c r="AQ137" s="11">
        <f t="shared" si="64"/>
        <v>350</v>
      </c>
      <c r="AR137" s="10">
        <v>350</v>
      </c>
      <c r="AS137" s="56">
        <f t="shared" si="68"/>
        <v>2</v>
      </c>
      <c r="AU137" s="11">
        <f ca="1">IFERROR(OFFSET(ITEM_RES!$A$1,MATCH(AV137,ITEM_RES!$J:$J,0)-1,0),0)</f>
        <v>211010601</v>
      </c>
      <c r="AV137" s="10" t="s">
        <v>1225</v>
      </c>
      <c r="AW137" s="11">
        <v>8600000</v>
      </c>
      <c r="AZ137" s="11">
        <f ca="1">IFERROR(OFFSET(ITEM_RES!$A$1,MATCH(BA137,ITEM_RES!$J:$J,0)-1,0),0)</f>
        <v>211020401</v>
      </c>
      <c r="BA137" s="10" t="s">
        <v>1222</v>
      </c>
      <c r="BB137" s="11">
        <v>1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O137" s="11">
        <f ca="1">IFERROR(OFFSET(ITEM_RES!$A$1,MATCH(BP137,ITEM_RES!$J:$J,0)-1,0),0)</f>
        <v>0</v>
      </c>
      <c r="BQ137" s="11">
        <f t="shared" si="62"/>
        <v>0</v>
      </c>
    </row>
    <row r="138" spans="1:69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M138" s="9" t="s">
        <v>949</v>
      </c>
      <c r="N138" s="9" t="s">
        <v>969</v>
      </c>
      <c r="O138" s="9">
        <v>1</v>
      </c>
      <c r="P138" s="9">
        <v>15</v>
      </c>
      <c r="Q138" s="9" t="s">
        <v>788</v>
      </c>
      <c r="U138" s="9" t="s">
        <v>704</v>
      </c>
      <c r="X138" s="9">
        <f ca="1">IFERROR(OFFSET(ITEM_RES!$A$5,MATCH(BUILDING!W138,ITEM_RES!$J$5:$J$226,0)-1,0),0)</f>
        <v>0</v>
      </c>
      <c r="Z138" s="85" t="s">
        <v>544</v>
      </c>
      <c r="AA138" s="9">
        <f ca="1">IFERROR(OFFSET(ITEM_RES!$A$5,MATCH(BUILDING!Z138,ITEM_RES!$J$5:$J$226,0)-1,0),0)</f>
        <v>211010501</v>
      </c>
      <c r="AC138" s="9" t="s">
        <v>514</v>
      </c>
      <c r="AD138" s="9">
        <v>14</v>
      </c>
      <c r="AF138" s="11">
        <f ca="1">IFERROR(OFFSET(MANOR_LEVEL!$B$1,MATCH(AG138-1,MANOR_LEVEL!$A:$A,0)-1,0),0)</f>
        <v>456800</v>
      </c>
      <c r="AG138" s="56">
        <v>11</v>
      </c>
      <c r="AI138" s="56">
        <f t="shared" ca="1" si="63"/>
        <v>264900</v>
      </c>
      <c r="AJ138" s="10">
        <f ca="1">AO138+AQ138+(IFERROR(OFFSET(ITEM_RES!$S$1,MATCH(AU138,ITEM_RES!$A:$A,0)-1,0),0)*AW138+IFERROR(OFFSET(ITEM_RES!$S$1,MATCH(AZ138,ITEM_RES!$A:$A,0)-1,0),0)*BB138+IFERROR(OFFSET(ITEM_RES!$S$1,MATCH(BE138,ITEM_RES!$A:$A,0)-1,0),0)*BG138+IFERROR(OFFSET(ITEM_RES!$S$1,MATCH(BJ138,ITEM_RES!$A:$A,0)-1,0),0)*BL138+IFERROR(OFFSET(ITEM_RES!$S$1,MATCH(BO138,ITEM_RES!$A:$A,0)-1,0),0)*BQ138)/1000</f>
        <v>264900.01</v>
      </c>
      <c r="AK138" s="183">
        <f t="shared" ca="1" si="66"/>
        <v>437600</v>
      </c>
      <c r="AM138" s="11">
        <f t="shared" si="67"/>
        <v>70</v>
      </c>
      <c r="AN138" s="10">
        <v>70</v>
      </c>
      <c r="AO138" s="11">
        <f t="shared" si="64"/>
        <v>450</v>
      </c>
      <c r="AP138" s="10">
        <v>450</v>
      </c>
      <c r="AQ138" s="11">
        <f t="shared" si="64"/>
        <v>450</v>
      </c>
      <c r="AR138" s="10">
        <v>450</v>
      </c>
      <c r="AS138" s="56">
        <f t="shared" si="68"/>
        <v>2</v>
      </c>
      <c r="AU138" s="11">
        <f ca="1">IFERROR(OFFSET(ITEM_RES!$A$1,MATCH(AV138,ITEM_RES!$J:$J,0)-1,0),0)</f>
        <v>211010601</v>
      </c>
      <c r="AV138" s="10" t="s">
        <v>1225</v>
      </c>
      <c r="AW138" s="11">
        <v>13200000</v>
      </c>
      <c r="AZ138" s="11">
        <f ca="1">IFERROR(OFFSET(ITEM_RES!$A$1,MATCH(BA138,ITEM_RES!$J:$J,0)-1,0),0)</f>
        <v>211020401</v>
      </c>
      <c r="BA138" s="10" t="s">
        <v>1222</v>
      </c>
      <c r="BB138" s="11">
        <v>1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O138" s="11">
        <f ca="1">IFERROR(OFFSET(ITEM_RES!$A$1,MATCH(BP138,ITEM_RES!$J:$J,0)-1,0),0)</f>
        <v>0</v>
      </c>
      <c r="BQ138" s="11">
        <f t="shared" si="62"/>
        <v>0</v>
      </c>
    </row>
    <row r="139" spans="1:69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M139" s="9" t="s">
        <v>949</v>
      </c>
      <c r="N139" s="9" t="s">
        <v>969</v>
      </c>
      <c r="O139" s="9">
        <v>1</v>
      </c>
      <c r="P139" s="9">
        <v>15</v>
      </c>
      <c r="Q139" s="9" t="s">
        <v>788</v>
      </c>
      <c r="U139" s="9" t="s">
        <v>704</v>
      </c>
      <c r="X139" s="9">
        <f ca="1">IFERROR(OFFSET(ITEM_RES!$A$5,MATCH(BUILDING!W139,ITEM_RES!$J$5:$J$226,0)-1,0),0)</f>
        <v>0</v>
      </c>
      <c r="Z139" s="85" t="s">
        <v>544</v>
      </c>
      <c r="AA139" s="9">
        <f ca="1">IFERROR(OFFSET(ITEM_RES!$A$5,MATCH(BUILDING!Z139,ITEM_RES!$J$5:$J$226,0)-1,0),0)</f>
        <v>211010501</v>
      </c>
      <c r="AC139" s="9" t="s">
        <v>514</v>
      </c>
      <c r="AD139" s="9">
        <v>15</v>
      </c>
      <c r="AF139" s="11">
        <f ca="1">IFERROR(OFFSET(MANOR_LEVEL!$B$1,MATCH(AG139-1,MANOR_LEVEL!$A:$A,0)-1,0),0)</f>
        <v>796000</v>
      </c>
      <c r="AG139" s="56">
        <v>12</v>
      </c>
      <c r="AI139" s="56">
        <f t="shared" ca="1" si="63"/>
        <v>441100</v>
      </c>
      <c r="AJ139" s="10">
        <f ca="1">AO139+AQ139+(IFERROR(OFFSET(ITEM_RES!$S$1,MATCH(AU139,ITEM_RES!$A:$A,0)-1,0),0)*AW139+IFERROR(OFFSET(ITEM_RES!$S$1,MATCH(AZ139,ITEM_RES!$A:$A,0)-1,0),0)*BB139+IFERROR(OFFSET(ITEM_RES!$S$1,MATCH(BE139,ITEM_RES!$A:$A,0)-1,0),0)*BG139+IFERROR(OFFSET(ITEM_RES!$S$1,MATCH(BJ139,ITEM_RES!$A:$A,0)-1,0),0)*BL139+IFERROR(OFFSET(ITEM_RES!$S$1,MATCH(BO139,ITEM_RES!$A:$A,0)-1,0),0)*BQ139)/1000</f>
        <v>441100.01</v>
      </c>
      <c r="AK139" s="183">
        <f t="shared" ca="1" si="66"/>
        <v>706000</v>
      </c>
      <c r="AM139" s="11">
        <f t="shared" si="67"/>
        <v>75</v>
      </c>
      <c r="AN139" s="10">
        <v>75</v>
      </c>
      <c r="AO139" s="11">
        <f t="shared" si="64"/>
        <v>550</v>
      </c>
      <c r="AP139" s="10">
        <v>550</v>
      </c>
      <c r="AQ139" s="11">
        <f t="shared" si="64"/>
        <v>550</v>
      </c>
      <c r="AR139" s="10">
        <v>550</v>
      </c>
      <c r="AS139" s="56">
        <f t="shared" si="68"/>
        <v>2</v>
      </c>
      <c r="AU139" s="11">
        <f ca="1">IFERROR(OFFSET(ITEM_RES!$A$1,MATCH(AV139,ITEM_RES!$J:$J,0)-1,0),0)</f>
        <v>211010601</v>
      </c>
      <c r="AV139" s="10" t="s">
        <v>1225</v>
      </c>
      <c r="AW139" s="11">
        <v>22000000</v>
      </c>
      <c r="AZ139" s="11">
        <f ca="1">IFERROR(OFFSET(ITEM_RES!$A$1,MATCH(BA139,ITEM_RES!$J:$J,0)-1,0),0)</f>
        <v>211020401</v>
      </c>
      <c r="BA139" s="10" t="s">
        <v>1222</v>
      </c>
      <c r="BB139" s="11">
        <v>1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O139" s="11">
        <f ca="1">IFERROR(OFFSET(ITEM_RES!$A$1,MATCH(BP139,ITEM_RES!$J:$J,0)-1,0),0)</f>
        <v>0</v>
      </c>
      <c r="BQ139" s="11">
        <f t="shared" si="62"/>
        <v>0</v>
      </c>
    </row>
    <row r="140" spans="1:69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M140" s="9" t="s">
        <v>949</v>
      </c>
      <c r="N140" s="9" t="s">
        <v>969</v>
      </c>
      <c r="O140" s="9">
        <v>0</v>
      </c>
      <c r="P140" s="9">
        <v>15</v>
      </c>
      <c r="Q140" s="9" t="s">
        <v>788</v>
      </c>
      <c r="U140" s="9" t="s">
        <v>704</v>
      </c>
      <c r="X140" s="9">
        <f ca="1">IFERROR(OFFSET(ITEM_RES!$A$5,MATCH(BUILDING!W140,ITEM_RES!$J$5:$J$226,0)-1,0),0)</f>
        <v>0</v>
      </c>
      <c r="Z140" s="85" t="s">
        <v>544</v>
      </c>
      <c r="AA140" s="9">
        <f ca="1">IFERROR(OFFSET(ITEM_RES!$A$5,MATCH(BUILDING!Z140,ITEM_RES!$J$5:$J$226,0)-1,0),0)</f>
        <v>211010501</v>
      </c>
      <c r="AC140" s="9" t="s">
        <v>514</v>
      </c>
      <c r="AD140" s="9">
        <v>16</v>
      </c>
      <c r="AF140" s="11">
        <f ca="1">IFERROR(OFFSET(MANOR_LEVEL!$B$1,MATCH(AG140-1,MANOR_LEVEL!$A:$A,0)-1,0),0)</f>
        <v>1156400</v>
      </c>
      <c r="AG140" s="56">
        <v>13</v>
      </c>
      <c r="AI140" s="56">
        <f t="shared" ca="1" si="63"/>
        <v>601400</v>
      </c>
      <c r="AJ140" s="10">
        <f ca="1">AO140+AQ140+(IFERROR(OFFSET(ITEM_RES!$S$1,MATCH(AU140,ITEM_RES!$A:$A,0)-1,0),0)*AW140+IFERROR(OFFSET(ITEM_RES!$S$1,MATCH(AZ140,ITEM_RES!$A:$A,0)-1,0),0)*BB140+IFERROR(OFFSET(ITEM_RES!$S$1,MATCH(BE140,ITEM_RES!$A:$A,0)-1,0),0)*BG140+IFERROR(OFFSET(ITEM_RES!$S$1,MATCH(BJ140,ITEM_RES!$A:$A,0)-1,0),0)*BL140+IFERROR(OFFSET(ITEM_RES!$S$1,MATCH(BO140,ITEM_RES!$A:$A,0)-1,0),0)*BQ140)/1000</f>
        <v>601400.01</v>
      </c>
      <c r="AK140" s="183">
        <f t="shared" ca="1" si="66"/>
        <v>1042500</v>
      </c>
      <c r="AM140" s="11">
        <f t="shared" si="67"/>
        <v>80</v>
      </c>
      <c r="AN140" s="10">
        <v>80</v>
      </c>
      <c r="AO140" s="11">
        <f t="shared" si="64"/>
        <v>700</v>
      </c>
      <c r="AP140" s="10">
        <v>700</v>
      </c>
      <c r="AQ140" s="11">
        <f t="shared" si="64"/>
        <v>700</v>
      </c>
      <c r="AR140" s="10">
        <v>700</v>
      </c>
      <c r="AS140" s="56">
        <f t="shared" si="68"/>
        <v>2</v>
      </c>
      <c r="AU140" s="11">
        <f ca="1">IFERROR(OFFSET(ITEM_RES!$A$1,MATCH(AV140,ITEM_RES!$J:$J,0)-1,0),0)</f>
        <v>211010601</v>
      </c>
      <c r="AV140" s="10" t="s">
        <v>1225</v>
      </c>
      <c r="AW140" s="11">
        <v>30000000</v>
      </c>
      <c r="AZ140" s="11">
        <f ca="1">IFERROR(OFFSET(ITEM_RES!$A$1,MATCH(BA140,ITEM_RES!$J:$J,0)-1,0),0)</f>
        <v>211020401</v>
      </c>
      <c r="BA140" s="10" t="s">
        <v>1222</v>
      </c>
      <c r="BB140" s="11">
        <v>1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O140" s="11">
        <f ca="1">IFERROR(OFFSET(ITEM_RES!$A$1,MATCH(BP140,ITEM_RES!$J:$J,0)-1,0),0)</f>
        <v>0</v>
      </c>
      <c r="BQ140" s="11">
        <f t="shared" si="62"/>
        <v>0</v>
      </c>
    </row>
    <row r="141" spans="1:69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M141" s="9" t="s">
        <v>949</v>
      </c>
      <c r="N141" s="9" t="s">
        <v>969</v>
      </c>
      <c r="O141" s="9">
        <v>0</v>
      </c>
      <c r="P141" s="9">
        <v>15</v>
      </c>
      <c r="Q141" s="9" t="s">
        <v>788</v>
      </c>
      <c r="U141" s="9" t="s">
        <v>704</v>
      </c>
      <c r="X141" s="9">
        <f ca="1">IFERROR(OFFSET(ITEM_RES!$A$5,MATCH(BUILDING!W141,ITEM_RES!$J$5:$J$226,0)-1,0),0)</f>
        <v>0</v>
      </c>
      <c r="Z141" s="85" t="s">
        <v>544</v>
      </c>
      <c r="AA141" s="9">
        <f ca="1">IFERROR(OFFSET(ITEM_RES!$A$5,MATCH(BUILDING!Z141,ITEM_RES!$J$5:$J$226,0)-1,0),0)</f>
        <v>211010501</v>
      </c>
      <c r="AC141" s="9" t="s">
        <v>514</v>
      </c>
      <c r="AD141" s="9">
        <v>17</v>
      </c>
      <c r="AF141" s="11">
        <f ca="1">IFERROR(OFFSET(MANOR_LEVEL!$B$1,MATCH(AG141-1,MANOR_LEVEL!$A:$A,0)-1,0),0)</f>
        <v>1661200</v>
      </c>
      <c r="AG141" s="56">
        <v>14</v>
      </c>
      <c r="AI141" s="56">
        <f t="shared" ca="1" si="63"/>
        <v>921700</v>
      </c>
      <c r="AJ141" s="10">
        <f ca="1">AO141+AQ141+(IFERROR(OFFSET(ITEM_RES!$S$1,MATCH(AU141,ITEM_RES!$A:$A,0)-1,0),0)*AW141+IFERROR(OFFSET(ITEM_RES!$S$1,MATCH(AZ141,ITEM_RES!$A:$A,0)-1,0),0)*BB141+IFERROR(OFFSET(ITEM_RES!$S$1,MATCH(BE141,ITEM_RES!$A:$A,0)-1,0),0)*BG141+IFERROR(OFFSET(ITEM_RES!$S$1,MATCH(BJ141,ITEM_RES!$A:$A,0)-1,0),0)*BL141+IFERROR(OFFSET(ITEM_RES!$S$1,MATCH(BO141,ITEM_RES!$A:$A,0)-1,0),0)*BQ141)/1000</f>
        <v>921700.2</v>
      </c>
      <c r="AK141" s="183">
        <f t="shared" ca="1" si="66"/>
        <v>1523100</v>
      </c>
      <c r="AM141" s="11">
        <f t="shared" si="67"/>
        <v>85</v>
      </c>
      <c r="AN141" s="10">
        <v>85</v>
      </c>
      <c r="AO141" s="11">
        <f t="shared" si="64"/>
        <v>850</v>
      </c>
      <c r="AP141" s="10">
        <v>850</v>
      </c>
      <c r="AQ141" s="11">
        <f t="shared" si="64"/>
        <v>850</v>
      </c>
      <c r="AR141" s="10">
        <v>850</v>
      </c>
      <c r="AS141" s="56">
        <f t="shared" si="68"/>
        <v>2</v>
      </c>
      <c r="AU141" s="11">
        <f ca="1">IFERROR(OFFSET(ITEM_RES!$A$1,MATCH(AV141,ITEM_RES!$J:$J,0)-1,0),0)</f>
        <v>211010601</v>
      </c>
      <c r="AV141" s="10" t="s">
        <v>1225</v>
      </c>
      <c r="AW141" s="11">
        <v>46000000</v>
      </c>
      <c r="AZ141" s="11">
        <f ca="1">IFERROR(OFFSET(ITEM_RES!$A$1,MATCH(BA141,ITEM_RES!$J:$J,0)-1,0),0)</f>
        <v>211020501</v>
      </c>
      <c r="BA141" s="10" t="s">
        <v>1226</v>
      </c>
      <c r="BB141" s="11">
        <v>1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O141" s="11">
        <f ca="1">IFERROR(OFFSET(ITEM_RES!$A$1,MATCH(BP141,ITEM_RES!$J:$J,0)-1,0),0)</f>
        <v>0</v>
      </c>
      <c r="BQ141" s="11">
        <f t="shared" si="62"/>
        <v>0</v>
      </c>
    </row>
    <row r="142" spans="1:69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M142" s="9" t="s">
        <v>949</v>
      </c>
      <c r="N142" s="9" t="s">
        <v>969</v>
      </c>
      <c r="O142" s="9">
        <v>0</v>
      </c>
      <c r="P142" s="9">
        <v>15</v>
      </c>
      <c r="Q142" s="9" t="s">
        <v>788</v>
      </c>
      <c r="U142" s="9" t="s">
        <v>704</v>
      </c>
      <c r="X142" s="9">
        <f ca="1">IFERROR(OFFSET(ITEM_RES!$A$5,MATCH(BUILDING!W142,ITEM_RES!$J$5:$J$226,0)-1,0),0)</f>
        <v>0</v>
      </c>
      <c r="Z142" s="85" t="s">
        <v>544</v>
      </c>
      <c r="AA142" s="9">
        <f ca="1">IFERROR(OFFSET(ITEM_RES!$A$5,MATCH(BUILDING!Z142,ITEM_RES!$J$5:$J$226,0)-1,0),0)</f>
        <v>211010501</v>
      </c>
      <c r="AC142" s="9" t="s">
        <v>514</v>
      </c>
      <c r="AD142" s="9">
        <v>18</v>
      </c>
      <c r="AF142" s="11">
        <f ca="1">IFERROR(OFFSET(MANOR_LEVEL!$B$1,MATCH(AG142-1,MANOR_LEVEL!$A:$A,0)-1,0),0)</f>
        <v>2622400</v>
      </c>
      <c r="AG142" s="56">
        <v>15</v>
      </c>
      <c r="AI142" s="56">
        <f t="shared" ca="1" si="63"/>
        <v>1402100</v>
      </c>
      <c r="AJ142" s="10">
        <f ca="1">AO142+AQ142+(IFERROR(OFFSET(ITEM_RES!$S$1,MATCH(AU142,ITEM_RES!$A:$A,0)-1,0),0)*AW142+IFERROR(OFFSET(ITEM_RES!$S$1,MATCH(AZ142,ITEM_RES!$A:$A,0)-1,0),0)*BB142+IFERROR(OFFSET(ITEM_RES!$S$1,MATCH(BE142,ITEM_RES!$A:$A,0)-1,0),0)*BG142+IFERROR(OFFSET(ITEM_RES!$S$1,MATCH(BJ142,ITEM_RES!$A:$A,0)-1,0),0)*BL142+IFERROR(OFFSET(ITEM_RES!$S$1,MATCH(BO142,ITEM_RES!$A:$A,0)-1,0),0)*BQ142)/1000</f>
        <v>1402100.2</v>
      </c>
      <c r="AK142" s="183">
        <f t="shared" ca="1" si="66"/>
        <v>2323800</v>
      </c>
      <c r="AM142" s="11">
        <f t="shared" si="67"/>
        <v>90</v>
      </c>
      <c r="AN142" s="10">
        <v>90</v>
      </c>
      <c r="AO142" s="11">
        <f t="shared" si="64"/>
        <v>1050</v>
      </c>
      <c r="AP142" s="10">
        <v>1050</v>
      </c>
      <c r="AQ142" s="11">
        <f t="shared" si="64"/>
        <v>1050</v>
      </c>
      <c r="AR142" s="10">
        <v>1050</v>
      </c>
      <c r="AS142" s="56">
        <f t="shared" si="68"/>
        <v>2</v>
      </c>
      <c r="AU142" s="11">
        <f ca="1">IFERROR(OFFSET(ITEM_RES!$A$1,MATCH(AV142,ITEM_RES!$J:$J,0)-1,0),0)</f>
        <v>211010601</v>
      </c>
      <c r="AV142" s="10" t="s">
        <v>1225</v>
      </c>
      <c r="AW142" s="11">
        <v>70000000</v>
      </c>
      <c r="AZ142" s="11">
        <f ca="1">IFERROR(OFFSET(ITEM_RES!$A$1,MATCH(BA142,ITEM_RES!$J:$J,0)-1,0),0)</f>
        <v>211020501</v>
      </c>
      <c r="BA142" s="10" t="s">
        <v>1226</v>
      </c>
      <c r="BB142" s="11">
        <v>1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O142" s="11">
        <f ca="1">IFERROR(OFFSET(ITEM_RES!$A$1,MATCH(BP142,ITEM_RES!$J:$J,0)-1,0),0)</f>
        <v>0</v>
      </c>
      <c r="BQ142" s="11">
        <f t="shared" si="62"/>
        <v>0</v>
      </c>
    </row>
    <row r="143" spans="1:69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M143" s="9" t="s">
        <v>949</v>
      </c>
      <c r="N143" s="9" t="s">
        <v>969</v>
      </c>
      <c r="O143" s="9">
        <v>0</v>
      </c>
      <c r="P143" s="9">
        <v>15</v>
      </c>
      <c r="Q143" s="9" t="s">
        <v>788</v>
      </c>
      <c r="U143" s="9" t="s">
        <v>704</v>
      </c>
      <c r="X143" s="9">
        <f ca="1">IFERROR(OFFSET(ITEM_RES!$A$5,MATCH(BUILDING!W143,ITEM_RES!$J$5:$J$226,0)-1,0),0)</f>
        <v>0</v>
      </c>
      <c r="Z143" s="85" t="s">
        <v>544</v>
      </c>
      <c r="AA143" s="9">
        <f ca="1">IFERROR(OFFSET(ITEM_RES!$A$5,MATCH(BUILDING!Z143,ITEM_RES!$J$5:$J$226,0)-1,0),0)</f>
        <v>211010501</v>
      </c>
      <c r="AC143" s="9" t="s">
        <v>514</v>
      </c>
      <c r="AD143" s="9">
        <v>19</v>
      </c>
      <c r="AF143" s="11">
        <f ca="1">IFERROR(OFFSET(MANOR_LEVEL!$B$1,MATCH(AG143-1,MANOR_LEVEL!$A:$A,0)-1,0),0)</f>
        <v>4232000</v>
      </c>
      <c r="AG143" s="56">
        <v>16</v>
      </c>
      <c r="AI143" s="56">
        <f t="shared" ca="1" si="63"/>
        <v>1922500</v>
      </c>
      <c r="AJ143" s="10">
        <f ca="1">AO143+AQ143+(IFERROR(OFFSET(ITEM_RES!$S$1,MATCH(AU143,ITEM_RES!$A:$A,0)-1,0),0)*AW143+IFERROR(OFFSET(ITEM_RES!$S$1,MATCH(AZ143,ITEM_RES!$A:$A,0)-1,0),0)*BB143+IFERROR(OFFSET(ITEM_RES!$S$1,MATCH(BE143,ITEM_RES!$A:$A,0)-1,0),0)*BG143+IFERROR(OFFSET(ITEM_RES!$S$1,MATCH(BJ143,ITEM_RES!$A:$A,0)-1,0),0)*BL143+IFERROR(OFFSET(ITEM_RES!$S$1,MATCH(BO143,ITEM_RES!$A:$A,0)-1,0),0)*BQ143)/1000</f>
        <v>1922500.2</v>
      </c>
      <c r="AK143" s="183">
        <f t="shared" ca="1" si="66"/>
        <v>3324600</v>
      </c>
      <c r="AM143" s="11">
        <f t="shared" si="67"/>
        <v>95</v>
      </c>
      <c r="AN143" s="10">
        <v>95</v>
      </c>
      <c r="AO143" s="11">
        <f t="shared" si="64"/>
        <v>1250</v>
      </c>
      <c r="AP143" s="10">
        <v>1250</v>
      </c>
      <c r="AQ143" s="11">
        <f t="shared" si="64"/>
        <v>1250</v>
      </c>
      <c r="AR143" s="10">
        <v>1250</v>
      </c>
      <c r="AS143" s="56">
        <f t="shared" si="68"/>
        <v>2</v>
      </c>
      <c r="AU143" s="11">
        <f ca="1">IFERROR(OFFSET(ITEM_RES!$A$1,MATCH(AV143,ITEM_RES!$J:$J,0)-1,0),0)</f>
        <v>211010601</v>
      </c>
      <c r="AV143" s="10" t="s">
        <v>1225</v>
      </c>
      <c r="AW143" s="11">
        <v>96000000</v>
      </c>
      <c r="AZ143" s="11">
        <f ca="1">IFERROR(OFFSET(ITEM_RES!$A$1,MATCH(BA143,ITEM_RES!$J:$J,0)-1,0),0)</f>
        <v>211020501</v>
      </c>
      <c r="BA143" s="10" t="s">
        <v>1226</v>
      </c>
      <c r="BB143" s="11">
        <v>1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O143" s="11">
        <f ca="1">IFERROR(OFFSET(ITEM_RES!$A$1,MATCH(BP143,ITEM_RES!$J:$J,0)-1,0),0)</f>
        <v>0</v>
      </c>
      <c r="BQ143" s="11">
        <f t="shared" si="62"/>
        <v>0</v>
      </c>
    </row>
    <row r="144" spans="1:69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M144" s="9" t="s">
        <v>949</v>
      </c>
      <c r="N144" s="9" t="s">
        <v>969</v>
      </c>
      <c r="O144" s="9">
        <v>0</v>
      </c>
      <c r="P144" s="9">
        <v>15</v>
      </c>
      <c r="Q144" s="9" t="s">
        <v>788</v>
      </c>
      <c r="U144" s="9" t="s">
        <v>704</v>
      </c>
      <c r="X144" s="9">
        <f ca="1">IFERROR(OFFSET(ITEM_RES!$A$5,MATCH(BUILDING!W144,ITEM_RES!$J$5:$J$226,0)-1,0),0)</f>
        <v>0</v>
      </c>
      <c r="Z144" s="85" t="s">
        <v>544</v>
      </c>
      <c r="AA144" s="9">
        <f ca="1">IFERROR(OFFSET(ITEM_RES!$A$5,MATCH(BUILDING!Z144,ITEM_RES!$J$5:$J$226,0)-1,0),0)</f>
        <v>211010501</v>
      </c>
      <c r="AC144" s="9" t="s">
        <v>514</v>
      </c>
      <c r="AD144" s="9">
        <v>20</v>
      </c>
      <c r="AF144" s="11">
        <f ca="1">IFERROR(OFFSET(MANOR_LEVEL!$B$1,MATCH(AG144-1,MANOR_LEVEL!$A:$A,0)-1,0),0)</f>
        <v>7450000</v>
      </c>
      <c r="AG144" s="56">
        <v>17</v>
      </c>
      <c r="AI144" s="56">
        <f t="shared" ca="1" si="63"/>
        <v>3043000</v>
      </c>
      <c r="AJ144" s="10">
        <f ca="1">AO144+AQ144+(IFERROR(OFFSET(ITEM_RES!$S$1,MATCH(AU144,ITEM_RES!$A:$A,0)-1,0),0)*AW144+IFERROR(OFFSET(ITEM_RES!$S$1,MATCH(AZ144,ITEM_RES!$A:$A,0)-1,0),0)*BB144+IFERROR(OFFSET(ITEM_RES!$S$1,MATCH(BE144,ITEM_RES!$A:$A,0)-1,0),0)*BG144+IFERROR(OFFSET(ITEM_RES!$S$1,MATCH(BJ144,ITEM_RES!$A:$A,0)-1,0),0)*BL144+IFERROR(OFFSET(ITEM_RES!$S$1,MATCH(BO144,ITEM_RES!$A:$A,0)-1,0),0)*BQ144)/1000</f>
        <v>3043000.2</v>
      </c>
      <c r="AK144" s="183">
        <f t="shared" ca="1" si="66"/>
        <v>4965500</v>
      </c>
      <c r="AM144" s="11">
        <f t="shared" si="67"/>
        <v>100</v>
      </c>
      <c r="AN144" s="10">
        <v>100</v>
      </c>
      <c r="AO144" s="11">
        <f t="shared" si="64"/>
        <v>1500</v>
      </c>
      <c r="AP144" s="10">
        <v>1500</v>
      </c>
      <c r="AQ144" s="11">
        <f t="shared" si="64"/>
        <v>1500</v>
      </c>
      <c r="AR144" s="10">
        <v>1500</v>
      </c>
      <c r="AS144" s="56">
        <f t="shared" si="68"/>
        <v>2</v>
      </c>
      <c r="AU144" s="11">
        <f ca="1">IFERROR(OFFSET(ITEM_RES!$A$1,MATCH(AV144,ITEM_RES!$J:$J,0)-1,0),0)</f>
        <v>211010601</v>
      </c>
      <c r="AV144" s="10" t="s">
        <v>1225</v>
      </c>
      <c r="AW144" s="11">
        <v>152000000</v>
      </c>
      <c r="AZ144" s="11">
        <f ca="1">IFERROR(OFFSET(ITEM_RES!$A$1,MATCH(BA144,ITEM_RES!$J:$J,0)-1,0),0)</f>
        <v>211020501</v>
      </c>
      <c r="BA144" s="10" t="s">
        <v>1226</v>
      </c>
      <c r="BB144" s="11">
        <v>1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O144" s="11">
        <f ca="1">IFERROR(OFFSET(ITEM_RES!$A$1,MATCH(BP144,ITEM_RES!$J:$J,0)-1,0),0)</f>
        <v>0</v>
      </c>
      <c r="BQ144" s="11">
        <f t="shared" si="62"/>
        <v>0</v>
      </c>
    </row>
    <row r="145" spans="1:70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79"/>
      <c r="H145" s="16">
        <v>1</v>
      </c>
      <c r="I145" s="16">
        <v>1</v>
      </c>
      <c r="J145" s="79"/>
      <c r="K145" s="16" t="s">
        <v>359</v>
      </c>
      <c r="L145" s="16">
        <v>8</v>
      </c>
      <c r="M145" s="16" t="s">
        <v>950</v>
      </c>
      <c r="N145" s="16" t="s">
        <v>970</v>
      </c>
      <c r="O145" s="16">
        <v>1</v>
      </c>
      <c r="P145" s="16">
        <v>15</v>
      </c>
      <c r="Q145" s="16" t="s">
        <v>787</v>
      </c>
      <c r="R145" s="17"/>
      <c r="S145" s="17"/>
      <c r="T145" s="18"/>
      <c r="U145" s="16" t="s">
        <v>724</v>
      </c>
      <c r="V145" s="79"/>
      <c r="W145" s="87"/>
      <c r="X145" s="16">
        <f ca="1">IFERROR(OFFSET(ITEM_RES!$A$5,MATCH(BUILDING!W145,ITEM_RES!$J$5:$J$226,0)-1,0),0)</f>
        <v>0</v>
      </c>
      <c r="Y145" s="18"/>
      <c r="Z145" s="87" t="s">
        <v>544</v>
      </c>
      <c r="AA145" s="16">
        <f ca="1">IFERROR(OFFSET(ITEM_RES!$A$5,MATCH(BUILDING!Z145,ITEM_RES!$J$5:$J$226,0)-1,0),0)</f>
        <v>211010501</v>
      </c>
      <c r="AB145" s="79"/>
      <c r="AC145" s="16" t="s">
        <v>515</v>
      </c>
      <c r="AD145" s="16">
        <v>1</v>
      </c>
      <c r="AE145" s="79"/>
      <c r="AF145" s="18">
        <f ca="1">IFERROR(OFFSET(MANOR_LEVEL!$B$1,MATCH(AG145-1,MANOR_LEVEL!$A:$A,0)-1,0),0)</f>
        <v>186400</v>
      </c>
      <c r="AG145" s="57">
        <v>9</v>
      </c>
      <c r="AH145" s="79"/>
      <c r="AI145" s="57">
        <f t="shared" ca="1" si="63"/>
        <v>110</v>
      </c>
      <c r="AJ145" s="17">
        <f ca="1">AO145+AQ145+(IFERROR(OFFSET(ITEM_RES!$S$1,MATCH(AU145,ITEM_RES!$A:$A,0)-1,0),0)*AW145+IFERROR(OFFSET(ITEM_RES!$S$1,MATCH(AZ145,ITEM_RES!$A:$A,0)-1,0),0)*BB145+IFERROR(OFFSET(ITEM_RES!$S$1,MATCH(BE145,ITEM_RES!$A:$A,0)-1,0),0)*BG145+IFERROR(OFFSET(ITEM_RES!$S$1,MATCH(BJ145,ITEM_RES!$A:$A,0)-1,0),0)*BL145+IFERROR(OFFSET(ITEM_RES!$S$1,MATCH(BO145,ITEM_RES!$A:$A,0)-1,0),0)*BQ145)/1000</f>
        <v>110.3</v>
      </c>
      <c r="AK145" s="185">
        <f ca="1">AI145</f>
        <v>110</v>
      </c>
      <c r="AL145" s="79"/>
      <c r="AM145" s="18">
        <f t="shared" si="67"/>
        <v>5</v>
      </c>
      <c r="AN145" s="17">
        <v>5</v>
      </c>
      <c r="AO145" s="18">
        <f t="shared" si="64"/>
        <v>5</v>
      </c>
      <c r="AP145" s="17">
        <v>5</v>
      </c>
      <c r="AQ145" s="18">
        <f t="shared" si="64"/>
        <v>5</v>
      </c>
      <c r="AR145" s="17">
        <v>5</v>
      </c>
      <c r="AS145" s="57">
        <f t="shared" si="68"/>
        <v>3</v>
      </c>
      <c r="AT145" s="18"/>
      <c r="AU145" s="18">
        <f ca="1">IFERROR(OFFSET(ITEM_RES!$A$1,MATCH(AV145,ITEM_RES!$J:$J,0)-1,0),0)</f>
        <v>211010501</v>
      </c>
      <c r="AV145" s="17" t="s">
        <v>1223</v>
      </c>
      <c r="AW145" s="18">
        <v>20</v>
      </c>
      <c r="AX145" s="17"/>
      <c r="AY145" s="18"/>
      <c r="AZ145" s="18">
        <f ca="1">IFERROR(OFFSET(ITEM_RES!$A$1,MATCH(BA145,ITEM_RES!$J:$J,0)-1,0),0)</f>
        <v>211020801</v>
      </c>
      <c r="BA145" s="17" t="s">
        <v>1227</v>
      </c>
      <c r="BB145" s="18">
        <v>1</v>
      </c>
      <c r="BC145" s="17"/>
      <c r="BD145" s="18"/>
      <c r="BE145" s="18">
        <f ca="1">IFERROR(OFFSET(ITEM_RES!$A$1,MATCH(BF145,ITEM_RES!$J:$J,0)-1,0),0)</f>
        <v>213010101</v>
      </c>
      <c r="BF145" s="17" t="s">
        <v>452</v>
      </c>
      <c r="BG145" s="18">
        <v>1</v>
      </c>
      <c r="BH145" s="17"/>
      <c r="BI145" s="18"/>
      <c r="BJ145" s="18">
        <f ca="1">IFERROR(OFFSET(ITEM_RES!$A$1,MATCH(BK145,ITEM_RES!$J:$J,0)-1,0),0)</f>
        <v>0</v>
      </c>
      <c r="BK145" s="17"/>
      <c r="BL145" s="18"/>
      <c r="BM145" s="17"/>
      <c r="BN145" s="18"/>
      <c r="BO145" s="18">
        <f ca="1">IFERROR(OFFSET(ITEM_RES!$A$1,MATCH(BP145,ITEM_RES!$J:$J,0)-1,0),0)</f>
        <v>0</v>
      </c>
      <c r="BP145" s="17"/>
      <c r="BQ145" s="18">
        <f t="shared" si="62"/>
        <v>0</v>
      </c>
      <c r="BR145" s="17"/>
    </row>
    <row r="146" spans="1:70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M146" s="9" t="s">
        <v>950</v>
      </c>
      <c r="N146" s="9" t="s">
        <v>970</v>
      </c>
      <c r="O146" s="9">
        <v>1</v>
      </c>
      <c r="P146" s="9">
        <v>15</v>
      </c>
      <c r="Q146" s="9" t="s">
        <v>787</v>
      </c>
      <c r="U146" s="9" t="s">
        <v>724</v>
      </c>
      <c r="X146" s="9">
        <f ca="1">IFERROR(OFFSET(ITEM_RES!$A$5,MATCH(BUILDING!W146,ITEM_RES!$J$5:$J$226,0)-1,0),0)</f>
        <v>0</v>
      </c>
      <c r="Z146" s="85" t="s">
        <v>544</v>
      </c>
      <c r="AA146" s="9">
        <f ca="1">IFERROR(OFFSET(ITEM_RES!$A$5,MATCH(BUILDING!Z146,ITEM_RES!$J$5:$J$226,0)-1,0),0)</f>
        <v>211010501</v>
      </c>
      <c r="AC146" s="9" t="s">
        <v>515</v>
      </c>
      <c r="AD146" s="9">
        <v>2</v>
      </c>
      <c r="AF146" s="11">
        <f ca="1">IFERROR(OFFSET(MANOR_LEVEL!$B$1,MATCH(AG146-1,MANOR_LEVEL!$A:$A,0)-1,0),0)</f>
        <v>186400</v>
      </c>
      <c r="AG146" s="56">
        <v>9</v>
      </c>
      <c r="AI146" s="56">
        <f t="shared" ca="1" si="63"/>
        <v>20</v>
      </c>
      <c r="AJ146" s="10">
        <f ca="1">AO146+AQ146+(IFERROR(OFFSET(ITEM_RES!$S$1,MATCH(AU146,ITEM_RES!$A:$A,0)-1,0),0)*AW146+IFERROR(OFFSET(ITEM_RES!$S$1,MATCH(AZ146,ITEM_RES!$A:$A,0)-1,0),0)*BB146+IFERROR(OFFSET(ITEM_RES!$S$1,MATCH(BE146,ITEM_RES!$A:$A,0)-1,0),0)*BG146+IFERROR(OFFSET(ITEM_RES!$S$1,MATCH(BJ146,ITEM_RES!$A:$A,0)-1,0),0)*BL146+IFERROR(OFFSET(ITEM_RES!$S$1,MATCH(BO146,ITEM_RES!$A:$A,0)-1,0),0)*BQ146)/1000</f>
        <v>20.3</v>
      </c>
      <c r="AK146" s="183">
        <f ca="1">AI145+AI146</f>
        <v>130</v>
      </c>
      <c r="AM146" s="11">
        <f t="shared" si="67"/>
        <v>10</v>
      </c>
      <c r="AN146" s="10">
        <v>10</v>
      </c>
      <c r="AO146" s="11">
        <f t="shared" si="64"/>
        <v>10</v>
      </c>
      <c r="AP146" s="10">
        <v>10</v>
      </c>
      <c r="AQ146" s="11">
        <f t="shared" si="64"/>
        <v>10</v>
      </c>
      <c r="AR146" s="10">
        <v>10</v>
      </c>
      <c r="AS146" s="56">
        <f t="shared" si="68"/>
        <v>2</v>
      </c>
      <c r="AU146" s="11">
        <f ca="1">IFERROR(OFFSET(ITEM_RES!$A$1,MATCH(AV146,ITEM_RES!$J:$J,0)-1,0),0)</f>
        <v>211010501</v>
      </c>
      <c r="AV146" s="10" t="s">
        <v>1223</v>
      </c>
      <c r="AW146" s="11">
        <v>20</v>
      </c>
      <c r="AZ146" s="11">
        <f ca="1">IFERROR(OFFSET(ITEM_RES!$A$1,MATCH(BA146,ITEM_RES!$J:$J,0)-1,0),0)</f>
        <v>211020801</v>
      </c>
      <c r="BA146" s="10" t="s">
        <v>1227</v>
      </c>
      <c r="BB146" s="11">
        <v>1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O146" s="11">
        <f ca="1">IFERROR(OFFSET(ITEM_RES!$A$1,MATCH(BP146,ITEM_RES!$J:$J,0)-1,0),0)</f>
        <v>0</v>
      </c>
      <c r="BQ146" s="11">
        <f t="shared" si="62"/>
        <v>0</v>
      </c>
    </row>
    <row r="147" spans="1:70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M147" s="9" t="s">
        <v>950</v>
      </c>
      <c r="N147" s="9" t="s">
        <v>970</v>
      </c>
      <c r="O147" s="9">
        <v>1</v>
      </c>
      <c r="P147" s="9">
        <v>15</v>
      </c>
      <c r="Q147" s="9" t="s">
        <v>787</v>
      </c>
      <c r="U147" s="9" t="s">
        <v>724</v>
      </c>
      <c r="X147" s="9">
        <f ca="1">IFERROR(OFFSET(ITEM_RES!$A$5,MATCH(BUILDING!W147,ITEM_RES!$J$5:$J$226,0)-1,0),0)</f>
        <v>0</v>
      </c>
      <c r="Z147" s="85" t="s">
        <v>544</v>
      </c>
      <c r="AA147" s="9">
        <f ca="1">IFERROR(OFFSET(ITEM_RES!$A$5,MATCH(BUILDING!Z147,ITEM_RES!$J$5:$J$226,0)-1,0),0)</f>
        <v>211010501</v>
      </c>
      <c r="AC147" s="9" t="s">
        <v>515</v>
      </c>
      <c r="AD147" s="9">
        <v>3</v>
      </c>
      <c r="AF147" s="11">
        <f ca="1">IFERROR(OFFSET(MANOR_LEVEL!$B$1,MATCH(AG147-1,MANOR_LEVEL!$A:$A,0)-1,0),0)</f>
        <v>311600</v>
      </c>
      <c r="AG147" s="56">
        <v>10</v>
      </c>
      <c r="AI147" s="56">
        <f t="shared" ca="1" si="63"/>
        <v>32</v>
      </c>
      <c r="AJ147" s="10">
        <f ca="1">AO147+AQ147+(IFERROR(OFFSET(ITEM_RES!$S$1,MATCH(AU147,ITEM_RES!$A:$A,0)-1,0),0)*AW147+IFERROR(OFFSET(ITEM_RES!$S$1,MATCH(AZ147,ITEM_RES!$A:$A,0)-1,0),0)*BB147+IFERROR(OFFSET(ITEM_RES!$S$1,MATCH(BE147,ITEM_RES!$A:$A,0)-1,0),0)*BG147+IFERROR(OFFSET(ITEM_RES!$S$1,MATCH(BJ147,ITEM_RES!$A:$A,0)-1,0),0)*BL147+IFERROR(OFFSET(ITEM_RES!$S$1,MATCH(BO147,ITEM_RES!$A:$A,0)-1,0),0)*BQ147)/1000</f>
        <v>31.7</v>
      </c>
      <c r="AK147" s="183">
        <f t="shared" ref="AK147:AK164" ca="1" si="69">AI146+AI147</f>
        <v>52</v>
      </c>
      <c r="AM147" s="11">
        <f t="shared" si="67"/>
        <v>15</v>
      </c>
      <c r="AN147" s="10">
        <v>15</v>
      </c>
      <c r="AO147" s="11">
        <f t="shared" si="64"/>
        <v>15</v>
      </c>
      <c r="AP147" s="10">
        <v>15</v>
      </c>
      <c r="AQ147" s="11">
        <f t="shared" si="64"/>
        <v>15</v>
      </c>
      <c r="AR147" s="10">
        <v>15</v>
      </c>
      <c r="AS147" s="56">
        <f t="shared" si="68"/>
        <v>2</v>
      </c>
      <c r="AU147" s="11">
        <f ca="1">IFERROR(OFFSET(ITEM_RES!$A$1,MATCH(AV147,ITEM_RES!$J:$J,0)-1,0),0)</f>
        <v>211010501</v>
      </c>
      <c r="AV147" s="10" t="s">
        <v>1223</v>
      </c>
      <c r="AW147" s="11">
        <v>160</v>
      </c>
      <c r="AZ147" s="11">
        <f ca="1">IFERROR(OFFSET(ITEM_RES!$A$1,MATCH(BA147,ITEM_RES!$J:$J,0)-1,0),0)</f>
        <v>211020801</v>
      </c>
      <c r="BA147" s="10" t="s">
        <v>1227</v>
      </c>
      <c r="BB147" s="11">
        <v>1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O147" s="11">
        <f ca="1">IFERROR(OFFSET(ITEM_RES!$A$1,MATCH(BP147,ITEM_RES!$J:$J,0)-1,0),0)</f>
        <v>0</v>
      </c>
      <c r="BQ147" s="11">
        <f t="shared" si="62"/>
        <v>0</v>
      </c>
    </row>
    <row r="148" spans="1:70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M148" s="9" t="s">
        <v>950</v>
      </c>
      <c r="N148" s="9" t="s">
        <v>970</v>
      </c>
      <c r="O148" s="9">
        <v>1</v>
      </c>
      <c r="P148" s="9">
        <v>15</v>
      </c>
      <c r="Q148" s="9" t="s">
        <v>787</v>
      </c>
      <c r="U148" s="9" t="s">
        <v>724</v>
      </c>
      <c r="X148" s="9">
        <f ca="1">IFERROR(OFFSET(ITEM_RES!$A$5,MATCH(BUILDING!W148,ITEM_RES!$J$5:$J$226,0)-1,0),0)</f>
        <v>0</v>
      </c>
      <c r="Z148" s="85" t="s">
        <v>544</v>
      </c>
      <c r="AA148" s="9">
        <f ca="1">IFERROR(OFFSET(ITEM_RES!$A$5,MATCH(BUILDING!Z148,ITEM_RES!$J$5:$J$226,0)-1,0),0)</f>
        <v>211010501</v>
      </c>
      <c r="AC148" s="9" t="s">
        <v>515</v>
      </c>
      <c r="AD148" s="9">
        <v>4</v>
      </c>
      <c r="AF148" s="11">
        <f ca="1">IFERROR(OFFSET(MANOR_LEVEL!$B$1,MATCH(AG148-1,MANOR_LEVEL!$A:$A,0)-1,0),0)</f>
        <v>311600</v>
      </c>
      <c r="AG148" s="56">
        <v>10</v>
      </c>
      <c r="AI148" s="56">
        <f t="shared" ca="1" si="63"/>
        <v>69</v>
      </c>
      <c r="AJ148" s="10">
        <f ca="1">AO148+AQ148+(IFERROR(OFFSET(ITEM_RES!$S$1,MATCH(AU148,ITEM_RES!$A:$A,0)-1,0),0)*AW148+IFERROR(OFFSET(ITEM_RES!$S$1,MATCH(AZ148,ITEM_RES!$A:$A,0)-1,0),0)*BB148+IFERROR(OFFSET(ITEM_RES!$S$1,MATCH(BE148,ITEM_RES!$A:$A,0)-1,0),0)*BG148+IFERROR(OFFSET(ITEM_RES!$S$1,MATCH(BJ148,ITEM_RES!$A:$A,0)-1,0),0)*BL148+IFERROR(OFFSET(ITEM_RES!$S$1,MATCH(BO148,ITEM_RES!$A:$A,0)-1,0),0)*BQ148)/1000</f>
        <v>69.3</v>
      </c>
      <c r="AK148" s="183">
        <f t="shared" ca="1" si="69"/>
        <v>101</v>
      </c>
      <c r="AM148" s="11">
        <f t="shared" si="67"/>
        <v>20</v>
      </c>
      <c r="AN148" s="10">
        <v>20</v>
      </c>
      <c r="AO148" s="11">
        <f t="shared" si="64"/>
        <v>25</v>
      </c>
      <c r="AP148" s="10">
        <v>25</v>
      </c>
      <c r="AQ148" s="11">
        <f t="shared" si="64"/>
        <v>25</v>
      </c>
      <c r="AR148" s="10">
        <v>25</v>
      </c>
      <c r="AS148" s="56">
        <f t="shared" si="68"/>
        <v>2</v>
      </c>
      <c r="AU148" s="11">
        <f ca="1">IFERROR(OFFSET(ITEM_RES!$A$1,MATCH(AV148,ITEM_RES!$J:$J,0)-1,0),0)</f>
        <v>211010501</v>
      </c>
      <c r="AV148" s="10" t="s">
        <v>1223</v>
      </c>
      <c r="AW148" s="11">
        <v>1920</v>
      </c>
      <c r="AZ148" s="11">
        <f ca="1">IFERROR(OFFSET(ITEM_RES!$A$1,MATCH(BA148,ITEM_RES!$J:$J,0)-1,0),0)</f>
        <v>211020801</v>
      </c>
      <c r="BA148" s="10" t="s">
        <v>1227</v>
      </c>
      <c r="BB148" s="11">
        <v>1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O148" s="11">
        <f ca="1">IFERROR(OFFSET(ITEM_RES!$A$1,MATCH(BP148,ITEM_RES!$J:$J,0)-1,0),0)</f>
        <v>0</v>
      </c>
      <c r="BQ148" s="11">
        <f t="shared" si="62"/>
        <v>0</v>
      </c>
    </row>
    <row r="149" spans="1:70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M149" s="9" t="s">
        <v>950</v>
      </c>
      <c r="N149" s="9" t="s">
        <v>970</v>
      </c>
      <c r="O149" s="9">
        <v>1</v>
      </c>
      <c r="P149" s="9">
        <v>15</v>
      </c>
      <c r="Q149" s="9" t="s">
        <v>787</v>
      </c>
      <c r="U149" s="9" t="s">
        <v>724</v>
      </c>
      <c r="X149" s="9">
        <f ca="1">IFERROR(OFFSET(ITEM_RES!$A$5,MATCH(BUILDING!W149,ITEM_RES!$J$5:$J$226,0)-1,0),0)</f>
        <v>0</v>
      </c>
      <c r="Z149" s="85" t="s">
        <v>544</v>
      </c>
      <c r="AA149" s="9">
        <f ca="1">IFERROR(OFFSET(ITEM_RES!$A$5,MATCH(BUILDING!Z149,ITEM_RES!$J$5:$J$226,0)-1,0),0)</f>
        <v>211010501</v>
      </c>
      <c r="AC149" s="9" t="s">
        <v>515</v>
      </c>
      <c r="AD149" s="9">
        <v>5</v>
      </c>
      <c r="AF149" s="11">
        <f ca="1">IFERROR(OFFSET(MANOR_LEVEL!$B$1,MATCH(AG149-1,MANOR_LEVEL!$A:$A,0)-1,0),0)</f>
        <v>311600</v>
      </c>
      <c r="AG149" s="56">
        <v>10</v>
      </c>
      <c r="AI149" s="56">
        <f t="shared" ca="1" si="63"/>
        <v>340</v>
      </c>
      <c r="AJ149" s="10">
        <f ca="1">AO149+AQ149+(IFERROR(OFFSET(ITEM_RES!$S$1,MATCH(AU149,ITEM_RES!$A:$A,0)-1,0),0)*AW149+IFERROR(OFFSET(ITEM_RES!$S$1,MATCH(AZ149,ITEM_RES!$A:$A,0)-1,0),0)*BB149+IFERROR(OFFSET(ITEM_RES!$S$1,MATCH(BE149,ITEM_RES!$A:$A,0)-1,0),0)*BG149+IFERROR(OFFSET(ITEM_RES!$S$1,MATCH(BJ149,ITEM_RES!$A:$A,0)-1,0),0)*BL149+IFERROR(OFFSET(ITEM_RES!$S$1,MATCH(BO149,ITEM_RES!$A:$A,0)-1,0),0)*BQ149)/1000</f>
        <v>340.1</v>
      </c>
      <c r="AK149" s="183">
        <f t="shared" ca="1" si="69"/>
        <v>409</v>
      </c>
      <c r="AM149" s="11">
        <f t="shared" si="67"/>
        <v>25</v>
      </c>
      <c r="AN149" s="10">
        <v>25</v>
      </c>
      <c r="AO149" s="11">
        <f t="shared" si="64"/>
        <v>40</v>
      </c>
      <c r="AP149" s="10">
        <v>40</v>
      </c>
      <c r="AQ149" s="11">
        <f t="shared" si="64"/>
        <v>40</v>
      </c>
      <c r="AR149" s="10">
        <v>40</v>
      </c>
      <c r="AS149" s="56">
        <f t="shared" si="68"/>
        <v>2</v>
      </c>
      <c r="AU149" s="11">
        <f ca="1">IFERROR(OFFSET(ITEM_RES!$A$1,MATCH(AV149,ITEM_RES!$J:$J,0)-1,0),0)</f>
        <v>211010501</v>
      </c>
      <c r="AV149" s="10" t="s">
        <v>1223</v>
      </c>
      <c r="AW149" s="11">
        <v>26000</v>
      </c>
      <c r="AZ149" s="11">
        <f ca="1">IFERROR(OFFSET(ITEM_RES!$A$1,MATCH(BA149,ITEM_RES!$J:$J,0)-1,0),0)</f>
        <v>211020801</v>
      </c>
      <c r="BA149" s="10" t="s">
        <v>1227</v>
      </c>
      <c r="BB149" s="11">
        <v>1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O149" s="11">
        <f ca="1">IFERROR(OFFSET(ITEM_RES!$A$1,MATCH(BP149,ITEM_RES!$J:$J,0)-1,0),0)</f>
        <v>0</v>
      </c>
      <c r="BQ149" s="11">
        <f t="shared" si="62"/>
        <v>0</v>
      </c>
    </row>
    <row r="150" spans="1:70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M150" s="9" t="s">
        <v>950</v>
      </c>
      <c r="N150" s="9" t="s">
        <v>970</v>
      </c>
      <c r="O150" s="9">
        <v>1</v>
      </c>
      <c r="P150" s="9">
        <v>15</v>
      </c>
      <c r="Q150" s="9" t="s">
        <v>787</v>
      </c>
      <c r="U150" s="9" t="s">
        <v>724</v>
      </c>
      <c r="X150" s="9">
        <f ca="1">IFERROR(OFFSET(ITEM_RES!$A$5,MATCH(BUILDING!W150,ITEM_RES!$J$5:$J$226,0)-1,0),0)</f>
        <v>0</v>
      </c>
      <c r="Z150" s="85" t="s">
        <v>544</v>
      </c>
      <c r="AA150" s="9">
        <f ca="1">IFERROR(OFFSET(ITEM_RES!$A$5,MATCH(BUILDING!Z150,ITEM_RES!$J$5:$J$226,0)-1,0),0)</f>
        <v>211010501</v>
      </c>
      <c r="AC150" s="9" t="s">
        <v>515</v>
      </c>
      <c r="AD150" s="9">
        <v>6</v>
      </c>
      <c r="AF150" s="11">
        <f ca="1">IFERROR(OFFSET(MANOR_LEVEL!$B$1,MATCH(AG150-1,MANOR_LEVEL!$A:$A,0)-1,0),0)</f>
        <v>311600</v>
      </c>
      <c r="AG150" s="56">
        <v>10</v>
      </c>
      <c r="AI150" s="56">
        <f t="shared" ca="1" si="63"/>
        <v>2500</v>
      </c>
      <c r="AJ150" s="10">
        <f ca="1">AO150+AQ150+(IFERROR(OFFSET(ITEM_RES!$S$1,MATCH(AU150,ITEM_RES!$A:$A,0)-1,0),0)*AW150+IFERROR(OFFSET(ITEM_RES!$S$1,MATCH(AZ150,ITEM_RES!$A:$A,0)-1,0),0)*BB150+IFERROR(OFFSET(ITEM_RES!$S$1,MATCH(BE150,ITEM_RES!$A:$A,0)-1,0),0)*BG150+IFERROR(OFFSET(ITEM_RES!$S$1,MATCH(BJ150,ITEM_RES!$A:$A,0)-1,0),0)*BL150+IFERROR(OFFSET(ITEM_RES!$S$1,MATCH(BO150,ITEM_RES!$A:$A,0)-1,0),0)*BQ150)/1000</f>
        <v>2500.1</v>
      </c>
      <c r="AK150" s="183">
        <f t="shared" ca="1" si="69"/>
        <v>2840</v>
      </c>
      <c r="AM150" s="11">
        <f t="shared" si="67"/>
        <v>30</v>
      </c>
      <c r="AN150" s="10">
        <v>30</v>
      </c>
      <c r="AO150" s="11">
        <f t="shared" si="64"/>
        <v>50</v>
      </c>
      <c r="AP150" s="10">
        <v>50</v>
      </c>
      <c r="AQ150" s="11">
        <f t="shared" si="64"/>
        <v>50</v>
      </c>
      <c r="AR150" s="10">
        <v>50</v>
      </c>
      <c r="AS150" s="56">
        <f t="shared" si="68"/>
        <v>2</v>
      </c>
      <c r="AU150" s="11">
        <f ca="1">IFERROR(OFFSET(ITEM_RES!$A$1,MATCH(AV150,ITEM_RES!$J:$J,0)-1,0),0)</f>
        <v>211010501</v>
      </c>
      <c r="AV150" s="10" t="s">
        <v>1223</v>
      </c>
      <c r="AW150" s="11">
        <v>240000</v>
      </c>
      <c r="AZ150" s="11">
        <f ca="1">IFERROR(OFFSET(ITEM_RES!$A$1,MATCH(BA150,ITEM_RES!$J:$J,0)-1,0),0)</f>
        <v>211020801</v>
      </c>
      <c r="BA150" s="10" t="s">
        <v>1227</v>
      </c>
      <c r="BB150" s="11">
        <v>1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O150" s="11">
        <f ca="1">IFERROR(OFFSET(ITEM_RES!$A$1,MATCH(BP150,ITEM_RES!$J:$J,0)-1,0),0)</f>
        <v>0</v>
      </c>
      <c r="BQ150" s="11">
        <f t="shared" si="62"/>
        <v>0</v>
      </c>
    </row>
    <row r="151" spans="1:70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M151" s="9" t="s">
        <v>950</v>
      </c>
      <c r="N151" s="9" t="s">
        <v>970</v>
      </c>
      <c r="O151" s="9">
        <v>1</v>
      </c>
      <c r="P151" s="9">
        <v>15</v>
      </c>
      <c r="Q151" s="9" t="s">
        <v>787</v>
      </c>
      <c r="U151" s="9" t="s">
        <v>724</v>
      </c>
      <c r="X151" s="9">
        <f ca="1">IFERROR(OFFSET(ITEM_RES!$A$5,MATCH(BUILDING!W151,ITEM_RES!$J$5:$J$226,0)-1,0),0)</f>
        <v>0</v>
      </c>
      <c r="Z151" s="85" t="s">
        <v>544</v>
      </c>
      <c r="AA151" s="9">
        <f ca="1">IFERROR(OFFSET(ITEM_RES!$A$5,MATCH(BUILDING!Z151,ITEM_RES!$J$5:$J$226,0)-1,0),0)</f>
        <v>211010501</v>
      </c>
      <c r="AC151" s="9" t="s">
        <v>515</v>
      </c>
      <c r="AD151" s="9">
        <v>7</v>
      </c>
      <c r="AF151" s="11">
        <f ca="1">IFERROR(OFFSET(MANOR_LEVEL!$B$1,MATCH(AG151-1,MANOR_LEVEL!$A:$A,0)-1,0),0)</f>
        <v>456800</v>
      </c>
      <c r="AG151" s="56">
        <v>11</v>
      </c>
      <c r="AI151" s="56">
        <f t="shared" ca="1" si="63"/>
        <v>5600</v>
      </c>
      <c r="AJ151" s="10">
        <f ca="1">AO151+AQ151+(IFERROR(OFFSET(ITEM_RES!$S$1,MATCH(AU151,ITEM_RES!$A:$A,0)-1,0),0)*AW151+IFERROR(OFFSET(ITEM_RES!$S$1,MATCH(AZ151,ITEM_RES!$A:$A,0)-1,0),0)*BB151+IFERROR(OFFSET(ITEM_RES!$S$1,MATCH(BE151,ITEM_RES!$A:$A,0)-1,0),0)*BG151+IFERROR(OFFSET(ITEM_RES!$S$1,MATCH(BJ151,ITEM_RES!$A:$A,0)-1,0),0)*BL151+IFERROR(OFFSET(ITEM_RES!$S$1,MATCH(BO151,ITEM_RES!$A:$A,0)-1,0),0)*BQ151)/1000</f>
        <v>5600.1</v>
      </c>
      <c r="AK151" s="183">
        <f t="shared" ca="1" si="69"/>
        <v>8100</v>
      </c>
      <c r="AM151" s="11">
        <f t="shared" si="67"/>
        <v>35</v>
      </c>
      <c r="AN151" s="10">
        <v>35</v>
      </c>
      <c r="AO151" s="11">
        <f t="shared" si="64"/>
        <v>100</v>
      </c>
      <c r="AP151" s="10">
        <v>100</v>
      </c>
      <c r="AQ151" s="11">
        <f t="shared" si="64"/>
        <v>100</v>
      </c>
      <c r="AR151" s="10">
        <v>100</v>
      </c>
      <c r="AS151" s="56">
        <f t="shared" si="68"/>
        <v>2</v>
      </c>
      <c r="AU151" s="11">
        <f ca="1">IFERROR(OFFSET(ITEM_RES!$A$1,MATCH(AV151,ITEM_RES!$J:$J,0)-1,0),0)</f>
        <v>211010501</v>
      </c>
      <c r="AV151" s="10" t="s">
        <v>1223</v>
      </c>
      <c r="AW151" s="11">
        <v>540000</v>
      </c>
      <c r="AZ151" s="11">
        <f ca="1">IFERROR(OFFSET(ITEM_RES!$A$1,MATCH(BA151,ITEM_RES!$J:$J,0)-1,0),0)</f>
        <v>211020801</v>
      </c>
      <c r="BA151" s="10" t="s">
        <v>1227</v>
      </c>
      <c r="BB151" s="11">
        <v>1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O151" s="11">
        <f ca="1">IFERROR(OFFSET(ITEM_RES!$A$1,MATCH(BP151,ITEM_RES!$J:$J,0)-1,0),0)</f>
        <v>0</v>
      </c>
      <c r="BQ151" s="11">
        <f t="shared" si="62"/>
        <v>0</v>
      </c>
    </row>
    <row r="152" spans="1:70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M152" s="9" t="s">
        <v>950</v>
      </c>
      <c r="N152" s="9" t="s">
        <v>970</v>
      </c>
      <c r="O152" s="9">
        <v>1</v>
      </c>
      <c r="P152" s="9">
        <v>15</v>
      </c>
      <c r="Q152" s="9" t="s">
        <v>787</v>
      </c>
      <c r="U152" s="9" t="s">
        <v>724</v>
      </c>
      <c r="X152" s="9">
        <f ca="1">IFERROR(OFFSET(ITEM_RES!$A$5,MATCH(BUILDING!W152,ITEM_RES!$J$5:$J$226,0)-1,0),0)</f>
        <v>0</v>
      </c>
      <c r="Z152" s="85" t="s">
        <v>544</v>
      </c>
      <c r="AA152" s="9">
        <f ca="1">IFERROR(OFFSET(ITEM_RES!$A$5,MATCH(BUILDING!Z152,ITEM_RES!$J$5:$J$226,0)-1,0),0)</f>
        <v>211010501</v>
      </c>
      <c r="AC152" s="9" t="s">
        <v>515</v>
      </c>
      <c r="AD152" s="9">
        <v>8</v>
      </c>
      <c r="AF152" s="11">
        <f ca="1">IFERROR(OFFSET(MANOR_LEVEL!$B$1,MATCH(AG152-1,MANOR_LEVEL!$A:$A,0)-1,0),0)</f>
        <v>796000</v>
      </c>
      <c r="AG152" s="56">
        <v>12</v>
      </c>
      <c r="AI152" s="56">
        <f t="shared" ca="1" si="63"/>
        <v>10200</v>
      </c>
      <c r="AJ152" s="10">
        <f ca="1">AO152+AQ152+(IFERROR(OFFSET(ITEM_RES!$S$1,MATCH(AU152,ITEM_RES!$A:$A,0)-1,0),0)*AW152+IFERROR(OFFSET(ITEM_RES!$S$1,MATCH(AZ152,ITEM_RES!$A:$A,0)-1,0),0)*BB152+IFERROR(OFFSET(ITEM_RES!$S$1,MATCH(BE152,ITEM_RES!$A:$A,0)-1,0),0)*BG152+IFERROR(OFFSET(ITEM_RES!$S$1,MATCH(BJ152,ITEM_RES!$A:$A,0)-1,0),0)*BL152+IFERROR(OFFSET(ITEM_RES!$S$1,MATCH(BO152,ITEM_RES!$A:$A,0)-1,0),0)*BQ152)/1000</f>
        <v>10200.1</v>
      </c>
      <c r="AK152" s="183">
        <f t="shared" ca="1" si="69"/>
        <v>15800</v>
      </c>
      <c r="AM152" s="11">
        <f t="shared" si="67"/>
        <v>40</v>
      </c>
      <c r="AN152" s="10">
        <v>40</v>
      </c>
      <c r="AO152" s="11">
        <f t="shared" si="64"/>
        <v>100</v>
      </c>
      <c r="AP152" s="10">
        <v>100</v>
      </c>
      <c r="AQ152" s="11">
        <f t="shared" si="64"/>
        <v>100</v>
      </c>
      <c r="AR152" s="10">
        <v>100</v>
      </c>
      <c r="AS152" s="56">
        <f t="shared" si="68"/>
        <v>2</v>
      </c>
      <c r="AU152" s="11">
        <f ca="1">IFERROR(OFFSET(ITEM_RES!$A$1,MATCH(AV152,ITEM_RES!$J:$J,0)-1,0),0)</f>
        <v>211010501</v>
      </c>
      <c r="AV152" s="10" t="s">
        <v>1223</v>
      </c>
      <c r="AW152" s="11">
        <v>1000000</v>
      </c>
      <c r="AZ152" s="11">
        <f ca="1">IFERROR(OFFSET(ITEM_RES!$A$1,MATCH(BA152,ITEM_RES!$J:$J,0)-1,0),0)</f>
        <v>211020801</v>
      </c>
      <c r="BA152" s="10" t="s">
        <v>1227</v>
      </c>
      <c r="BB152" s="11">
        <v>1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O152" s="11">
        <f ca="1">IFERROR(OFFSET(ITEM_RES!$A$1,MATCH(BP152,ITEM_RES!$J:$J,0)-1,0),0)</f>
        <v>0</v>
      </c>
      <c r="BQ152" s="11">
        <f t="shared" si="62"/>
        <v>0</v>
      </c>
    </row>
    <row r="153" spans="1:70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M153" s="9" t="s">
        <v>950</v>
      </c>
      <c r="N153" s="9" t="s">
        <v>970</v>
      </c>
      <c r="O153" s="9">
        <v>1</v>
      </c>
      <c r="P153" s="9">
        <v>15</v>
      </c>
      <c r="Q153" s="9" t="s">
        <v>787</v>
      </c>
      <c r="U153" s="9" t="s">
        <v>724</v>
      </c>
      <c r="X153" s="9">
        <f ca="1">IFERROR(OFFSET(ITEM_RES!$A$5,MATCH(BUILDING!W153,ITEM_RES!$J$5:$J$226,0)-1,0),0)</f>
        <v>0</v>
      </c>
      <c r="Z153" s="85" t="s">
        <v>544</v>
      </c>
      <c r="AA153" s="9">
        <f ca="1">IFERROR(OFFSET(ITEM_RES!$A$5,MATCH(BUILDING!Z153,ITEM_RES!$J$5:$J$226,0)-1,0),0)</f>
        <v>211010501</v>
      </c>
      <c r="AC153" s="9" t="s">
        <v>515</v>
      </c>
      <c r="AD153" s="9">
        <v>9</v>
      </c>
      <c r="AF153" s="11">
        <f ca="1">IFERROR(OFFSET(MANOR_LEVEL!$B$1,MATCH(AG153-1,MANOR_LEVEL!$A:$A,0)-1,0),0)</f>
        <v>1156400</v>
      </c>
      <c r="AG153" s="56">
        <v>13</v>
      </c>
      <c r="AI153" s="56">
        <f t="shared" ca="1" si="63"/>
        <v>16100</v>
      </c>
      <c r="AJ153" s="10">
        <f ca="1">AO153+AQ153+(IFERROR(OFFSET(ITEM_RES!$S$1,MATCH(AU153,ITEM_RES!$A:$A,0)-1,0),0)*AW153+IFERROR(OFFSET(ITEM_RES!$S$1,MATCH(AZ153,ITEM_RES!$A:$A,0)-1,0),0)*BB153+IFERROR(OFFSET(ITEM_RES!$S$1,MATCH(BE153,ITEM_RES!$A:$A,0)-1,0),0)*BG153+IFERROR(OFFSET(ITEM_RES!$S$1,MATCH(BJ153,ITEM_RES!$A:$A,0)-1,0),0)*BL153+IFERROR(OFFSET(ITEM_RES!$S$1,MATCH(BO153,ITEM_RES!$A:$A,0)-1,0),0)*BQ153)/1000</f>
        <v>16100.1</v>
      </c>
      <c r="AK153" s="183">
        <f t="shared" ca="1" si="69"/>
        <v>26300</v>
      </c>
      <c r="AM153" s="11">
        <f t="shared" si="67"/>
        <v>45</v>
      </c>
      <c r="AN153" s="10">
        <v>45</v>
      </c>
      <c r="AO153" s="11">
        <f t="shared" si="64"/>
        <v>150</v>
      </c>
      <c r="AP153" s="10">
        <v>150</v>
      </c>
      <c r="AQ153" s="11">
        <f t="shared" si="64"/>
        <v>150</v>
      </c>
      <c r="AR153" s="10">
        <v>150</v>
      </c>
      <c r="AS153" s="56">
        <f t="shared" si="68"/>
        <v>2</v>
      </c>
      <c r="AU153" s="11">
        <f ca="1">IFERROR(OFFSET(ITEM_RES!$A$1,MATCH(AV153,ITEM_RES!$J:$J,0)-1,0),0)</f>
        <v>211010501</v>
      </c>
      <c r="AV153" s="10" t="s">
        <v>1223</v>
      </c>
      <c r="AW153" s="11">
        <v>1580000</v>
      </c>
      <c r="AZ153" s="11">
        <f ca="1">IFERROR(OFFSET(ITEM_RES!$A$1,MATCH(BA153,ITEM_RES!$J:$J,0)-1,0),0)</f>
        <v>211020801</v>
      </c>
      <c r="BA153" s="10" t="s">
        <v>1227</v>
      </c>
      <c r="BB153" s="11">
        <v>1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O153" s="11">
        <f ca="1">IFERROR(OFFSET(ITEM_RES!$A$1,MATCH(BP153,ITEM_RES!$J:$J,0)-1,0),0)</f>
        <v>0</v>
      </c>
      <c r="BQ153" s="11">
        <f t="shared" ref="BQ153:BQ256" si="73">IF(BR153&lt;100,ROUND(BR153,1-LEN(ROUND(BR153,0))),ROUND(BR153,2-LEN(ROUND(BR153,0))))</f>
        <v>0</v>
      </c>
    </row>
    <row r="154" spans="1:70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M154" s="9" t="s">
        <v>950</v>
      </c>
      <c r="N154" s="9" t="s">
        <v>970</v>
      </c>
      <c r="O154" s="9">
        <v>1</v>
      </c>
      <c r="P154" s="9">
        <v>15</v>
      </c>
      <c r="Q154" s="9" t="s">
        <v>787</v>
      </c>
      <c r="U154" s="9" t="s">
        <v>724</v>
      </c>
      <c r="X154" s="9">
        <f ca="1">IFERROR(OFFSET(ITEM_RES!$A$5,MATCH(BUILDING!W154,ITEM_RES!$J$5:$J$226,0)-1,0),0)</f>
        <v>0</v>
      </c>
      <c r="Z154" s="85" t="s">
        <v>544</v>
      </c>
      <c r="AA154" s="9">
        <f ca="1">IFERROR(OFFSET(ITEM_RES!$A$5,MATCH(BUILDING!Z154,ITEM_RES!$J$5:$J$226,0)-1,0),0)</f>
        <v>211010501</v>
      </c>
      <c r="AC154" s="9" t="s">
        <v>515</v>
      </c>
      <c r="AD154" s="9">
        <v>10</v>
      </c>
      <c r="AF154" s="11">
        <f ca="1">IFERROR(OFFSET(MANOR_LEVEL!$B$1,MATCH(AG154-1,MANOR_LEVEL!$A:$A,0)-1,0),0)</f>
        <v>1156400</v>
      </c>
      <c r="AG154" s="56">
        <v>13</v>
      </c>
      <c r="AI154" s="56">
        <f t="shared" ref="AI154:AI217" ca="1" si="74">ROUND(AJ154,0)</f>
        <v>22400</v>
      </c>
      <c r="AJ154" s="10">
        <f ca="1">AO154+AQ154+(IFERROR(OFFSET(ITEM_RES!$S$1,MATCH(AU154,ITEM_RES!$A:$A,0)-1,0),0)*AW154+IFERROR(OFFSET(ITEM_RES!$S$1,MATCH(AZ154,ITEM_RES!$A:$A,0)-1,0),0)*BB154+IFERROR(OFFSET(ITEM_RES!$S$1,MATCH(BE154,ITEM_RES!$A:$A,0)-1,0),0)*BG154+IFERROR(OFFSET(ITEM_RES!$S$1,MATCH(BJ154,ITEM_RES!$A:$A,0)-1,0),0)*BL154+IFERROR(OFFSET(ITEM_RES!$S$1,MATCH(BO154,ITEM_RES!$A:$A,0)-1,0),0)*BQ154)/1000</f>
        <v>22400.1</v>
      </c>
      <c r="AK154" s="183">
        <f t="shared" ca="1" si="69"/>
        <v>38500</v>
      </c>
      <c r="AM154" s="11">
        <f t="shared" si="67"/>
        <v>50</v>
      </c>
      <c r="AN154" s="10">
        <v>50</v>
      </c>
      <c r="AO154" s="11">
        <f t="shared" ref="AO154:AQ257" si="75">ROUND(AP154,0)</f>
        <v>200</v>
      </c>
      <c r="AP154" s="10">
        <v>200</v>
      </c>
      <c r="AQ154" s="11">
        <f t="shared" si="75"/>
        <v>200</v>
      </c>
      <c r="AR154" s="10">
        <v>200</v>
      </c>
      <c r="AS154" s="56">
        <f t="shared" si="68"/>
        <v>2</v>
      </c>
      <c r="AU154" s="11">
        <f ca="1">IFERROR(OFFSET(ITEM_RES!$A$1,MATCH(AV154,ITEM_RES!$J:$J,0)-1,0),0)</f>
        <v>211010501</v>
      </c>
      <c r="AV154" s="10" t="s">
        <v>1223</v>
      </c>
      <c r="AW154" s="11">
        <v>2200000</v>
      </c>
      <c r="AZ154" s="11">
        <f ca="1">IFERROR(OFFSET(ITEM_RES!$A$1,MATCH(BA154,ITEM_RES!$J:$J,0)-1,0),0)</f>
        <v>211020801</v>
      </c>
      <c r="BA154" s="10" t="s">
        <v>1227</v>
      </c>
      <c r="BB154" s="11">
        <v>1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O154" s="11">
        <f ca="1">IFERROR(OFFSET(ITEM_RES!$A$1,MATCH(BP154,ITEM_RES!$J:$J,0)-1,0),0)</f>
        <v>0</v>
      </c>
      <c r="BQ154" s="11">
        <f t="shared" si="73"/>
        <v>0</v>
      </c>
    </row>
    <row r="155" spans="1:70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M155" s="9" t="s">
        <v>950</v>
      </c>
      <c r="N155" s="9" t="s">
        <v>970</v>
      </c>
      <c r="O155" s="9">
        <v>1</v>
      </c>
      <c r="P155" s="9">
        <v>15</v>
      </c>
      <c r="Q155" s="9" t="s">
        <v>787</v>
      </c>
      <c r="U155" s="9" t="s">
        <v>724</v>
      </c>
      <c r="X155" s="9">
        <f ca="1">IFERROR(OFFSET(ITEM_RES!$A$5,MATCH(BUILDING!W155,ITEM_RES!$J$5:$J$226,0)-1,0),0)</f>
        <v>0</v>
      </c>
      <c r="Z155" s="85" t="s">
        <v>544</v>
      </c>
      <c r="AA155" s="9">
        <f ca="1">IFERROR(OFFSET(ITEM_RES!$A$5,MATCH(BUILDING!Z155,ITEM_RES!$J$5:$J$226,0)-1,0),0)</f>
        <v>211010501</v>
      </c>
      <c r="AC155" s="9" t="s">
        <v>515</v>
      </c>
      <c r="AD155" s="9">
        <v>11</v>
      </c>
      <c r="AF155" s="11">
        <f ca="1">IFERROR(OFFSET(MANOR_LEVEL!$B$1,MATCH(AG155-1,MANOR_LEVEL!$A:$A,0)-1,0),0)</f>
        <v>1661200</v>
      </c>
      <c r="AG155" s="56">
        <v>14</v>
      </c>
      <c r="AI155" s="56">
        <f t="shared" ca="1" si="74"/>
        <v>88500</v>
      </c>
      <c r="AJ155" s="10">
        <f ca="1">AO155+AQ155+(IFERROR(OFFSET(ITEM_RES!$S$1,MATCH(AU155,ITEM_RES!$A:$A,0)-1,0),0)*AW155+IFERROR(OFFSET(ITEM_RES!$S$1,MATCH(AZ155,ITEM_RES!$A:$A,0)-1,0),0)*BB155+IFERROR(OFFSET(ITEM_RES!$S$1,MATCH(BE155,ITEM_RES!$A:$A,0)-1,0),0)*BG155+IFERROR(OFFSET(ITEM_RES!$S$1,MATCH(BJ155,ITEM_RES!$A:$A,0)-1,0),0)*BL155+IFERROR(OFFSET(ITEM_RES!$S$1,MATCH(BO155,ITEM_RES!$A:$A,0)-1,0),0)*BQ155)/1000</f>
        <v>88500.1</v>
      </c>
      <c r="AK155" s="183">
        <f t="shared" ca="1" si="69"/>
        <v>110900</v>
      </c>
      <c r="AM155" s="11">
        <f t="shared" si="67"/>
        <v>55</v>
      </c>
      <c r="AN155" s="10">
        <v>55</v>
      </c>
      <c r="AO155" s="11">
        <f t="shared" si="75"/>
        <v>250</v>
      </c>
      <c r="AP155" s="10">
        <v>250</v>
      </c>
      <c r="AQ155" s="11">
        <f t="shared" si="75"/>
        <v>250</v>
      </c>
      <c r="AR155" s="10">
        <v>250</v>
      </c>
      <c r="AS155" s="56">
        <f t="shared" si="68"/>
        <v>2</v>
      </c>
      <c r="AU155" s="11">
        <f ca="1">IFERROR(OFFSET(ITEM_RES!$A$1,MATCH(AV155,ITEM_RES!$J:$J,0)-1,0),0)</f>
        <v>211010601</v>
      </c>
      <c r="AV155" s="10" t="s">
        <v>1221</v>
      </c>
      <c r="AW155" s="11">
        <v>4400000</v>
      </c>
      <c r="AZ155" s="11">
        <f ca="1">IFERROR(OFFSET(ITEM_RES!$A$1,MATCH(BA155,ITEM_RES!$J:$J,0)-1,0),0)</f>
        <v>211020801</v>
      </c>
      <c r="BA155" s="10" t="s">
        <v>1227</v>
      </c>
      <c r="BB155" s="11">
        <v>1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O155" s="11">
        <f ca="1">IFERROR(OFFSET(ITEM_RES!$A$1,MATCH(BP155,ITEM_RES!$J:$J,0)-1,0),0)</f>
        <v>0</v>
      </c>
      <c r="BQ155" s="11">
        <f t="shared" si="73"/>
        <v>0</v>
      </c>
    </row>
    <row r="156" spans="1:70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M156" s="9" t="s">
        <v>950</v>
      </c>
      <c r="N156" s="9" t="s">
        <v>970</v>
      </c>
      <c r="O156" s="9">
        <v>1</v>
      </c>
      <c r="P156" s="9">
        <v>15</v>
      </c>
      <c r="Q156" s="9" t="s">
        <v>787</v>
      </c>
      <c r="U156" s="9" t="s">
        <v>724</v>
      </c>
      <c r="X156" s="9">
        <f ca="1">IFERROR(OFFSET(ITEM_RES!$A$5,MATCH(BUILDING!W156,ITEM_RES!$J$5:$J$226,0)-1,0),0)</f>
        <v>0</v>
      </c>
      <c r="Z156" s="85" t="s">
        <v>544</v>
      </c>
      <c r="AA156" s="9">
        <f ca="1">IFERROR(OFFSET(ITEM_RES!$A$5,MATCH(BUILDING!Z156,ITEM_RES!$J$5:$J$226,0)-1,0),0)</f>
        <v>211010501</v>
      </c>
      <c r="AC156" s="9" t="s">
        <v>515</v>
      </c>
      <c r="AD156" s="9">
        <v>12</v>
      </c>
      <c r="AF156" s="11">
        <f ca="1">IFERROR(OFFSET(MANOR_LEVEL!$B$1,MATCH(AG156-1,MANOR_LEVEL!$A:$A,0)-1,0),0)</f>
        <v>2622400</v>
      </c>
      <c r="AG156" s="56">
        <v>15</v>
      </c>
      <c r="AI156" s="56">
        <f t="shared" ca="1" si="74"/>
        <v>104600</v>
      </c>
      <c r="AJ156" s="10">
        <f ca="1">AO156+AQ156+(IFERROR(OFFSET(ITEM_RES!$S$1,MATCH(AU156,ITEM_RES!$A:$A,0)-1,0),0)*AW156+IFERROR(OFFSET(ITEM_RES!$S$1,MATCH(AZ156,ITEM_RES!$A:$A,0)-1,0),0)*BB156+IFERROR(OFFSET(ITEM_RES!$S$1,MATCH(BE156,ITEM_RES!$A:$A,0)-1,0),0)*BG156+IFERROR(OFFSET(ITEM_RES!$S$1,MATCH(BJ156,ITEM_RES!$A:$A,0)-1,0),0)*BL156+IFERROR(OFFSET(ITEM_RES!$S$1,MATCH(BO156,ITEM_RES!$A:$A,0)-1,0),0)*BQ156)/1000</f>
        <v>104600.1</v>
      </c>
      <c r="AK156" s="183">
        <f t="shared" ca="1" si="69"/>
        <v>193100</v>
      </c>
      <c r="AM156" s="11">
        <f t="shared" si="67"/>
        <v>60</v>
      </c>
      <c r="AN156" s="10">
        <v>60</v>
      </c>
      <c r="AO156" s="11">
        <f t="shared" si="75"/>
        <v>300</v>
      </c>
      <c r="AP156" s="10">
        <v>300</v>
      </c>
      <c r="AQ156" s="11">
        <f t="shared" si="75"/>
        <v>300</v>
      </c>
      <c r="AR156" s="10">
        <v>300</v>
      </c>
      <c r="AS156" s="56">
        <f t="shared" si="68"/>
        <v>2</v>
      </c>
      <c r="AU156" s="11">
        <f ca="1">IFERROR(OFFSET(ITEM_RES!$A$1,MATCH(AV156,ITEM_RES!$J:$J,0)-1,0),0)</f>
        <v>211010601</v>
      </c>
      <c r="AV156" s="10" t="s">
        <v>1221</v>
      </c>
      <c r="AW156" s="11">
        <v>5200000</v>
      </c>
      <c r="AZ156" s="11">
        <f ca="1">IFERROR(OFFSET(ITEM_RES!$A$1,MATCH(BA156,ITEM_RES!$J:$J,0)-1,0),0)</f>
        <v>211020801</v>
      </c>
      <c r="BA156" s="10" t="s">
        <v>1227</v>
      </c>
      <c r="BB156" s="11">
        <v>1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O156" s="11">
        <f ca="1">IFERROR(OFFSET(ITEM_RES!$A$1,MATCH(BP156,ITEM_RES!$J:$J,0)-1,0),0)</f>
        <v>0</v>
      </c>
      <c r="BQ156" s="11">
        <f t="shared" si="73"/>
        <v>0</v>
      </c>
    </row>
    <row r="157" spans="1:70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M157" s="9" t="s">
        <v>950</v>
      </c>
      <c r="N157" s="9" t="s">
        <v>970</v>
      </c>
      <c r="O157" s="9">
        <v>1</v>
      </c>
      <c r="P157" s="9">
        <v>15</v>
      </c>
      <c r="Q157" s="9" t="s">
        <v>787</v>
      </c>
      <c r="U157" s="9" t="s">
        <v>724</v>
      </c>
      <c r="X157" s="9">
        <f ca="1">IFERROR(OFFSET(ITEM_RES!$A$5,MATCH(BUILDING!W157,ITEM_RES!$J$5:$J$226,0)-1,0),0)</f>
        <v>0</v>
      </c>
      <c r="Z157" s="85" t="s">
        <v>544</v>
      </c>
      <c r="AA157" s="9">
        <f ca="1">IFERROR(OFFSET(ITEM_RES!$A$5,MATCH(BUILDING!Z157,ITEM_RES!$J$5:$J$226,0)-1,0),0)</f>
        <v>211010501</v>
      </c>
      <c r="AC157" s="9" t="s">
        <v>515</v>
      </c>
      <c r="AD157" s="9">
        <v>13</v>
      </c>
      <c r="AF157" s="11">
        <f ca="1">IFERROR(OFFSET(MANOR_LEVEL!$B$1,MATCH(AG157-1,MANOR_LEVEL!$A:$A,0)-1,0),0)</f>
        <v>4232000</v>
      </c>
      <c r="AG157" s="56">
        <v>16</v>
      </c>
      <c r="AI157" s="56">
        <f t="shared" ca="1" si="74"/>
        <v>172700</v>
      </c>
      <c r="AJ157" s="10">
        <f ca="1">AO157+AQ157+(IFERROR(OFFSET(ITEM_RES!$S$1,MATCH(AU157,ITEM_RES!$A:$A,0)-1,0),0)*AW157+IFERROR(OFFSET(ITEM_RES!$S$1,MATCH(AZ157,ITEM_RES!$A:$A,0)-1,0),0)*BB157+IFERROR(OFFSET(ITEM_RES!$S$1,MATCH(BE157,ITEM_RES!$A:$A,0)-1,0),0)*BG157+IFERROR(OFFSET(ITEM_RES!$S$1,MATCH(BJ157,ITEM_RES!$A:$A,0)-1,0),0)*BL157+IFERROR(OFFSET(ITEM_RES!$S$1,MATCH(BO157,ITEM_RES!$A:$A,0)-1,0),0)*BQ157)/1000</f>
        <v>172700.2</v>
      </c>
      <c r="AK157" s="183">
        <f t="shared" ca="1" si="69"/>
        <v>277300</v>
      </c>
      <c r="AM157" s="11">
        <f t="shared" si="67"/>
        <v>65</v>
      </c>
      <c r="AN157" s="10">
        <v>65</v>
      </c>
      <c r="AO157" s="11">
        <f t="shared" si="75"/>
        <v>350</v>
      </c>
      <c r="AP157" s="10">
        <v>350</v>
      </c>
      <c r="AQ157" s="11">
        <f t="shared" si="75"/>
        <v>350</v>
      </c>
      <c r="AR157" s="10">
        <v>350</v>
      </c>
      <c r="AS157" s="56">
        <f t="shared" si="68"/>
        <v>2</v>
      </c>
      <c r="AU157" s="11">
        <f ca="1">IFERROR(OFFSET(ITEM_RES!$A$1,MATCH(AV157,ITEM_RES!$J:$J,0)-1,0),0)</f>
        <v>211010601</v>
      </c>
      <c r="AV157" s="10" t="s">
        <v>1221</v>
      </c>
      <c r="AW157" s="11">
        <v>8600000</v>
      </c>
      <c r="AZ157" s="11">
        <f ca="1">IFERROR(OFFSET(ITEM_RES!$A$1,MATCH(BA157,ITEM_RES!$J:$J,0)-1,0),0)</f>
        <v>211020901</v>
      </c>
      <c r="BA157" s="10" t="s">
        <v>1228</v>
      </c>
      <c r="BB157" s="11">
        <v>1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O157" s="11">
        <f ca="1">IFERROR(OFFSET(ITEM_RES!$A$1,MATCH(BP157,ITEM_RES!$J:$J,0)-1,0),0)</f>
        <v>0</v>
      </c>
      <c r="BQ157" s="11">
        <f t="shared" si="73"/>
        <v>0</v>
      </c>
    </row>
    <row r="158" spans="1:70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M158" s="9" t="s">
        <v>950</v>
      </c>
      <c r="N158" s="9" t="s">
        <v>970</v>
      </c>
      <c r="O158" s="9">
        <v>1</v>
      </c>
      <c r="P158" s="9">
        <v>15</v>
      </c>
      <c r="Q158" s="9" t="s">
        <v>787</v>
      </c>
      <c r="U158" s="9" t="s">
        <v>724</v>
      </c>
      <c r="X158" s="9">
        <f ca="1">IFERROR(OFFSET(ITEM_RES!$A$5,MATCH(BUILDING!W158,ITEM_RES!$J$5:$J$226,0)-1,0),0)</f>
        <v>0</v>
      </c>
      <c r="Z158" s="85" t="s">
        <v>544</v>
      </c>
      <c r="AA158" s="9">
        <f ca="1">IFERROR(OFFSET(ITEM_RES!$A$5,MATCH(BUILDING!Z158,ITEM_RES!$J$5:$J$226,0)-1,0),0)</f>
        <v>211010501</v>
      </c>
      <c r="AC158" s="9" t="s">
        <v>515</v>
      </c>
      <c r="AD158" s="9">
        <v>14</v>
      </c>
      <c r="AF158" s="11">
        <f ca="1">IFERROR(OFFSET(MANOR_LEVEL!$B$1,MATCH(AG158-1,MANOR_LEVEL!$A:$A,0)-1,0),0)</f>
        <v>7450000</v>
      </c>
      <c r="AG158" s="56">
        <v>17</v>
      </c>
      <c r="AI158" s="56">
        <f t="shared" ca="1" si="74"/>
        <v>264900</v>
      </c>
      <c r="AJ158" s="10">
        <f ca="1">AO158+AQ158+(IFERROR(OFFSET(ITEM_RES!$S$1,MATCH(AU158,ITEM_RES!$A:$A,0)-1,0),0)*AW158+IFERROR(OFFSET(ITEM_RES!$S$1,MATCH(AZ158,ITEM_RES!$A:$A,0)-1,0),0)*BB158+IFERROR(OFFSET(ITEM_RES!$S$1,MATCH(BE158,ITEM_RES!$A:$A,0)-1,0),0)*BG158+IFERROR(OFFSET(ITEM_RES!$S$1,MATCH(BJ158,ITEM_RES!$A:$A,0)-1,0),0)*BL158+IFERROR(OFFSET(ITEM_RES!$S$1,MATCH(BO158,ITEM_RES!$A:$A,0)-1,0),0)*BQ158)/1000</f>
        <v>264900.2</v>
      </c>
      <c r="AK158" s="183">
        <f t="shared" ca="1" si="69"/>
        <v>437600</v>
      </c>
      <c r="AM158" s="11">
        <f t="shared" si="67"/>
        <v>70</v>
      </c>
      <c r="AN158" s="10">
        <v>70</v>
      </c>
      <c r="AO158" s="11">
        <f t="shared" si="75"/>
        <v>450</v>
      </c>
      <c r="AP158" s="10">
        <v>450</v>
      </c>
      <c r="AQ158" s="11">
        <f t="shared" si="75"/>
        <v>450</v>
      </c>
      <c r="AR158" s="10">
        <v>450</v>
      </c>
      <c r="AS158" s="56">
        <f t="shared" si="68"/>
        <v>2</v>
      </c>
      <c r="AU158" s="11">
        <f ca="1">IFERROR(OFFSET(ITEM_RES!$A$1,MATCH(AV158,ITEM_RES!$J:$J,0)-1,0),0)</f>
        <v>211010601</v>
      </c>
      <c r="AV158" s="10" t="s">
        <v>1221</v>
      </c>
      <c r="AW158" s="11">
        <v>13200000</v>
      </c>
      <c r="AZ158" s="11">
        <f ca="1">IFERROR(OFFSET(ITEM_RES!$A$1,MATCH(BA158,ITEM_RES!$J:$J,0)-1,0),0)</f>
        <v>211020901</v>
      </c>
      <c r="BA158" s="10" t="s">
        <v>1228</v>
      </c>
      <c r="BB158" s="11">
        <v>1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O158" s="11">
        <f ca="1">IFERROR(OFFSET(ITEM_RES!$A$1,MATCH(BP158,ITEM_RES!$J:$J,0)-1,0),0)</f>
        <v>0</v>
      </c>
      <c r="BQ158" s="11">
        <f t="shared" si="73"/>
        <v>0</v>
      </c>
    </row>
    <row r="159" spans="1:70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M159" s="9" t="s">
        <v>950</v>
      </c>
      <c r="N159" s="9" t="s">
        <v>970</v>
      </c>
      <c r="O159" s="9">
        <v>1</v>
      </c>
      <c r="P159" s="9">
        <v>15</v>
      </c>
      <c r="Q159" s="9" t="s">
        <v>787</v>
      </c>
      <c r="U159" s="9" t="s">
        <v>724</v>
      </c>
      <c r="X159" s="9">
        <f ca="1">IFERROR(OFFSET(ITEM_RES!$A$5,MATCH(BUILDING!W159,ITEM_RES!$J$5:$J$226,0)-1,0),0)</f>
        <v>0</v>
      </c>
      <c r="Z159" s="85" t="s">
        <v>544</v>
      </c>
      <c r="AA159" s="9">
        <f ca="1">IFERROR(OFFSET(ITEM_RES!$A$5,MATCH(BUILDING!Z159,ITEM_RES!$J$5:$J$226,0)-1,0),0)</f>
        <v>211010501</v>
      </c>
      <c r="AC159" s="9" t="s">
        <v>515</v>
      </c>
      <c r="AD159" s="9">
        <v>15</v>
      </c>
      <c r="AF159" s="11">
        <f ca="1">IFERROR(OFFSET(MANOR_LEVEL!$B$1,MATCH(AG159-1,MANOR_LEVEL!$A:$A,0)-1,0),0)</f>
        <v>12172400</v>
      </c>
      <c r="AG159" s="56">
        <v>18</v>
      </c>
      <c r="AI159" s="56">
        <f t="shared" ca="1" si="74"/>
        <v>441100</v>
      </c>
      <c r="AJ159" s="10">
        <f ca="1">AO159+AQ159+(IFERROR(OFFSET(ITEM_RES!$S$1,MATCH(AU159,ITEM_RES!$A:$A,0)-1,0),0)*AW159+IFERROR(OFFSET(ITEM_RES!$S$1,MATCH(AZ159,ITEM_RES!$A:$A,0)-1,0),0)*BB159+IFERROR(OFFSET(ITEM_RES!$S$1,MATCH(BE159,ITEM_RES!$A:$A,0)-1,0),0)*BG159+IFERROR(OFFSET(ITEM_RES!$S$1,MATCH(BJ159,ITEM_RES!$A:$A,0)-1,0),0)*BL159+IFERROR(OFFSET(ITEM_RES!$S$1,MATCH(BO159,ITEM_RES!$A:$A,0)-1,0),0)*BQ159)/1000</f>
        <v>441100.2</v>
      </c>
      <c r="AK159" s="183">
        <f t="shared" ca="1" si="69"/>
        <v>706000</v>
      </c>
      <c r="AM159" s="11">
        <f t="shared" si="67"/>
        <v>75</v>
      </c>
      <c r="AN159" s="10">
        <v>75</v>
      </c>
      <c r="AO159" s="11">
        <f t="shared" si="75"/>
        <v>550</v>
      </c>
      <c r="AP159" s="10">
        <v>550</v>
      </c>
      <c r="AQ159" s="11">
        <f t="shared" si="75"/>
        <v>550</v>
      </c>
      <c r="AR159" s="10">
        <v>550</v>
      </c>
      <c r="AS159" s="56">
        <f t="shared" si="68"/>
        <v>2</v>
      </c>
      <c r="AU159" s="11">
        <f ca="1">IFERROR(OFFSET(ITEM_RES!$A$1,MATCH(AV159,ITEM_RES!$J:$J,0)-1,0),0)</f>
        <v>211010601</v>
      </c>
      <c r="AV159" s="10" t="s">
        <v>1221</v>
      </c>
      <c r="AW159" s="11">
        <v>22000000</v>
      </c>
      <c r="AZ159" s="11">
        <f ca="1">IFERROR(OFFSET(ITEM_RES!$A$1,MATCH(BA159,ITEM_RES!$J:$J,0)-1,0),0)</f>
        <v>211020901</v>
      </c>
      <c r="BA159" s="10" t="s">
        <v>1228</v>
      </c>
      <c r="BB159" s="11">
        <v>1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O159" s="11">
        <f ca="1">IFERROR(OFFSET(ITEM_RES!$A$1,MATCH(BP159,ITEM_RES!$J:$J,0)-1,0),0)</f>
        <v>0</v>
      </c>
      <c r="BQ159" s="11">
        <f t="shared" si="73"/>
        <v>0</v>
      </c>
    </row>
    <row r="160" spans="1:70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M160" s="9" t="s">
        <v>950</v>
      </c>
      <c r="N160" s="9" t="s">
        <v>970</v>
      </c>
      <c r="O160" s="9">
        <v>0</v>
      </c>
      <c r="P160" s="9">
        <v>15</v>
      </c>
      <c r="Q160" s="9" t="s">
        <v>787</v>
      </c>
      <c r="U160" s="9" t="s">
        <v>724</v>
      </c>
      <c r="X160" s="9">
        <f ca="1">IFERROR(OFFSET(ITEM_RES!$A$5,MATCH(BUILDING!W160,ITEM_RES!$J$5:$J$226,0)-1,0),0)</f>
        <v>0</v>
      </c>
      <c r="Z160" s="85" t="s">
        <v>544</v>
      </c>
      <c r="AA160" s="9">
        <f ca="1">IFERROR(OFFSET(ITEM_RES!$A$5,MATCH(BUILDING!Z160,ITEM_RES!$J$5:$J$226,0)-1,0),0)</f>
        <v>211010501</v>
      </c>
      <c r="AC160" s="9" t="s">
        <v>515</v>
      </c>
      <c r="AD160" s="9">
        <v>16</v>
      </c>
      <c r="AF160" s="11">
        <f ca="1">IFERROR(OFFSET(MANOR_LEVEL!$B$1,MATCH(AG160-1,MANOR_LEVEL!$A:$A,0)-1,0),0)</f>
        <v>12172400</v>
      </c>
      <c r="AG160" s="56">
        <v>18</v>
      </c>
      <c r="AI160" s="56">
        <f t="shared" ca="1" si="74"/>
        <v>601400</v>
      </c>
      <c r="AJ160" s="10">
        <f ca="1">AO160+AQ160+(IFERROR(OFFSET(ITEM_RES!$S$1,MATCH(AU160,ITEM_RES!$A:$A,0)-1,0),0)*AW160+IFERROR(OFFSET(ITEM_RES!$S$1,MATCH(AZ160,ITEM_RES!$A:$A,0)-1,0),0)*BB160+IFERROR(OFFSET(ITEM_RES!$S$1,MATCH(BE160,ITEM_RES!$A:$A,0)-1,0),0)*BG160+IFERROR(OFFSET(ITEM_RES!$S$1,MATCH(BJ160,ITEM_RES!$A:$A,0)-1,0),0)*BL160+IFERROR(OFFSET(ITEM_RES!$S$1,MATCH(BO160,ITEM_RES!$A:$A,0)-1,0),0)*BQ160)/1000</f>
        <v>601400.19999999995</v>
      </c>
      <c r="AK160" s="183">
        <f t="shared" ca="1" si="69"/>
        <v>1042500</v>
      </c>
      <c r="AM160" s="11">
        <f t="shared" si="67"/>
        <v>80</v>
      </c>
      <c r="AN160" s="10">
        <v>80</v>
      </c>
      <c r="AO160" s="11">
        <f t="shared" si="75"/>
        <v>700</v>
      </c>
      <c r="AP160" s="10">
        <v>700</v>
      </c>
      <c r="AQ160" s="11">
        <f t="shared" si="75"/>
        <v>700</v>
      </c>
      <c r="AR160" s="10">
        <v>700</v>
      </c>
      <c r="AS160" s="56">
        <f t="shared" si="68"/>
        <v>2</v>
      </c>
      <c r="AU160" s="11">
        <f ca="1">IFERROR(OFFSET(ITEM_RES!$A$1,MATCH(AV160,ITEM_RES!$J:$J,0)-1,0),0)</f>
        <v>211010601</v>
      </c>
      <c r="AV160" s="10" t="s">
        <v>1221</v>
      </c>
      <c r="AW160" s="11">
        <v>30000000</v>
      </c>
      <c r="AZ160" s="11">
        <f ca="1">IFERROR(OFFSET(ITEM_RES!$A$1,MATCH(BA160,ITEM_RES!$J:$J,0)-1,0),0)</f>
        <v>211020901</v>
      </c>
      <c r="BA160" s="10" t="s">
        <v>1228</v>
      </c>
      <c r="BB160" s="11">
        <v>1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O160" s="11">
        <f ca="1">IFERROR(OFFSET(ITEM_RES!$A$1,MATCH(BP160,ITEM_RES!$J:$J,0)-1,0),0)</f>
        <v>0</v>
      </c>
      <c r="BQ160" s="11">
        <f t="shared" si="73"/>
        <v>0</v>
      </c>
    </row>
    <row r="161" spans="1:70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M161" s="9" t="s">
        <v>950</v>
      </c>
      <c r="N161" s="9" t="s">
        <v>970</v>
      </c>
      <c r="O161" s="9">
        <v>0</v>
      </c>
      <c r="P161" s="9">
        <v>15</v>
      </c>
      <c r="Q161" s="9" t="s">
        <v>787</v>
      </c>
      <c r="U161" s="9" t="s">
        <v>724</v>
      </c>
      <c r="X161" s="9">
        <f ca="1">IFERROR(OFFSET(ITEM_RES!$A$5,MATCH(BUILDING!W161,ITEM_RES!$J$5:$J$226,0)-1,0),0)</f>
        <v>0</v>
      </c>
      <c r="Z161" s="85" t="s">
        <v>544</v>
      </c>
      <c r="AA161" s="9">
        <f ca="1">IFERROR(OFFSET(ITEM_RES!$A$5,MATCH(BUILDING!Z161,ITEM_RES!$J$5:$J$226,0)-1,0),0)</f>
        <v>211010501</v>
      </c>
      <c r="AC161" s="9" t="s">
        <v>515</v>
      </c>
      <c r="AD161" s="9">
        <v>17</v>
      </c>
      <c r="AF161" s="11">
        <f ca="1">IFERROR(OFFSET(MANOR_LEVEL!$B$1,MATCH(AG161-1,MANOR_LEVEL!$A:$A,0)-1,0),0)</f>
        <v>12172400</v>
      </c>
      <c r="AG161" s="56">
        <v>18</v>
      </c>
      <c r="AI161" s="56">
        <f t="shared" ca="1" si="74"/>
        <v>921700</v>
      </c>
      <c r="AJ161" s="10">
        <f ca="1">AO161+AQ161+(IFERROR(OFFSET(ITEM_RES!$S$1,MATCH(AU161,ITEM_RES!$A:$A,0)-1,0),0)*AW161+IFERROR(OFFSET(ITEM_RES!$S$1,MATCH(AZ161,ITEM_RES!$A:$A,0)-1,0),0)*BB161+IFERROR(OFFSET(ITEM_RES!$S$1,MATCH(BE161,ITEM_RES!$A:$A,0)-1,0),0)*BG161+IFERROR(OFFSET(ITEM_RES!$S$1,MATCH(BJ161,ITEM_RES!$A:$A,0)-1,0),0)*BL161+IFERROR(OFFSET(ITEM_RES!$S$1,MATCH(BO161,ITEM_RES!$A:$A,0)-1,0),0)*BQ161)/1000</f>
        <v>921700.2</v>
      </c>
      <c r="AK161" s="183">
        <f t="shared" ca="1" si="69"/>
        <v>1523100</v>
      </c>
      <c r="AM161" s="11">
        <f t="shared" si="67"/>
        <v>85</v>
      </c>
      <c r="AN161" s="10">
        <v>85</v>
      </c>
      <c r="AO161" s="11">
        <f t="shared" si="75"/>
        <v>850</v>
      </c>
      <c r="AP161" s="10">
        <v>850</v>
      </c>
      <c r="AQ161" s="11">
        <f t="shared" si="75"/>
        <v>850</v>
      </c>
      <c r="AR161" s="10">
        <v>850</v>
      </c>
      <c r="AS161" s="56">
        <f t="shared" si="68"/>
        <v>2</v>
      </c>
      <c r="AU161" s="11">
        <f ca="1">IFERROR(OFFSET(ITEM_RES!$A$1,MATCH(AV161,ITEM_RES!$J:$J,0)-1,0),0)</f>
        <v>211010601</v>
      </c>
      <c r="AV161" s="10" t="s">
        <v>1221</v>
      </c>
      <c r="AW161" s="11">
        <v>46000000</v>
      </c>
      <c r="AZ161" s="11">
        <f ca="1">IFERROR(OFFSET(ITEM_RES!$A$1,MATCH(BA161,ITEM_RES!$J:$J,0)-1,0),0)</f>
        <v>211020901</v>
      </c>
      <c r="BA161" s="10" t="s">
        <v>1228</v>
      </c>
      <c r="BB161" s="11">
        <v>1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O161" s="11">
        <f ca="1">IFERROR(OFFSET(ITEM_RES!$A$1,MATCH(BP161,ITEM_RES!$J:$J,0)-1,0),0)</f>
        <v>0</v>
      </c>
      <c r="BQ161" s="11">
        <f t="shared" si="73"/>
        <v>0</v>
      </c>
    </row>
    <row r="162" spans="1:70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M162" s="9" t="s">
        <v>950</v>
      </c>
      <c r="N162" s="9" t="s">
        <v>970</v>
      </c>
      <c r="O162" s="9">
        <v>0</v>
      </c>
      <c r="P162" s="9">
        <v>15</v>
      </c>
      <c r="Q162" s="9" t="s">
        <v>787</v>
      </c>
      <c r="U162" s="9" t="s">
        <v>724</v>
      </c>
      <c r="X162" s="9">
        <f ca="1">IFERROR(OFFSET(ITEM_RES!$A$5,MATCH(BUILDING!W162,ITEM_RES!$J$5:$J$226,0)-1,0),0)</f>
        <v>0</v>
      </c>
      <c r="Z162" s="85" t="s">
        <v>544</v>
      </c>
      <c r="AA162" s="9">
        <f ca="1">IFERROR(OFFSET(ITEM_RES!$A$5,MATCH(BUILDING!Z162,ITEM_RES!$J$5:$J$226,0)-1,0),0)</f>
        <v>211010501</v>
      </c>
      <c r="AC162" s="9" t="s">
        <v>515</v>
      </c>
      <c r="AD162" s="9">
        <v>18</v>
      </c>
      <c r="AF162" s="11">
        <f ca="1">IFERROR(OFFSET(MANOR_LEVEL!$B$1,MATCH(AG162-1,MANOR_LEVEL!$A:$A,0)-1,0),0)</f>
        <v>12172400</v>
      </c>
      <c r="AG162" s="56">
        <v>18</v>
      </c>
      <c r="AI162" s="56">
        <f t="shared" ca="1" si="74"/>
        <v>1402100</v>
      </c>
      <c r="AJ162" s="10">
        <f ca="1">AO162+AQ162+(IFERROR(OFFSET(ITEM_RES!$S$1,MATCH(AU162,ITEM_RES!$A:$A,0)-1,0),0)*AW162+IFERROR(OFFSET(ITEM_RES!$S$1,MATCH(AZ162,ITEM_RES!$A:$A,0)-1,0),0)*BB162+IFERROR(OFFSET(ITEM_RES!$S$1,MATCH(BE162,ITEM_RES!$A:$A,0)-1,0),0)*BG162+IFERROR(OFFSET(ITEM_RES!$S$1,MATCH(BJ162,ITEM_RES!$A:$A,0)-1,0),0)*BL162+IFERROR(OFFSET(ITEM_RES!$S$1,MATCH(BO162,ITEM_RES!$A:$A,0)-1,0),0)*BQ162)/1000</f>
        <v>1402100.2</v>
      </c>
      <c r="AK162" s="183">
        <f t="shared" ca="1" si="69"/>
        <v>2323800</v>
      </c>
      <c r="AM162" s="11">
        <f t="shared" si="67"/>
        <v>90</v>
      </c>
      <c r="AN162" s="10">
        <v>90</v>
      </c>
      <c r="AO162" s="11">
        <f t="shared" si="75"/>
        <v>1050</v>
      </c>
      <c r="AP162" s="10">
        <v>1050</v>
      </c>
      <c r="AQ162" s="11">
        <f t="shared" si="75"/>
        <v>1050</v>
      </c>
      <c r="AR162" s="10">
        <v>1050</v>
      </c>
      <c r="AS162" s="56">
        <f t="shared" si="68"/>
        <v>2</v>
      </c>
      <c r="AU162" s="11">
        <f ca="1">IFERROR(OFFSET(ITEM_RES!$A$1,MATCH(AV162,ITEM_RES!$J:$J,0)-1,0),0)</f>
        <v>211010601</v>
      </c>
      <c r="AV162" s="10" t="s">
        <v>1221</v>
      </c>
      <c r="AW162" s="11">
        <v>70000000</v>
      </c>
      <c r="AZ162" s="11">
        <f ca="1">IFERROR(OFFSET(ITEM_RES!$A$1,MATCH(BA162,ITEM_RES!$J:$J,0)-1,0),0)</f>
        <v>211020901</v>
      </c>
      <c r="BA162" s="10" t="s">
        <v>1228</v>
      </c>
      <c r="BB162" s="11">
        <v>1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O162" s="11">
        <f ca="1">IFERROR(OFFSET(ITEM_RES!$A$1,MATCH(BP162,ITEM_RES!$J:$J,0)-1,0),0)</f>
        <v>0</v>
      </c>
      <c r="BQ162" s="11">
        <f t="shared" si="73"/>
        <v>0</v>
      </c>
    </row>
    <row r="163" spans="1:70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M163" s="9" t="s">
        <v>950</v>
      </c>
      <c r="N163" s="9" t="s">
        <v>970</v>
      </c>
      <c r="O163" s="9">
        <v>0</v>
      </c>
      <c r="P163" s="9">
        <v>15</v>
      </c>
      <c r="Q163" s="9" t="s">
        <v>787</v>
      </c>
      <c r="U163" s="9" t="s">
        <v>724</v>
      </c>
      <c r="X163" s="9">
        <f ca="1">IFERROR(OFFSET(ITEM_RES!$A$5,MATCH(BUILDING!W163,ITEM_RES!$J$5:$J$226,0)-1,0),0)</f>
        <v>0</v>
      </c>
      <c r="Z163" s="85" t="s">
        <v>544</v>
      </c>
      <c r="AA163" s="9">
        <f ca="1">IFERROR(OFFSET(ITEM_RES!$A$5,MATCH(BUILDING!Z163,ITEM_RES!$J$5:$J$226,0)-1,0),0)</f>
        <v>211010501</v>
      </c>
      <c r="AC163" s="9" t="s">
        <v>515</v>
      </c>
      <c r="AD163" s="9">
        <v>19</v>
      </c>
      <c r="AF163" s="11">
        <f ca="1">IFERROR(OFFSET(MANOR_LEVEL!$B$1,MATCH(AG163-1,MANOR_LEVEL!$A:$A,0)-1,0),0)</f>
        <v>12172400</v>
      </c>
      <c r="AG163" s="56">
        <v>18</v>
      </c>
      <c r="AI163" s="56">
        <f t="shared" ca="1" si="74"/>
        <v>1922500</v>
      </c>
      <c r="AJ163" s="10">
        <f ca="1">AO163+AQ163+(IFERROR(OFFSET(ITEM_RES!$S$1,MATCH(AU163,ITEM_RES!$A:$A,0)-1,0),0)*AW163+IFERROR(OFFSET(ITEM_RES!$S$1,MATCH(AZ163,ITEM_RES!$A:$A,0)-1,0),0)*BB163+IFERROR(OFFSET(ITEM_RES!$S$1,MATCH(BE163,ITEM_RES!$A:$A,0)-1,0),0)*BG163+IFERROR(OFFSET(ITEM_RES!$S$1,MATCH(BJ163,ITEM_RES!$A:$A,0)-1,0),0)*BL163+IFERROR(OFFSET(ITEM_RES!$S$1,MATCH(BO163,ITEM_RES!$A:$A,0)-1,0),0)*BQ163)/1000</f>
        <v>1922500.2</v>
      </c>
      <c r="AK163" s="183">
        <f t="shared" ca="1" si="69"/>
        <v>3324600</v>
      </c>
      <c r="AM163" s="11">
        <f t="shared" si="67"/>
        <v>95</v>
      </c>
      <c r="AN163" s="10">
        <v>95</v>
      </c>
      <c r="AO163" s="11">
        <f t="shared" si="75"/>
        <v>1250</v>
      </c>
      <c r="AP163" s="10">
        <v>1250</v>
      </c>
      <c r="AQ163" s="11">
        <f t="shared" si="75"/>
        <v>1250</v>
      </c>
      <c r="AR163" s="10">
        <v>1250</v>
      </c>
      <c r="AS163" s="56">
        <f t="shared" si="68"/>
        <v>2</v>
      </c>
      <c r="AU163" s="11">
        <f ca="1">IFERROR(OFFSET(ITEM_RES!$A$1,MATCH(AV163,ITEM_RES!$J:$J,0)-1,0),0)</f>
        <v>211010601</v>
      </c>
      <c r="AV163" s="10" t="s">
        <v>1221</v>
      </c>
      <c r="AW163" s="11">
        <v>96000000</v>
      </c>
      <c r="AZ163" s="11">
        <f ca="1">IFERROR(OFFSET(ITEM_RES!$A$1,MATCH(BA163,ITEM_RES!$J:$J,0)-1,0),0)</f>
        <v>211020901</v>
      </c>
      <c r="BA163" s="10" t="s">
        <v>1228</v>
      </c>
      <c r="BB163" s="11">
        <v>1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O163" s="11">
        <f ca="1">IFERROR(OFFSET(ITEM_RES!$A$1,MATCH(BP163,ITEM_RES!$J:$J,0)-1,0),0)</f>
        <v>0</v>
      </c>
      <c r="BQ163" s="11">
        <f t="shared" si="73"/>
        <v>0</v>
      </c>
    </row>
    <row r="164" spans="1:70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M164" s="9" t="s">
        <v>950</v>
      </c>
      <c r="N164" s="9" t="s">
        <v>970</v>
      </c>
      <c r="O164" s="9">
        <v>0</v>
      </c>
      <c r="P164" s="9">
        <v>15</v>
      </c>
      <c r="Q164" s="9" t="s">
        <v>787</v>
      </c>
      <c r="U164" s="9" t="s">
        <v>724</v>
      </c>
      <c r="X164" s="9">
        <f ca="1">IFERROR(OFFSET(ITEM_RES!$A$5,MATCH(BUILDING!W164,ITEM_RES!$J$5:$J$226,0)-1,0),0)</f>
        <v>0</v>
      </c>
      <c r="Z164" s="85" t="s">
        <v>544</v>
      </c>
      <c r="AA164" s="9">
        <f ca="1">IFERROR(OFFSET(ITEM_RES!$A$5,MATCH(BUILDING!Z164,ITEM_RES!$J$5:$J$226,0)-1,0),0)</f>
        <v>211010501</v>
      </c>
      <c r="AC164" s="9" t="s">
        <v>515</v>
      </c>
      <c r="AD164" s="9">
        <v>20</v>
      </c>
      <c r="AF164" s="11">
        <f ca="1">IFERROR(OFFSET(MANOR_LEVEL!$B$1,MATCH(AG164-1,MANOR_LEVEL!$A:$A,0)-1,0),0)</f>
        <v>18575200</v>
      </c>
      <c r="AG164" s="56">
        <v>19</v>
      </c>
      <c r="AI164" s="56">
        <f t="shared" ca="1" si="74"/>
        <v>3043000</v>
      </c>
      <c r="AJ164" s="10">
        <f ca="1">AO164+AQ164+(IFERROR(OFFSET(ITEM_RES!$S$1,MATCH(AU164,ITEM_RES!$A:$A,0)-1,0),0)*AW164+IFERROR(OFFSET(ITEM_RES!$S$1,MATCH(AZ164,ITEM_RES!$A:$A,0)-1,0),0)*BB164+IFERROR(OFFSET(ITEM_RES!$S$1,MATCH(BE164,ITEM_RES!$A:$A,0)-1,0),0)*BG164+IFERROR(OFFSET(ITEM_RES!$S$1,MATCH(BJ164,ITEM_RES!$A:$A,0)-1,0),0)*BL164+IFERROR(OFFSET(ITEM_RES!$S$1,MATCH(BO164,ITEM_RES!$A:$A,0)-1,0),0)*BQ164)/1000</f>
        <v>3043000.2</v>
      </c>
      <c r="AK164" s="183">
        <f t="shared" ca="1" si="69"/>
        <v>4965500</v>
      </c>
      <c r="AM164" s="11">
        <f t="shared" si="67"/>
        <v>100</v>
      </c>
      <c r="AN164" s="10">
        <v>100</v>
      </c>
      <c r="AO164" s="11">
        <f t="shared" si="75"/>
        <v>1500</v>
      </c>
      <c r="AP164" s="10">
        <v>1500</v>
      </c>
      <c r="AQ164" s="11">
        <f t="shared" si="75"/>
        <v>1500</v>
      </c>
      <c r="AR164" s="10">
        <v>1500</v>
      </c>
      <c r="AS164" s="56">
        <f t="shared" si="68"/>
        <v>2</v>
      </c>
      <c r="AU164" s="11">
        <f ca="1">IFERROR(OFFSET(ITEM_RES!$A$1,MATCH(AV164,ITEM_RES!$J:$J,0)-1,0),0)</f>
        <v>211010601</v>
      </c>
      <c r="AV164" s="10" t="s">
        <v>1221</v>
      </c>
      <c r="AW164" s="11">
        <v>152000000</v>
      </c>
      <c r="AZ164" s="11">
        <f ca="1">IFERROR(OFFSET(ITEM_RES!$A$1,MATCH(BA164,ITEM_RES!$J:$J,0)-1,0),0)</f>
        <v>211020901</v>
      </c>
      <c r="BA164" s="10" t="s">
        <v>1228</v>
      </c>
      <c r="BB164" s="11">
        <v>1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O164" s="11">
        <f ca="1">IFERROR(OFFSET(ITEM_RES!$A$1,MATCH(BP164,ITEM_RES!$J:$J,0)-1,0),0)</f>
        <v>0</v>
      </c>
      <c r="BQ164" s="11">
        <f t="shared" si="73"/>
        <v>0</v>
      </c>
    </row>
    <row r="165" spans="1:70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79"/>
      <c r="H165" s="16">
        <v>2</v>
      </c>
      <c r="I165" s="16">
        <v>1</v>
      </c>
      <c r="J165" s="79"/>
      <c r="K165" s="16" t="s">
        <v>361</v>
      </c>
      <c r="L165" s="16">
        <v>9</v>
      </c>
      <c r="M165" s="16" t="s">
        <v>951</v>
      </c>
      <c r="N165" s="16" t="s">
        <v>971</v>
      </c>
      <c r="O165" s="16">
        <v>1</v>
      </c>
      <c r="P165" s="16">
        <v>15</v>
      </c>
      <c r="Q165" s="16" t="s">
        <v>786</v>
      </c>
      <c r="R165" s="17"/>
      <c r="S165" s="17"/>
      <c r="T165" s="18"/>
      <c r="U165" s="16" t="s">
        <v>705</v>
      </c>
      <c r="V165" s="79"/>
      <c r="W165" s="87" t="s">
        <v>544</v>
      </c>
      <c r="X165" s="16">
        <f ca="1">IFERROR(OFFSET(ITEM_RES!$A$5,MATCH(BUILDING!W165,ITEM_RES!$J$5:$J$226,0)-1,0),0)</f>
        <v>211010501</v>
      </c>
      <c r="Y165" s="18">
        <v>1</v>
      </c>
      <c r="Z165" s="87" t="s">
        <v>545</v>
      </c>
      <c r="AA165" s="16">
        <f ca="1">IFERROR(OFFSET(ITEM_RES!$A$5,MATCH(BUILDING!Z165,ITEM_RES!$J$5:$J$226,0)-1,0),0)</f>
        <v>211010601</v>
      </c>
      <c r="AB165" s="79"/>
      <c r="AC165" s="16" t="s">
        <v>516</v>
      </c>
      <c r="AD165" s="16">
        <v>1</v>
      </c>
      <c r="AE165" s="79"/>
      <c r="AF165" s="18">
        <f ca="1">IFERROR(OFFSET(MANOR_LEVEL!$B$1,MATCH(AG165-1,MANOR_LEVEL!$A:$A,0)-1,0),0)</f>
        <v>796000</v>
      </c>
      <c r="AG165" s="57">
        <v>12</v>
      </c>
      <c r="AH165" s="79"/>
      <c r="AI165" s="57">
        <f t="shared" ca="1" si="74"/>
        <v>110</v>
      </c>
      <c r="AJ165" s="17">
        <f ca="1">AO165+AQ165+(IFERROR(OFFSET(ITEM_RES!$S$1,MATCH(AU165,ITEM_RES!$A:$A,0)-1,0),0)*AW165+IFERROR(OFFSET(ITEM_RES!$S$1,MATCH(AZ165,ITEM_RES!$A:$A,0)-1,0),0)*BB165+IFERROR(OFFSET(ITEM_RES!$S$1,MATCH(BE165,ITEM_RES!$A:$A,0)-1,0),0)*BG165+IFERROR(OFFSET(ITEM_RES!$S$1,MATCH(BJ165,ITEM_RES!$A:$A,0)-1,0),0)*BL165+IFERROR(OFFSET(ITEM_RES!$S$1,MATCH(BO165,ITEM_RES!$A:$A,0)-1,0),0)*BQ165)/1000</f>
        <v>110.3</v>
      </c>
      <c r="AK165" s="185">
        <f ca="1">AI165</f>
        <v>110</v>
      </c>
      <c r="AL165" s="79"/>
      <c r="AM165" s="18">
        <f t="shared" si="67"/>
        <v>5</v>
      </c>
      <c r="AN165" s="17">
        <v>5</v>
      </c>
      <c r="AO165" s="18">
        <f t="shared" si="75"/>
        <v>5</v>
      </c>
      <c r="AP165" s="17">
        <v>5</v>
      </c>
      <c r="AQ165" s="18">
        <f t="shared" si="75"/>
        <v>5</v>
      </c>
      <c r="AR165" s="17">
        <v>5</v>
      </c>
      <c r="AS165" s="57">
        <f t="shared" si="68"/>
        <v>3</v>
      </c>
      <c r="AT165" s="18"/>
      <c r="AU165" s="18">
        <f ca="1">IFERROR(OFFSET(ITEM_RES!$A$1,MATCH(AV165,ITEM_RES!$J:$J,0)-1,0),0)</f>
        <v>211010501</v>
      </c>
      <c r="AV165" s="17" t="s">
        <v>1223</v>
      </c>
      <c r="AW165" s="18">
        <v>20</v>
      </c>
      <c r="AX165" s="17"/>
      <c r="AY165" s="18"/>
      <c r="AZ165" s="18">
        <f ca="1">IFERROR(OFFSET(ITEM_RES!$A$1,MATCH(BA165,ITEM_RES!$J:$J,0)-1,0),0)</f>
        <v>211020801</v>
      </c>
      <c r="BA165" s="17" t="s">
        <v>1227</v>
      </c>
      <c r="BB165" s="18">
        <v>1</v>
      </c>
      <c r="BC165" s="17"/>
      <c r="BD165" s="18"/>
      <c r="BE165" s="18">
        <f ca="1">IFERROR(OFFSET(ITEM_RES!$A$1,MATCH(BF165,ITEM_RES!$J:$J,0)-1,0),0)</f>
        <v>213010101</v>
      </c>
      <c r="BF165" s="17" t="s">
        <v>452</v>
      </c>
      <c r="BG165" s="18">
        <v>1</v>
      </c>
      <c r="BH165" s="17"/>
      <c r="BI165" s="18"/>
      <c r="BJ165" s="18">
        <f ca="1">IFERROR(OFFSET(ITEM_RES!$A$1,MATCH(BK165,ITEM_RES!$J:$J,0)-1,0),0)</f>
        <v>0</v>
      </c>
      <c r="BK165" s="17"/>
      <c r="BL165" s="18"/>
      <c r="BM165" s="17"/>
      <c r="BN165" s="18"/>
      <c r="BO165" s="18">
        <f ca="1">IFERROR(OFFSET(ITEM_RES!$A$1,MATCH(BP165,ITEM_RES!$J:$J,0)-1,0),0)</f>
        <v>0</v>
      </c>
      <c r="BP165" s="17"/>
      <c r="BQ165" s="18">
        <f t="shared" si="73"/>
        <v>0</v>
      </c>
      <c r="BR165" s="17"/>
    </row>
    <row r="166" spans="1:70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M166" s="9" t="s">
        <v>951</v>
      </c>
      <c r="N166" s="9" t="s">
        <v>971</v>
      </c>
      <c r="O166" s="9">
        <v>1</v>
      </c>
      <c r="P166" s="9">
        <v>15</v>
      </c>
      <c r="Q166" s="9" t="s">
        <v>786</v>
      </c>
      <c r="U166" s="9" t="s">
        <v>705</v>
      </c>
      <c r="W166" s="85" t="s">
        <v>544</v>
      </c>
      <c r="X166" s="9">
        <f ca="1">IFERROR(OFFSET(ITEM_RES!$A$5,MATCH(BUILDING!W166,ITEM_RES!$J$5:$J$226,0)-1,0),0)</f>
        <v>211010501</v>
      </c>
      <c r="Y166" s="11">
        <v>1</v>
      </c>
      <c r="Z166" s="85" t="s">
        <v>545</v>
      </c>
      <c r="AA166" s="9">
        <f ca="1">IFERROR(OFFSET(ITEM_RES!$A$5,MATCH(BUILDING!Z166,ITEM_RES!$J$5:$J$226,0)-1,0),0)</f>
        <v>211010601</v>
      </c>
      <c r="AC166" s="9" t="s">
        <v>516</v>
      </c>
      <c r="AD166" s="9">
        <v>2</v>
      </c>
      <c r="AF166" s="11">
        <f ca="1">IFERROR(OFFSET(MANOR_LEVEL!$B$1,MATCH(AG166-1,MANOR_LEVEL!$A:$A,0)-1,0),0)</f>
        <v>796000</v>
      </c>
      <c r="AG166" s="56">
        <v>12</v>
      </c>
      <c r="AI166" s="56">
        <f t="shared" ca="1" si="74"/>
        <v>20</v>
      </c>
      <c r="AJ166" s="10">
        <f ca="1">AO166+AQ166+(IFERROR(OFFSET(ITEM_RES!$S$1,MATCH(AU166,ITEM_RES!$A:$A,0)-1,0),0)*AW166+IFERROR(OFFSET(ITEM_RES!$S$1,MATCH(AZ166,ITEM_RES!$A:$A,0)-1,0),0)*BB166+IFERROR(OFFSET(ITEM_RES!$S$1,MATCH(BE166,ITEM_RES!$A:$A,0)-1,0),0)*BG166+IFERROR(OFFSET(ITEM_RES!$S$1,MATCH(BJ166,ITEM_RES!$A:$A,0)-1,0),0)*BL166+IFERROR(OFFSET(ITEM_RES!$S$1,MATCH(BO166,ITEM_RES!$A:$A,0)-1,0),0)*BQ166)/1000</f>
        <v>20.3</v>
      </c>
      <c r="AK166" s="183">
        <f ca="1">AI165+AI166</f>
        <v>130</v>
      </c>
      <c r="AM166" s="11">
        <f t="shared" si="67"/>
        <v>10</v>
      </c>
      <c r="AN166" s="10">
        <v>10</v>
      </c>
      <c r="AO166" s="11">
        <f t="shared" si="75"/>
        <v>10</v>
      </c>
      <c r="AP166" s="10">
        <v>10</v>
      </c>
      <c r="AQ166" s="11">
        <f t="shared" si="75"/>
        <v>10</v>
      </c>
      <c r="AR166" s="10">
        <v>10</v>
      </c>
      <c r="AS166" s="56">
        <f t="shared" si="68"/>
        <v>2</v>
      </c>
      <c r="AU166" s="11">
        <f ca="1">IFERROR(OFFSET(ITEM_RES!$A$1,MATCH(AV166,ITEM_RES!$J:$J,0)-1,0),0)</f>
        <v>211010501</v>
      </c>
      <c r="AV166" s="10" t="s">
        <v>1223</v>
      </c>
      <c r="AW166" s="11">
        <v>20</v>
      </c>
      <c r="AZ166" s="11">
        <f ca="1">IFERROR(OFFSET(ITEM_RES!$A$1,MATCH(BA166,ITEM_RES!$J:$J,0)-1,0),0)</f>
        <v>211020801</v>
      </c>
      <c r="BA166" s="10" t="s">
        <v>1227</v>
      </c>
      <c r="BB166" s="11">
        <v>1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O166" s="11">
        <f ca="1">IFERROR(OFFSET(ITEM_RES!$A$1,MATCH(BP166,ITEM_RES!$J:$J,0)-1,0),0)</f>
        <v>0</v>
      </c>
      <c r="BQ166" s="11">
        <f t="shared" si="73"/>
        <v>0</v>
      </c>
    </row>
    <row r="167" spans="1:70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M167" s="9" t="s">
        <v>951</v>
      </c>
      <c r="N167" s="9" t="s">
        <v>971</v>
      </c>
      <c r="O167" s="9">
        <v>1</v>
      </c>
      <c r="P167" s="9">
        <v>15</v>
      </c>
      <c r="Q167" s="9" t="s">
        <v>786</v>
      </c>
      <c r="U167" s="9" t="s">
        <v>705</v>
      </c>
      <c r="W167" s="85" t="s">
        <v>544</v>
      </c>
      <c r="X167" s="9">
        <f ca="1">IFERROR(OFFSET(ITEM_RES!$A$5,MATCH(BUILDING!W167,ITEM_RES!$J$5:$J$226,0)-1,0),0)</f>
        <v>211010501</v>
      </c>
      <c r="Y167" s="11">
        <v>1</v>
      </c>
      <c r="Z167" s="85" t="s">
        <v>545</v>
      </c>
      <c r="AA167" s="9">
        <f ca="1">IFERROR(OFFSET(ITEM_RES!$A$5,MATCH(BUILDING!Z167,ITEM_RES!$J$5:$J$226,0)-1,0),0)</f>
        <v>211010601</v>
      </c>
      <c r="AC167" s="9" t="s">
        <v>516</v>
      </c>
      <c r="AD167" s="9">
        <v>3</v>
      </c>
      <c r="AF167" s="11">
        <f ca="1">IFERROR(OFFSET(MANOR_LEVEL!$B$1,MATCH(AG167-1,MANOR_LEVEL!$A:$A,0)-1,0),0)</f>
        <v>796000</v>
      </c>
      <c r="AG167" s="56">
        <v>12</v>
      </c>
      <c r="AI167" s="56">
        <f t="shared" ca="1" si="74"/>
        <v>32</v>
      </c>
      <c r="AJ167" s="10">
        <f ca="1">AO167+AQ167+(IFERROR(OFFSET(ITEM_RES!$S$1,MATCH(AU167,ITEM_RES!$A:$A,0)-1,0),0)*AW167+IFERROR(OFFSET(ITEM_RES!$S$1,MATCH(AZ167,ITEM_RES!$A:$A,0)-1,0),0)*BB167+IFERROR(OFFSET(ITEM_RES!$S$1,MATCH(BE167,ITEM_RES!$A:$A,0)-1,0),0)*BG167+IFERROR(OFFSET(ITEM_RES!$S$1,MATCH(BJ167,ITEM_RES!$A:$A,0)-1,0),0)*BL167+IFERROR(OFFSET(ITEM_RES!$S$1,MATCH(BO167,ITEM_RES!$A:$A,0)-1,0),0)*BQ167)/1000</f>
        <v>31.7</v>
      </c>
      <c r="AK167" s="183">
        <f t="shared" ref="AK167:AK184" ca="1" si="76">AI166+AI167</f>
        <v>52</v>
      </c>
      <c r="AM167" s="11">
        <f t="shared" si="67"/>
        <v>15</v>
      </c>
      <c r="AN167" s="10">
        <v>15</v>
      </c>
      <c r="AO167" s="11">
        <f t="shared" si="75"/>
        <v>15</v>
      </c>
      <c r="AP167" s="10">
        <v>15</v>
      </c>
      <c r="AQ167" s="11">
        <f t="shared" si="75"/>
        <v>15</v>
      </c>
      <c r="AR167" s="10">
        <v>15</v>
      </c>
      <c r="AS167" s="56">
        <f t="shared" si="68"/>
        <v>2</v>
      </c>
      <c r="AU167" s="11">
        <f ca="1">IFERROR(OFFSET(ITEM_RES!$A$1,MATCH(AV167,ITEM_RES!$J:$J,0)-1,0),0)</f>
        <v>211010501</v>
      </c>
      <c r="AV167" s="10" t="s">
        <v>1223</v>
      </c>
      <c r="AW167" s="11">
        <v>160</v>
      </c>
      <c r="AZ167" s="11">
        <f ca="1">IFERROR(OFFSET(ITEM_RES!$A$1,MATCH(BA167,ITEM_RES!$J:$J,0)-1,0),0)</f>
        <v>211020801</v>
      </c>
      <c r="BA167" s="10" t="s">
        <v>1227</v>
      </c>
      <c r="BB167" s="11">
        <v>1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O167" s="11">
        <f ca="1">IFERROR(OFFSET(ITEM_RES!$A$1,MATCH(BP167,ITEM_RES!$J:$J,0)-1,0),0)</f>
        <v>0</v>
      </c>
      <c r="BQ167" s="11">
        <f t="shared" si="73"/>
        <v>0</v>
      </c>
    </row>
    <row r="168" spans="1:70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M168" s="9" t="s">
        <v>951</v>
      </c>
      <c r="N168" s="9" t="s">
        <v>971</v>
      </c>
      <c r="O168" s="9">
        <v>1</v>
      </c>
      <c r="P168" s="9">
        <v>15</v>
      </c>
      <c r="Q168" s="9" t="s">
        <v>786</v>
      </c>
      <c r="U168" s="9" t="s">
        <v>705</v>
      </c>
      <c r="W168" s="85" t="s">
        <v>544</v>
      </c>
      <c r="X168" s="9">
        <f ca="1">IFERROR(OFFSET(ITEM_RES!$A$5,MATCH(BUILDING!W168,ITEM_RES!$J$5:$J$226,0)-1,0),0)</f>
        <v>211010501</v>
      </c>
      <c r="Y168" s="11">
        <v>1</v>
      </c>
      <c r="Z168" s="85" t="s">
        <v>545</v>
      </c>
      <c r="AA168" s="9">
        <f ca="1">IFERROR(OFFSET(ITEM_RES!$A$5,MATCH(BUILDING!Z168,ITEM_RES!$J$5:$J$226,0)-1,0),0)</f>
        <v>211010601</v>
      </c>
      <c r="AC168" s="9" t="s">
        <v>516</v>
      </c>
      <c r="AD168" s="9">
        <v>4</v>
      </c>
      <c r="AF168" s="11">
        <f ca="1">IFERROR(OFFSET(MANOR_LEVEL!$B$1,MATCH(AG168-1,MANOR_LEVEL!$A:$A,0)-1,0),0)</f>
        <v>796000</v>
      </c>
      <c r="AG168" s="56">
        <v>12</v>
      </c>
      <c r="AI168" s="56">
        <f t="shared" ca="1" si="74"/>
        <v>69</v>
      </c>
      <c r="AJ168" s="10">
        <f ca="1">AO168+AQ168+(IFERROR(OFFSET(ITEM_RES!$S$1,MATCH(AU168,ITEM_RES!$A:$A,0)-1,0),0)*AW168+IFERROR(OFFSET(ITEM_RES!$S$1,MATCH(AZ168,ITEM_RES!$A:$A,0)-1,0),0)*BB168+IFERROR(OFFSET(ITEM_RES!$S$1,MATCH(BE168,ITEM_RES!$A:$A,0)-1,0),0)*BG168+IFERROR(OFFSET(ITEM_RES!$S$1,MATCH(BJ168,ITEM_RES!$A:$A,0)-1,0),0)*BL168+IFERROR(OFFSET(ITEM_RES!$S$1,MATCH(BO168,ITEM_RES!$A:$A,0)-1,0),0)*BQ168)/1000</f>
        <v>69.3</v>
      </c>
      <c r="AK168" s="183">
        <f t="shared" ca="1" si="76"/>
        <v>101</v>
      </c>
      <c r="AM168" s="11">
        <f t="shared" si="67"/>
        <v>20</v>
      </c>
      <c r="AN168" s="10">
        <v>20</v>
      </c>
      <c r="AO168" s="11">
        <f t="shared" si="75"/>
        <v>25</v>
      </c>
      <c r="AP168" s="10">
        <v>25</v>
      </c>
      <c r="AQ168" s="11">
        <f t="shared" si="75"/>
        <v>25</v>
      </c>
      <c r="AR168" s="10">
        <v>25</v>
      </c>
      <c r="AS168" s="56">
        <f t="shared" si="68"/>
        <v>2</v>
      </c>
      <c r="AU168" s="11">
        <f ca="1">IFERROR(OFFSET(ITEM_RES!$A$1,MATCH(AV168,ITEM_RES!$J:$J,0)-1,0),0)</f>
        <v>211010501</v>
      </c>
      <c r="AV168" s="10" t="s">
        <v>1223</v>
      </c>
      <c r="AW168" s="11">
        <v>1920</v>
      </c>
      <c r="AZ168" s="11">
        <f ca="1">IFERROR(OFFSET(ITEM_RES!$A$1,MATCH(BA168,ITEM_RES!$J:$J,0)-1,0),0)</f>
        <v>211020801</v>
      </c>
      <c r="BA168" s="10" t="s">
        <v>1227</v>
      </c>
      <c r="BB168" s="11">
        <v>1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O168" s="11">
        <f ca="1">IFERROR(OFFSET(ITEM_RES!$A$1,MATCH(BP168,ITEM_RES!$J:$J,0)-1,0),0)</f>
        <v>0</v>
      </c>
      <c r="BQ168" s="11">
        <f t="shared" si="73"/>
        <v>0</v>
      </c>
    </row>
    <row r="169" spans="1:70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M169" s="9" t="s">
        <v>951</v>
      </c>
      <c r="N169" s="9" t="s">
        <v>971</v>
      </c>
      <c r="O169" s="9">
        <v>1</v>
      </c>
      <c r="P169" s="9">
        <v>15</v>
      </c>
      <c r="Q169" s="9" t="s">
        <v>786</v>
      </c>
      <c r="U169" s="9" t="s">
        <v>705</v>
      </c>
      <c r="W169" s="85" t="s">
        <v>544</v>
      </c>
      <c r="X169" s="9">
        <f ca="1">IFERROR(OFFSET(ITEM_RES!$A$5,MATCH(BUILDING!W169,ITEM_RES!$J$5:$J$226,0)-1,0),0)</f>
        <v>211010501</v>
      </c>
      <c r="Y169" s="11">
        <v>1</v>
      </c>
      <c r="Z169" s="85" t="s">
        <v>545</v>
      </c>
      <c r="AA169" s="9">
        <f ca="1">IFERROR(OFFSET(ITEM_RES!$A$5,MATCH(BUILDING!Z169,ITEM_RES!$J$5:$J$226,0)-1,0),0)</f>
        <v>211010601</v>
      </c>
      <c r="AC169" s="9" t="s">
        <v>516</v>
      </c>
      <c r="AD169" s="9">
        <v>5</v>
      </c>
      <c r="AF169" s="11">
        <f ca="1">IFERROR(OFFSET(MANOR_LEVEL!$B$1,MATCH(AG169-1,MANOR_LEVEL!$A:$A,0)-1,0),0)</f>
        <v>796000</v>
      </c>
      <c r="AG169" s="56">
        <v>12</v>
      </c>
      <c r="AI169" s="56">
        <f t="shared" ca="1" si="74"/>
        <v>340</v>
      </c>
      <c r="AJ169" s="10">
        <f ca="1">AO169+AQ169+(IFERROR(OFFSET(ITEM_RES!$S$1,MATCH(AU169,ITEM_RES!$A:$A,0)-1,0),0)*AW169+IFERROR(OFFSET(ITEM_RES!$S$1,MATCH(AZ169,ITEM_RES!$A:$A,0)-1,0),0)*BB169+IFERROR(OFFSET(ITEM_RES!$S$1,MATCH(BE169,ITEM_RES!$A:$A,0)-1,0),0)*BG169+IFERROR(OFFSET(ITEM_RES!$S$1,MATCH(BJ169,ITEM_RES!$A:$A,0)-1,0),0)*BL169+IFERROR(OFFSET(ITEM_RES!$S$1,MATCH(BO169,ITEM_RES!$A:$A,0)-1,0),0)*BQ169)/1000</f>
        <v>340.1</v>
      </c>
      <c r="AK169" s="183">
        <f t="shared" ca="1" si="76"/>
        <v>409</v>
      </c>
      <c r="AM169" s="11">
        <f t="shared" si="67"/>
        <v>25</v>
      </c>
      <c r="AN169" s="10">
        <v>25</v>
      </c>
      <c r="AO169" s="11">
        <f t="shared" si="75"/>
        <v>40</v>
      </c>
      <c r="AP169" s="10">
        <v>40</v>
      </c>
      <c r="AQ169" s="11">
        <f t="shared" si="75"/>
        <v>40</v>
      </c>
      <c r="AR169" s="10">
        <v>40</v>
      </c>
      <c r="AS169" s="56">
        <f t="shared" si="68"/>
        <v>2</v>
      </c>
      <c r="AU169" s="11">
        <f ca="1">IFERROR(OFFSET(ITEM_RES!$A$1,MATCH(AV169,ITEM_RES!$J:$J,0)-1,0),0)</f>
        <v>211010501</v>
      </c>
      <c r="AV169" s="10" t="s">
        <v>1223</v>
      </c>
      <c r="AW169" s="11">
        <v>26000</v>
      </c>
      <c r="AZ169" s="11">
        <f ca="1">IFERROR(OFFSET(ITEM_RES!$A$1,MATCH(BA169,ITEM_RES!$J:$J,0)-1,0),0)</f>
        <v>211020801</v>
      </c>
      <c r="BA169" s="10" t="s">
        <v>1227</v>
      </c>
      <c r="BB169" s="11">
        <v>1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O169" s="11">
        <f ca="1">IFERROR(OFFSET(ITEM_RES!$A$1,MATCH(BP169,ITEM_RES!$J:$J,0)-1,0),0)</f>
        <v>0</v>
      </c>
      <c r="BQ169" s="11">
        <f t="shared" si="73"/>
        <v>0</v>
      </c>
    </row>
    <row r="170" spans="1:70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M170" s="9" t="s">
        <v>951</v>
      </c>
      <c r="N170" s="9" t="s">
        <v>971</v>
      </c>
      <c r="O170" s="9">
        <v>1</v>
      </c>
      <c r="P170" s="9">
        <v>15</v>
      </c>
      <c r="Q170" s="9" t="s">
        <v>786</v>
      </c>
      <c r="U170" s="9" t="s">
        <v>705</v>
      </c>
      <c r="W170" s="85" t="s">
        <v>544</v>
      </c>
      <c r="X170" s="9">
        <f ca="1">IFERROR(OFFSET(ITEM_RES!$A$5,MATCH(BUILDING!W170,ITEM_RES!$J$5:$J$226,0)-1,0),0)</f>
        <v>211010501</v>
      </c>
      <c r="Y170" s="11">
        <v>1</v>
      </c>
      <c r="Z170" s="85" t="s">
        <v>545</v>
      </c>
      <c r="AA170" s="9">
        <f ca="1">IFERROR(OFFSET(ITEM_RES!$A$5,MATCH(BUILDING!Z170,ITEM_RES!$J$5:$J$226,0)-1,0),0)</f>
        <v>211010601</v>
      </c>
      <c r="AC170" s="9" t="s">
        <v>516</v>
      </c>
      <c r="AD170" s="9">
        <v>6</v>
      </c>
      <c r="AF170" s="11">
        <f ca="1">IFERROR(OFFSET(MANOR_LEVEL!$B$1,MATCH(AG170-1,MANOR_LEVEL!$A:$A,0)-1,0),0)</f>
        <v>796000</v>
      </c>
      <c r="AG170" s="56">
        <v>12</v>
      </c>
      <c r="AI170" s="56">
        <f t="shared" ca="1" si="74"/>
        <v>2500</v>
      </c>
      <c r="AJ170" s="10">
        <f ca="1">AO170+AQ170+(IFERROR(OFFSET(ITEM_RES!$S$1,MATCH(AU170,ITEM_RES!$A:$A,0)-1,0),0)*AW170+IFERROR(OFFSET(ITEM_RES!$S$1,MATCH(AZ170,ITEM_RES!$A:$A,0)-1,0),0)*BB170+IFERROR(OFFSET(ITEM_RES!$S$1,MATCH(BE170,ITEM_RES!$A:$A,0)-1,0),0)*BG170+IFERROR(OFFSET(ITEM_RES!$S$1,MATCH(BJ170,ITEM_RES!$A:$A,0)-1,0),0)*BL170+IFERROR(OFFSET(ITEM_RES!$S$1,MATCH(BO170,ITEM_RES!$A:$A,0)-1,0),0)*BQ170)/1000</f>
        <v>2500.1</v>
      </c>
      <c r="AK170" s="183">
        <f t="shared" ca="1" si="76"/>
        <v>2840</v>
      </c>
      <c r="AM170" s="11">
        <f t="shared" si="67"/>
        <v>30</v>
      </c>
      <c r="AN170" s="10">
        <v>30</v>
      </c>
      <c r="AO170" s="11">
        <f t="shared" si="75"/>
        <v>50</v>
      </c>
      <c r="AP170" s="10">
        <v>50</v>
      </c>
      <c r="AQ170" s="11">
        <f t="shared" si="75"/>
        <v>50</v>
      </c>
      <c r="AR170" s="10">
        <v>50</v>
      </c>
      <c r="AS170" s="56">
        <f t="shared" si="68"/>
        <v>2</v>
      </c>
      <c r="AU170" s="11">
        <f ca="1">IFERROR(OFFSET(ITEM_RES!$A$1,MATCH(AV170,ITEM_RES!$J:$J,0)-1,0),0)</f>
        <v>211010501</v>
      </c>
      <c r="AV170" s="10" t="s">
        <v>1223</v>
      </c>
      <c r="AW170" s="11">
        <v>240000</v>
      </c>
      <c r="AZ170" s="11">
        <f ca="1">IFERROR(OFFSET(ITEM_RES!$A$1,MATCH(BA170,ITEM_RES!$J:$J,0)-1,0),0)</f>
        <v>211020801</v>
      </c>
      <c r="BA170" s="10" t="s">
        <v>1227</v>
      </c>
      <c r="BB170" s="11">
        <v>1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O170" s="11">
        <f ca="1">IFERROR(OFFSET(ITEM_RES!$A$1,MATCH(BP170,ITEM_RES!$J:$J,0)-1,0),0)</f>
        <v>0</v>
      </c>
      <c r="BQ170" s="11">
        <f t="shared" si="73"/>
        <v>0</v>
      </c>
    </row>
    <row r="171" spans="1:70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M171" s="9" t="s">
        <v>951</v>
      </c>
      <c r="N171" s="9" t="s">
        <v>971</v>
      </c>
      <c r="O171" s="9">
        <v>1</v>
      </c>
      <c r="P171" s="9">
        <v>15</v>
      </c>
      <c r="Q171" s="9" t="s">
        <v>786</v>
      </c>
      <c r="U171" s="9" t="s">
        <v>705</v>
      </c>
      <c r="W171" s="85" t="s">
        <v>544</v>
      </c>
      <c r="X171" s="9">
        <f ca="1">IFERROR(OFFSET(ITEM_RES!$A$5,MATCH(BUILDING!W171,ITEM_RES!$J$5:$J$226,0)-1,0),0)</f>
        <v>211010501</v>
      </c>
      <c r="Y171" s="11">
        <v>1</v>
      </c>
      <c r="Z171" s="85" t="s">
        <v>545</v>
      </c>
      <c r="AA171" s="9">
        <f ca="1">IFERROR(OFFSET(ITEM_RES!$A$5,MATCH(BUILDING!Z171,ITEM_RES!$J$5:$J$226,0)-1,0),0)</f>
        <v>211010601</v>
      </c>
      <c r="AC171" s="9" t="s">
        <v>516</v>
      </c>
      <c r="AD171" s="9">
        <v>7</v>
      </c>
      <c r="AF171" s="11">
        <f ca="1">IFERROR(OFFSET(MANOR_LEVEL!$B$1,MATCH(AG171-1,MANOR_LEVEL!$A:$A,0)-1,0),0)</f>
        <v>796000</v>
      </c>
      <c r="AG171" s="56">
        <v>12</v>
      </c>
      <c r="AI171" s="56">
        <f t="shared" ca="1" si="74"/>
        <v>5600</v>
      </c>
      <c r="AJ171" s="10">
        <f ca="1">AO171+AQ171+(IFERROR(OFFSET(ITEM_RES!$S$1,MATCH(AU171,ITEM_RES!$A:$A,0)-1,0),0)*AW171+IFERROR(OFFSET(ITEM_RES!$S$1,MATCH(AZ171,ITEM_RES!$A:$A,0)-1,0),0)*BB171+IFERROR(OFFSET(ITEM_RES!$S$1,MATCH(BE171,ITEM_RES!$A:$A,0)-1,0),0)*BG171+IFERROR(OFFSET(ITEM_RES!$S$1,MATCH(BJ171,ITEM_RES!$A:$A,0)-1,0),0)*BL171+IFERROR(OFFSET(ITEM_RES!$S$1,MATCH(BO171,ITEM_RES!$A:$A,0)-1,0),0)*BQ171)/1000</f>
        <v>5600.1</v>
      </c>
      <c r="AK171" s="183">
        <f t="shared" ca="1" si="76"/>
        <v>8100</v>
      </c>
      <c r="AM171" s="11">
        <f t="shared" si="67"/>
        <v>35</v>
      </c>
      <c r="AN171" s="10">
        <v>35</v>
      </c>
      <c r="AO171" s="11">
        <f t="shared" si="75"/>
        <v>100</v>
      </c>
      <c r="AP171" s="10">
        <v>100</v>
      </c>
      <c r="AQ171" s="11">
        <f t="shared" si="75"/>
        <v>100</v>
      </c>
      <c r="AR171" s="10">
        <v>100</v>
      </c>
      <c r="AS171" s="56">
        <f t="shared" si="68"/>
        <v>2</v>
      </c>
      <c r="AU171" s="11">
        <f ca="1">IFERROR(OFFSET(ITEM_RES!$A$1,MATCH(AV171,ITEM_RES!$J:$J,0)-1,0),0)</f>
        <v>211010501</v>
      </c>
      <c r="AV171" s="10" t="s">
        <v>1223</v>
      </c>
      <c r="AW171" s="11">
        <v>540000</v>
      </c>
      <c r="AZ171" s="11">
        <f ca="1">IFERROR(OFFSET(ITEM_RES!$A$1,MATCH(BA171,ITEM_RES!$J:$J,0)-1,0),0)</f>
        <v>211020801</v>
      </c>
      <c r="BA171" s="10" t="s">
        <v>1227</v>
      </c>
      <c r="BB171" s="11">
        <v>1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O171" s="11">
        <f ca="1">IFERROR(OFFSET(ITEM_RES!$A$1,MATCH(BP171,ITEM_RES!$J:$J,0)-1,0),0)</f>
        <v>0</v>
      </c>
      <c r="BQ171" s="11">
        <f t="shared" si="73"/>
        <v>0</v>
      </c>
    </row>
    <row r="172" spans="1:70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M172" s="9" t="s">
        <v>951</v>
      </c>
      <c r="N172" s="9" t="s">
        <v>971</v>
      </c>
      <c r="O172" s="9">
        <v>1</v>
      </c>
      <c r="P172" s="9">
        <v>15</v>
      </c>
      <c r="Q172" s="9" t="s">
        <v>786</v>
      </c>
      <c r="U172" s="9" t="s">
        <v>705</v>
      </c>
      <c r="W172" s="85" t="s">
        <v>544</v>
      </c>
      <c r="X172" s="9">
        <f ca="1">IFERROR(OFFSET(ITEM_RES!$A$5,MATCH(BUILDING!W172,ITEM_RES!$J$5:$J$226,0)-1,0),0)</f>
        <v>211010501</v>
      </c>
      <c r="Y172" s="11">
        <v>1</v>
      </c>
      <c r="Z172" s="85" t="s">
        <v>545</v>
      </c>
      <c r="AA172" s="9">
        <f ca="1">IFERROR(OFFSET(ITEM_RES!$A$5,MATCH(BUILDING!Z172,ITEM_RES!$J$5:$J$226,0)-1,0),0)</f>
        <v>211010601</v>
      </c>
      <c r="AC172" s="9" t="s">
        <v>516</v>
      </c>
      <c r="AD172" s="9">
        <v>8</v>
      </c>
      <c r="AF172" s="11">
        <f ca="1">IFERROR(OFFSET(MANOR_LEVEL!$B$1,MATCH(AG172-1,MANOR_LEVEL!$A:$A,0)-1,0),0)</f>
        <v>796000</v>
      </c>
      <c r="AG172" s="56">
        <v>12</v>
      </c>
      <c r="AI172" s="56">
        <f t="shared" ca="1" si="74"/>
        <v>10200</v>
      </c>
      <c r="AJ172" s="10">
        <f ca="1">AO172+AQ172+(IFERROR(OFFSET(ITEM_RES!$S$1,MATCH(AU172,ITEM_RES!$A:$A,0)-1,0),0)*AW172+IFERROR(OFFSET(ITEM_RES!$S$1,MATCH(AZ172,ITEM_RES!$A:$A,0)-1,0),0)*BB172+IFERROR(OFFSET(ITEM_RES!$S$1,MATCH(BE172,ITEM_RES!$A:$A,0)-1,0),0)*BG172+IFERROR(OFFSET(ITEM_RES!$S$1,MATCH(BJ172,ITEM_RES!$A:$A,0)-1,0),0)*BL172+IFERROR(OFFSET(ITEM_RES!$S$1,MATCH(BO172,ITEM_RES!$A:$A,0)-1,0),0)*BQ172)/1000</f>
        <v>10200.1</v>
      </c>
      <c r="AK172" s="183">
        <f t="shared" ca="1" si="76"/>
        <v>15800</v>
      </c>
      <c r="AM172" s="11">
        <f t="shared" si="67"/>
        <v>40</v>
      </c>
      <c r="AN172" s="10">
        <v>40</v>
      </c>
      <c r="AO172" s="11">
        <f t="shared" si="75"/>
        <v>100</v>
      </c>
      <c r="AP172" s="10">
        <v>100</v>
      </c>
      <c r="AQ172" s="11">
        <f t="shared" si="75"/>
        <v>100</v>
      </c>
      <c r="AR172" s="10">
        <v>100</v>
      </c>
      <c r="AS172" s="56">
        <f t="shared" si="68"/>
        <v>2</v>
      </c>
      <c r="AU172" s="11">
        <f ca="1">IFERROR(OFFSET(ITEM_RES!$A$1,MATCH(AV172,ITEM_RES!$J:$J,0)-1,0),0)</f>
        <v>211010501</v>
      </c>
      <c r="AV172" s="10" t="s">
        <v>1223</v>
      </c>
      <c r="AW172" s="11">
        <v>1000000</v>
      </c>
      <c r="AZ172" s="11">
        <f ca="1">IFERROR(OFFSET(ITEM_RES!$A$1,MATCH(BA172,ITEM_RES!$J:$J,0)-1,0),0)</f>
        <v>211020801</v>
      </c>
      <c r="BA172" s="10" t="s">
        <v>1227</v>
      </c>
      <c r="BB172" s="11">
        <v>1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O172" s="11">
        <f ca="1">IFERROR(OFFSET(ITEM_RES!$A$1,MATCH(BP172,ITEM_RES!$J:$J,0)-1,0),0)</f>
        <v>0</v>
      </c>
      <c r="BQ172" s="11">
        <f t="shared" si="73"/>
        <v>0</v>
      </c>
    </row>
    <row r="173" spans="1:70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M173" s="9" t="s">
        <v>951</v>
      </c>
      <c r="N173" s="9" t="s">
        <v>971</v>
      </c>
      <c r="O173" s="9">
        <v>1</v>
      </c>
      <c r="P173" s="9">
        <v>15</v>
      </c>
      <c r="Q173" s="9" t="s">
        <v>786</v>
      </c>
      <c r="U173" s="9" t="s">
        <v>705</v>
      </c>
      <c r="W173" s="85" t="s">
        <v>544</v>
      </c>
      <c r="X173" s="9">
        <f ca="1">IFERROR(OFFSET(ITEM_RES!$A$5,MATCH(BUILDING!W173,ITEM_RES!$J$5:$J$226,0)-1,0),0)</f>
        <v>211010501</v>
      </c>
      <c r="Y173" s="11">
        <v>1</v>
      </c>
      <c r="Z173" s="85" t="s">
        <v>545</v>
      </c>
      <c r="AA173" s="9">
        <f ca="1">IFERROR(OFFSET(ITEM_RES!$A$5,MATCH(BUILDING!Z173,ITEM_RES!$J$5:$J$226,0)-1,0),0)</f>
        <v>211010601</v>
      </c>
      <c r="AC173" s="9" t="s">
        <v>516</v>
      </c>
      <c r="AD173" s="9">
        <v>9</v>
      </c>
      <c r="AF173" s="11">
        <f ca="1">IFERROR(OFFSET(MANOR_LEVEL!$B$1,MATCH(AG173-1,MANOR_LEVEL!$A:$A,0)-1,0),0)</f>
        <v>796000</v>
      </c>
      <c r="AG173" s="56">
        <v>12</v>
      </c>
      <c r="AI173" s="56">
        <f t="shared" ca="1" si="74"/>
        <v>16100</v>
      </c>
      <c r="AJ173" s="10">
        <f ca="1">AO173+AQ173+(IFERROR(OFFSET(ITEM_RES!$S$1,MATCH(AU173,ITEM_RES!$A:$A,0)-1,0),0)*AW173+IFERROR(OFFSET(ITEM_RES!$S$1,MATCH(AZ173,ITEM_RES!$A:$A,0)-1,0),0)*BB173+IFERROR(OFFSET(ITEM_RES!$S$1,MATCH(BE173,ITEM_RES!$A:$A,0)-1,0),0)*BG173+IFERROR(OFFSET(ITEM_RES!$S$1,MATCH(BJ173,ITEM_RES!$A:$A,0)-1,0),0)*BL173+IFERROR(OFFSET(ITEM_RES!$S$1,MATCH(BO173,ITEM_RES!$A:$A,0)-1,0),0)*BQ173)/1000</f>
        <v>16100.1</v>
      </c>
      <c r="AK173" s="183">
        <f t="shared" ca="1" si="76"/>
        <v>26300</v>
      </c>
      <c r="AM173" s="11">
        <f t="shared" si="67"/>
        <v>45</v>
      </c>
      <c r="AN173" s="10">
        <v>45</v>
      </c>
      <c r="AO173" s="11">
        <f t="shared" si="75"/>
        <v>150</v>
      </c>
      <c r="AP173" s="10">
        <v>150</v>
      </c>
      <c r="AQ173" s="11">
        <f t="shared" si="75"/>
        <v>150</v>
      </c>
      <c r="AR173" s="10">
        <v>150</v>
      </c>
      <c r="AS173" s="56">
        <f t="shared" si="68"/>
        <v>2</v>
      </c>
      <c r="AU173" s="11">
        <f ca="1">IFERROR(OFFSET(ITEM_RES!$A$1,MATCH(AV173,ITEM_RES!$J:$J,0)-1,0),0)</f>
        <v>211010501</v>
      </c>
      <c r="AV173" s="10" t="s">
        <v>1223</v>
      </c>
      <c r="AW173" s="11">
        <v>1580000</v>
      </c>
      <c r="AZ173" s="11">
        <f ca="1">IFERROR(OFFSET(ITEM_RES!$A$1,MATCH(BA173,ITEM_RES!$J:$J,0)-1,0),0)</f>
        <v>211020801</v>
      </c>
      <c r="BA173" s="10" t="s">
        <v>1227</v>
      </c>
      <c r="BB173" s="11">
        <v>1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O173" s="11">
        <f ca="1">IFERROR(OFFSET(ITEM_RES!$A$1,MATCH(BP173,ITEM_RES!$J:$J,0)-1,0),0)</f>
        <v>0</v>
      </c>
      <c r="BQ173" s="11">
        <f t="shared" si="73"/>
        <v>0</v>
      </c>
    </row>
    <row r="174" spans="1:70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M174" s="9" t="s">
        <v>951</v>
      </c>
      <c r="N174" s="9" t="s">
        <v>971</v>
      </c>
      <c r="O174" s="9">
        <v>1</v>
      </c>
      <c r="P174" s="9">
        <v>15</v>
      </c>
      <c r="Q174" s="9" t="s">
        <v>786</v>
      </c>
      <c r="U174" s="9" t="s">
        <v>705</v>
      </c>
      <c r="W174" s="85" t="s">
        <v>544</v>
      </c>
      <c r="X174" s="9">
        <f ca="1">IFERROR(OFFSET(ITEM_RES!$A$5,MATCH(BUILDING!W174,ITEM_RES!$J$5:$J$226,0)-1,0),0)</f>
        <v>211010501</v>
      </c>
      <c r="Y174" s="11">
        <v>1</v>
      </c>
      <c r="Z174" s="85" t="s">
        <v>545</v>
      </c>
      <c r="AA174" s="9">
        <f ca="1">IFERROR(OFFSET(ITEM_RES!$A$5,MATCH(BUILDING!Z174,ITEM_RES!$J$5:$J$226,0)-1,0),0)</f>
        <v>211010601</v>
      </c>
      <c r="AC174" s="9" t="s">
        <v>516</v>
      </c>
      <c r="AD174" s="9">
        <v>10</v>
      </c>
      <c r="AF174" s="11">
        <f ca="1">IFERROR(OFFSET(MANOR_LEVEL!$B$1,MATCH(AG174-1,MANOR_LEVEL!$A:$A,0)-1,0),0)</f>
        <v>796000</v>
      </c>
      <c r="AG174" s="56">
        <v>12</v>
      </c>
      <c r="AI174" s="56">
        <f t="shared" ca="1" si="74"/>
        <v>22400</v>
      </c>
      <c r="AJ174" s="10">
        <f ca="1">AO174+AQ174+(IFERROR(OFFSET(ITEM_RES!$S$1,MATCH(AU174,ITEM_RES!$A:$A,0)-1,0),0)*AW174+IFERROR(OFFSET(ITEM_RES!$S$1,MATCH(AZ174,ITEM_RES!$A:$A,0)-1,0),0)*BB174+IFERROR(OFFSET(ITEM_RES!$S$1,MATCH(BE174,ITEM_RES!$A:$A,0)-1,0),0)*BG174+IFERROR(OFFSET(ITEM_RES!$S$1,MATCH(BJ174,ITEM_RES!$A:$A,0)-1,0),0)*BL174+IFERROR(OFFSET(ITEM_RES!$S$1,MATCH(BO174,ITEM_RES!$A:$A,0)-1,0),0)*BQ174)/1000</f>
        <v>22400.1</v>
      </c>
      <c r="AK174" s="183">
        <f t="shared" ca="1" si="76"/>
        <v>38500</v>
      </c>
      <c r="AM174" s="11">
        <f t="shared" si="67"/>
        <v>50</v>
      </c>
      <c r="AN174" s="10">
        <v>50</v>
      </c>
      <c r="AO174" s="11">
        <f t="shared" si="75"/>
        <v>200</v>
      </c>
      <c r="AP174" s="10">
        <v>200</v>
      </c>
      <c r="AQ174" s="11">
        <f t="shared" si="75"/>
        <v>200</v>
      </c>
      <c r="AR174" s="10">
        <v>200</v>
      </c>
      <c r="AS174" s="56">
        <f t="shared" si="68"/>
        <v>2</v>
      </c>
      <c r="AU174" s="11">
        <f ca="1">IFERROR(OFFSET(ITEM_RES!$A$1,MATCH(AV174,ITEM_RES!$J:$J,0)-1,0),0)</f>
        <v>211010501</v>
      </c>
      <c r="AV174" s="10" t="s">
        <v>1223</v>
      </c>
      <c r="AW174" s="11">
        <v>2200000</v>
      </c>
      <c r="AZ174" s="11">
        <f ca="1">IFERROR(OFFSET(ITEM_RES!$A$1,MATCH(BA174,ITEM_RES!$J:$J,0)-1,0),0)</f>
        <v>211020801</v>
      </c>
      <c r="BA174" s="10" t="s">
        <v>1227</v>
      </c>
      <c r="BB174" s="11">
        <v>1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O174" s="11">
        <f ca="1">IFERROR(OFFSET(ITEM_RES!$A$1,MATCH(BP174,ITEM_RES!$J:$J,0)-1,0),0)</f>
        <v>0</v>
      </c>
      <c r="BQ174" s="11">
        <f t="shared" si="73"/>
        <v>0</v>
      </c>
    </row>
    <row r="175" spans="1:70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M175" s="9" t="s">
        <v>951</v>
      </c>
      <c r="N175" s="9" t="s">
        <v>971</v>
      </c>
      <c r="O175" s="9">
        <v>1</v>
      </c>
      <c r="P175" s="9">
        <v>15</v>
      </c>
      <c r="Q175" s="9" t="s">
        <v>786</v>
      </c>
      <c r="U175" s="9" t="s">
        <v>705</v>
      </c>
      <c r="W175" s="85" t="s">
        <v>544</v>
      </c>
      <c r="X175" s="9">
        <f ca="1">IFERROR(OFFSET(ITEM_RES!$A$5,MATCH(BUILDING!W175,ITEM_RES!$J$5:$J$226,0)-1,0),0)</f>
        <v>211010501</v>
      </c>
      <c r="Y175" s="11">
        <v>1</v>
      </c>
      <c r="Z175" s="85" t="s">
        <v>545</v>
      </c>
      <c r="AA175" s="9">
        <f ca="1">IFERROR(OFFSET(ITEM_RES!$A$5,MATCH(BUILDING!Z175,ITEM_RES!$J$5:$J$226,0)-1,0),0)</f>
        <v>211010601</v>
      </c>
      <c r="AC175" s="9" t="s">
        <v>516</v>
      </c>
      <c r="AD175" s="9">
        <v>11</v>
      </c>
      <c r="AF175" s="11">
        <f ca="1">IFERROR(OFFSET(MANOR_LEVEL!$B$1,MATCH(AG175-1,MANOR_LEVEL!$A:$A,0)-1,0),0)</f>
        <v>796000</v>
      </c>
      <c r="AG175" s="56">
        <v>12</v>
      </c>
      <c r="AI175" s="56">
        <f t="shared" ca="1" si="74"/>
        <v>88500</v>
      </c>
      <c r="AJ175" s="10">
        <f ca="1">AO175+AQ175+(IFERROR(OFFSET(ITEM_RES!$S$1,MATCH(AU175,ITEM_RES!$A:$A,0)-1,0),0)*AW175+IFERROR(OFFSET(ITEM_RES!$S$1,MATCH(AZ175,ITEM_RES!$A:$A,0)-1,0),0)*BB175+IFERROR(OFFSET(ITEM_RES!$S$1,MATCH(BE175,ITEM_RES!$A:$A,0)-1,0),0)*BG175+IFERROR(OFFSET(ITEM_RES!$S$1,MATCH(BJ175,ITEM_RES!$A:$A,0)-1,0),0)*BL175+IFERROR(OFFSET(ITEM_RES!$S$1,MATCH(BO175,ITEM_RES!$A:$A,0)-1,0),0)*BQ175)/1000</f>
        <v>88500.1</v>
      </c>
      <c r="AK175" s="183">
        <f t="shared" ca="1" si="76"/>
        <v>110900</v>
      </c>
      <c r="AM175" s="11">
        <f t="shared" si="67"/>
        <v>55</v>
      </c>
      <c r="AN175" s="10">
        <v>55</v>
      </c>
      <c r="AO175" s="11">
        <f t="shared" si="75"/>
        <v>250</v>
      </c>
      <c r="AP175" s="10">
        <v>250</v>
      </c>
      <c r="AQ175" s="11">
        <f t="shared" si="75"/>
        <v>250</v>
      </c>
      <c r="AR175" s="10">
        <v>250</v>
      </c>
      <c r="AS175" s="56">
        <f t="shared" si="68"/>
        <v>2</v>
      </c>
      <c r="AU175" s="11">
        <f ca="1">IFERROR(OFFSET(ITEM_RES!$A$1,MATCH(AV175,ITEM_RES!$J:$J,0)-1,0),0)</f>
        <v>211010601</v>
      </c>
      <c r="AV175" s="10" t="s">
        <v>1221</v>
      </c>
      <c r="AW175" s="11">
        <v>4400000</v>
      </c>
      <c r="AZ175" s="11">
        <f ca="1">IFERROR(OFFSET(ITEM_RES!$A$1,MATCH(BA175,ITEM_RES!$J:$J,0)-1,0),0)</f>
        <v>211020801</v>
      </c>
      <c r="BA175" s="10" t="s">
        <v>1227</v>
      </c>
      <c r="BB175" s="11">
        <v>1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O175" s="11">
        <f ca="1">IFERROR(OFFSET(ITEM_RES!$A$1,MATCH(BP175,ITEM_RES!$J:$J,0)-1,0),0)</f>
        <v>0</v>
      </c>
      <c r="BQ175" s="11">
        <f t="shared" si="73"/>
        <v>0</v>
      </c>
    </row>
    <row r="176" spans="1:70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M176" s="9" t="s">
        <v>951</v>
      </c>
      <c r="N176" s="9" t="s">
        <v>971</v>
      </c>
      <c r="O176" s="9">
        <v>1</v>
      </c>
      <c r="P176" s="9">
        <v>15</v>
      </c>
      <c r="Q176" s="9" t="s">
        <v>786</v>
      </c>
      <c r="U176" s="9" t="s">
        <v>705</v>
      </c>
      <c r="W176" s="85" t="s">
        <v>544</v>
      </c>
      <c r="X176" s="9">
        <f ca="1">IFERROR(OFFSET(ITEM_RES!$A$5,MATCH(BUILDING!W176,ITEM_RES!$J$5:$J$226,0)-1,0),0)</f>
        <v>211010501</v>
      </c>
      <c r="Y176" s="11">
        <v>1</v>
      </c>
      <c r="Z176" s="85" t="s">
        <v>545</v>
      </c>
      <c r="AA176" s="9">
        <f ca="1">IFERROR(OFFSET(ITEM_RES!$A$5,MATCH(BUILDING!Z176,ITEM_RES!$J$5:$J$226,0)-1,0),0)</f>
        <v>211010601</v>
      </c>
      <c r="AC176" s="9" t="s">
        <v>516</v>
      </c>
      <c r="AD176" s="9">
        <v>12</v>
      </c>
      <c r="AF176" s="11">
        <f ca="1">IFERROR(OFFSET(MANOR_LEVEL!$B$1,MATCH(AG176-1,MANOR_LEVEL!$A:$A,0)-1,0),0)</f>
        <v>796000</v>
      </c>
      <c r="AG176" s="56">
        <v>12</v>
      </c>
      <c r="AI176" s="56">
        <f t="shared" ca="1" si="74"/>
        <v>104600</v>
      </c>
      <c r="AJ176" s="10">
        <f ca="1">AO176+AQ176+(IFERROR(OFFSET(ITEM_RES!$S$1,MATCH(AU176,ITEM_RES!$A:$A,0)-1,0),0)*AW176+IFERROR(OFFSET(ITEM_RES!$S$1,MATCH(AZ176,ITEM_RES!$A:$A,0)-1,0),0)*BB176+IFERROR(OFFSET(ITEM_RES!$S$1,MATCH(BE176,ITEM_RES!$A:$A,0)-1,0),0)*BG176+IFERROR(OFFSET(ITEM_RES!$S$1,MATCH(BJ176,ITEM_RES!$A:$A,0)-1,0),0)*BL176+IFERROR(OFFSET(ITEM_RES!$S$1,MATCH(BO176,ITEM_RES!$A:$A,0)-1,0),0)*BQ176)/1000</f>
        <v>104600.1</v>
      </c>
      <c r="AK176" s="183">
        <f t="shared" ca="1" si="76"/>
        <v>193100</v>
      </c>
      <c r="AM176" s="11">
        <f t="shared" si="67"/>
        <v>60</v>
      </c>
      <c r="AN176" s="10">
        <v>60</v>
      </c>
      <c r="AO176" s="11">
        <f t="shared" si="75"/>
        <v>300</v>
      </c>
      <c r="AP176" s="10">
        <v>300</v>
      </c>
      <c r="AQ176" s="11">
        <f t="shared" si="75"/>
        <v>300</v>
      </c>
      <c r="AR176" s="10">
        <v>300</v>
      </c>
      <c r="AS176" s="56">
        <f t="shared" si="68"/>
        <v>2</v>
      </c>
      <c r="AU176" s="11">
        <f ca="1">IFERROR(OFFSET(ITEM_RES!$A$1,MATCH(AV176,ITEM_RES!$J:$J,0)-1,0),0)</f>
        <v>211010601</v>
      </c>
      <c r="AV176" s="10" t="s">
        <v>1221</v>
      </c>
      <c r="AW176" s="11">
        <v>5200000</v>
      </c>
      <c r="AZ176" s="11">
        <f ca="1">IFERROR(OFFSET(ITEM_RES!$A$1,MATCH(BA176,ITEM_RES!$J:$J,0)-1,0),0)</f>
        <v>211020801</v>
      </c>
      <c r="BA176" s="10" t="s">
        <v>1227</v>
      </c>
      <c r="BB176" s="11">
        <v>1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O176" s="11">
        <f ca="1">IFERROR(OFFSET(ITEM_RES!$A$1,MATCH(BP176,ITEM_RES!$J:$J,0)-1,0),0)</f>
        <v>0</v>
      </c>
      <c r="BQ176" s="11">
        <f t="shared" si="73"/>
        <v>0</v>
      </c>
    </row>
    <row r="177" spans="1:70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M177" s="9" t="s">
        <v>951</v>
      </c>
      <c r="N177" s="9" t="s">
        <v>971</v>
      </c>
      <c r="O177" s="9">
        <v>1</v>
      </c>
      <c r="P177" s="9">
        <v>15</v>
      </c>
      <c r="Q177" s="9" t="s">
        <v>786</v>
      </c>
      <c r="U177" s="9" t="s">
        <v>705</v>
      </c>
      <c r="W177" s="85" t="s">
        <v>544</v>
      </c>
      <c r="X177" s="9">
        <f ca="1">IFERROR(OFFSET(ITEM_RES!$A$5,MATCH(BUILDING!W177,ITEM_RES!$J$5:$J$226,0)-1,0),0)</f>
        <v>211010501</v>
      </c>
      <c r="Y177" s="11">
        <v>1</v>
      </c>
      <c r="Z177" s="85" t="s">
        <v>545</v>
      </c>
      <c r="AA177" s="9">
        <f ca="1">IFERROR(OFFSET(ITEM_RES!$A$5,MATCH(BUILDING!Z177,ITEM_RES!$J$5:$J$226,0)-1,0),0)</f>
        <v>211010601</v>
      </c>
      <c r="AC177" s="9" t="s">
        <v>516</v>
      </c>
      <c r="AD177" s="9">
        <v>13</v>
      </c>
      <c r="AF177" s="11">
        <f ca="1">IFERROR(OFFSET(MANOR_LEVEL!$B$1,MATCH(AG177-1,MANOR_LEVEL!$A:$A,0)-1,0),0)</f>
        <v>796000</v>
      </c>
      <c r="AG177" s="56">
        <v>12</v>
      </c>
      <c r="AI177" s="56">
        <f t="shared" ca="1" si="74"/>
        <v>172700</v>
      </c>
      <c r="AJ177" s="10">
        <f ca="1">AO177+AQ177+(IFERROR(OFFSET(ITEM_RES!$S$1,MATCH(AU177,ITEM_RES!$A:$A,0)-1,0),0)*AW177+IFERROR(OFFSET(ITEM_RES!$S$1,MATCH(AZ177,ITEM_RES!$A:$A,0)-1,0),0)*BB177+IFERROR(OFFSET(ITEM_RES!$S$1,MATCH(BE177,ITEM_RES!$A:$A,0)-1,0),0)*BG177+IFERROR(OFFSET(ITEM_RES!$S$1,MATCH(BJ177,ITEM_RES!$A:$A,0)-1,0),0)*BL177+IFERROR(OFFSET(ITEM_RES!$S$1,MATCH(BO177,ITEM_RES!$A:$A,0)-1,0),0)*BQ177)/1000</f>
        <v>172700.1</v>
      </c>
      <c r="AK177" s="183">
        <f t="shared" ca="1" si="76"/>
        <v>277300</v>
      </c>
      <c r="AM177" s="11">
        <f t="shared" si="67"/>
        <v>65</v>
      </c>
      <c r="AN177" s="10">
        <v>65</v>
      </c>
      <c r="AO177" s="11">
        <f t="shared" si="75"/>
        <v>350</v>
      </c>
      <c r="AP177" s="10">
        <v>350</v>
      </c>
      <c r="AQ177" s="11">
        <f t="shared" si="75"/>
        <v>350</v>
      </c>
      <c r="AR177" s="10">
        <v>350</v>
      </c>
      <c r="AS177" s="56">
        <f t="shared" si="68"/>
        <v>2</v>
      </c>
      <c r="AU177" s="11">
        <f ca="1">IFERROR(OFFSET(ITEM_RES!$A$1,MATCH(AV177,ITEM_RES!$J:$J,0)-1,0),0)</f>
        <v>211010601</v>
      </c>
      <c r="AV177" s="10" t="s">
        <v>1221</v>
      </c>
      <c r="AW177" s="11">
        <v>8600000</v>
      </c>
      <c r="AZ177" s="11">
        <f ca="1">IFERROR(OFFSET(ITEM_RES!$A$1,MATCH(BA177,ITEM_RES!$J:$J,0)-1,0),0)</f>
        <v>211020801</v>
      </c>
      <c r="BA177" s="10" t="s">
        <v>1227</v>
      </c>
      <c r="BB177" s="11">
        <v>1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O177" s="11">
        <f ca="1">IFERROR(OFFSET(ITEM_RES!$A$1,MATCH(BP177,ITEM_RES!$J:$J,0)-1,0),0)</f>
        <v>0</v>
      </c>
      <c r="BQ177" s="11">
        <f t="shared" si="73"/>
        <v>0</v>
      </c>
    </row>
    <row r="178" spans="1:70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M178" s="9" t="s">
        <v>951</v>
      </c>
      <c r="N178" s="9" t="s">
        <v>971</v>
      </c>
      <c r="O178" s="9">
        <v>1</v>
      </c>
      <c r="P178" s="9">
        <v>15</v>
      </c>
      <c r="Q178" s="9" t="s">
        <v>786</v>
      </c>
      <c r="U178" s="9" t="s">
        <v>705</v>
      </c>
      <c r="W178" s="85" t="s">
        <v>544</v>
      </c>
      <c r="X178" s="9">
        <f ca="1">IFERROR(OFFSET(ITEM_RES!$A$5,MATCH(BUILDING!W178,ITEM_RES!$J$5:$J$226,0)-1,0),0)</f>
        <v>211010501</v>
      </c>
      <c r="Y178" s="11">
        <v>1</v>
      </c>
      <c r="Z178" s="85" t="s">
        <v>545</v>
      </c>
      <c r="AA178" s="9">
        <f ca="1">IFERROR(OFFSET(ITEM_RES!$A$5,MATCH(BUILDING!Z178,ITEM_RES!$J$5:$J$226,0)-1,0),0)</f>
        <v>211010601</v>
      </c>
      <c r="AC178" s="9" t="s">
        <v>516</v>
      </c>
      <c r="AD178" s="9">
        <v>14</v>
      </c>
      <c r="AF178" s="11">
        <f ca="1">IFERROR(OFFSET(MANOR_LEVEL!$B$1,MATCH(AG178-1,MANOR_LEVEL!$A:$A,0)-1,0),0)</f>
        <v>796000</v>
      </c>
      <c r="AG178" s="56">
        <v>12</v>
      </c>
      <c r="AI178" s="56">
        <f t="shared" ca="1" si="74"/>
        <v>264900</v>
      </c>
      <c r="AJ178" s="10">
        <f ca="1">AO178+AQ178+(IFERROR(OFFSET(ITEM_RES!$S$1,MATCH(AU178,ITEM_RES!$A:$A,0)-1,0),0)*AW178+IFERROR(OFFSET(ITEM_RES!$S$1,MATCH(AZ178,ITEM_RES!$A:$A,0)-1,0),0)*BB178+IFERROR(OFFSET(ITEM_RES!$S$1,MATCH(BE178,ITEM_RES!$A:$A,0)-1,0),0)*BG178+IFERROR(OFFSET(ITEM_RES!$S$1,MATCH(BJ178,ITEM_RES!$A:$A,0)-1,0),0)*BL178+IFERROR(OFFSET(ITEM_RES!$S$1,MATCH(BO178,ITEM_RES!$A:$A,0)-1,0),0)*BQ178)/1000</f>
        <v>264900.09999999998</v>
      </c>
      <c r="AK178" s="183">
        <f t="shared" ca="1" si="76"/>
        <v>437600</v>
      </c>
      <c r="AM178" s="11">
        <f t="shared" si="67"/>
        <v>70</v>
      </c>
      <c r="AN178" s="10">
        <v>70</v>
      </c>
      <c r="AO178" s="11">
        <f t="shared" si="75"/>
        <v>450</v>
      </c>
      <c r="AP178" s="10">
        <v>450</v>
      </c>
      <c r="AQ178" s="11">
        <f t="shared" si="75"/>
        <v>450</v>
      </c>
      <c r="AR178" s="10">
        <v>450</v>
      </c>
      <c r="AS178" s="56">
        <f t="shared" si="68"/>
        <v>2</v>
      </c>
      <c r="AU178" s="11">
        <f ca="1">IFERROR(OFFSET(ITEM_RES!$A$1,MATCH(AV178,ITEM_RES!$J:$J,0)-1,0),0)</f>
        <v>211010601</v>
      </c>
      <c r="AV178" s="10" t="s">
        <v>1221</v>
      </c>
      <c r="AW178" s="11">
        <v>13200000</v>
      </c>
      <c r="AZ178" s="11">
        <f ca="1">IFERROR(OFFSET(ITEM_RES!$A$1,MATCH(BA178,ITEM_RES!$J:$J,0)-1,0),0)</f>
        <v>211020801</v>
      </c>
      <c r="BA178" s="10" t="s">
        <v>1227</v>
      </c>
      <c r="BB178" s="11">
        <v>1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O178" s="11">
        <f ca="1">IFERROR(OFFSET(ITEM_RES!$A$1,MATCH(BP178,ITEM_RES!$J:$J,0)-1,0),0)</f>
        <v>0</v>
      </c>
      <c r="BQ178" s="11">
        <f t="shared" si="73"/>
        <v>0</v>
      </c>
    </row>
    <row r="179" spans="1:70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M179" s="9" t="s">
        <v>951</v>
      </c>
      <c r="N179" s="9" t="s">
        <v>971</v>
      </c>
      <c r="O179" s="9">
        <v>1</v>
      </c>
      <c r="P179" s="9">
        <v>15</v>
      </c>
      <c r="Q179" s="9" t="s">
        <v>786</v>
      </c>
      <c r="U179" s="9" t="s">
        <v>705</v>
      </c>
      <c r="W179" s="85" t="s">
        <v>544</v>
      </c>
      <c r="X179" s="9">
        <f ca="1">IFERROR(OFFSET(ITEM_RES!$A$5,MATCH(BUILDING!W179,ITEM_RES!$J$5:$J$226,0)-1,0),0)</f>
        <v>211010501</v>
      </c>
      <c r="Y179" s="11">
        <v>1</v>
      </c>
      <c r="Z179" s="85" t="s">
        <v>545</v>
      </c>
      <c r="AA179" s="9">
        <f ca="1">IFERROR(OFFSET(ITEM_RES!$A$5,MATCH(BUILDING!Z179,ITEM_RES!$J$5:$J$226,0)-1,0),0)</f>
        <v>211010601</v>
      </c>
      <c r="AC179" s="9" t="s">
        <v>516</v>
      </c>
      <c r="AD179" s="9">
        <v>15</v>
      </c>
      <c r="AF179" s="11">
        <f ca="1">IFERROR(OFFSET(MANOR_LEVEL!$B$1,MATCH(AG179-1,MANOR_LEVEL!$A:$A,0)-1,0),0)</f>
        <v>796000</v>
      </c>
      <c r="AG179" s="56">
        <v>12</v>
      </c>
      <c r="AI179" s="56">
        <f t="shared" ca="1" si="74"/>
        <v>441100</v>
      </c>
      <c r="AJ179" s="10">
        <f ca="1">AO179+AQ179+(IFERROR(OFFSET(ITEM_RES!$S$1,MATCH(AU179,ITEM_RES!$A:$A,0)-1,0),0)*AW179+IFERROR(OFFSET(ITEM_RES!$S$1,MATCH(AZ179,ITEM_RES!$A:$A,0)-1,0),0)*BB179+IFERROR(OFFSET(ITEM_RES!$S$1,MATCH(BE179,ITEM_RES!$A:$A,0)-1,0),0)*BG179+IFERROR(OFFSET(ITEM_RES!$S$1,MATCH(BJ179,ITEM_RES!$A:$A,0)-1,0),0)*BL179+IFERROR(OFFSET(ITEM_RES!$S$1,MATCH(BO179,ITEM_RES!$A:$A,0)-1,0),0)*BQ179)/1000</f>
        <v>441100.1</v>
      </c>
      <c r="AK179" s="183">
        <f t="shared" ca="1" si="76"/>
        <v>706000</v>
      </c>
      <c r="AM179" s="11">
        <f t="shared" si="67"/>
        <v>75</v>
      </c>
      <c r="AN179" s="10">
        <v>75</v>
      </c>
      <c r="AO179" s="11">
        <f t="shared" si="75"/>
        <v>550</v>
      </c>
      <c r="AP179" s="10">
        <v>550</v>
      </c>
      <c r="AQ179" s="11">
        <f t="shared" si="75"/>
        <v>550</v>
      </c>
      <c r="AR179" s="10">
        <v>550</v>
      </c>
      <c r="AS179" s="56">
        <f t="shared" si="68"/>
        <v>2</v>
      </c>
      <c r="AU179" s="11">
        <f ca="1">IFERROR(OFFSET(ITEM_RES!$A$1,MATCH(AV179,ITEM_RES!$J:$J,0)-1,0),0)</f>
        <v>211010601</v>
      </c>
      <c r="AV179" s="10" t="s">
        <v>1221</v>
      </c>
      <c r="AW179" s="11">
        <v>22000000</v>
      </c>
      <c r="AZ179" s="11">
        <f ca="1">IFERROR(OFFSET(ITEM_RES!$A$1,MATCH(BA179,ITEM_RES!$J:$J,0)-1,0),0)</f>
        <v>211020801</v>
      </c>
      <c r="BA179" s="10" t="s">
        <v>1227</v>
      </c>
      <c r="BB179" s="11">
        <v>1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O179" s="11">
        <f ca="1">IFERROR(OFFSET(ITEM_RES!$A$1,MATCH(BP179,ITEM_RES!$J:$J,0)-1,0),0)</f>
        <v>0</v>
      </c>
      <c r="BQ179" s="11">
        <f t="shared" si="73"/>
        <v>0</v>
      </c>
    </row>
    <row r="180" spans="1:70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M180" s="9" t="s">
        <v>951</v>
      </c>
      <c r="N180" s="9" t="s">
        <v>971</v>
      </c>
      <c r="O180" s="9">
        <v>0</v>
      </c>
      <c r="P180" s="9">
        <v>15</v>
      </c>
      <c r="Q180" s="9" t="s">
        <v>786</v>
      </c>
      <c r="U180" s="9" t="s">
        <v>705</v>
      </c>
      <c r="W180" s="85" t="s">
        <v>544</v>
      </c>
      <c r="X180" s="9">
        <f ca="1">IFERROR(OFFSET(ITEM_RES!$A$5,MATCH(BUILDING!W180,ITEM_RES!$J$5:$J$226,0)-1,0),0)</f>
        <v>211010501</v>
      </c>
      <c r="Y180" s="11">
        <v>1</v>
      </c>
      <c r="Z180" s="85" t="s">
        <v>545</v>
      </c>
      <c r="AA180" s="9">
        <f ca="1">IFERROR(OFFSET(ITEM_RES!$A$5,MATCH(BUILDING!Z180,ITEM_RES!$J$5:$J$226,0)-1,0),0)</f>
        <v>211010601</v>
      </c>
      <c r="AC180" s="9" t="s">
        <v>516</v>
      </c>
      <c r="AD180" s="9">
        <v>16</v>
      </c>
      <c r="AF180" s="11">
        <f ca="1">IFERROR(OFFSET(MANOR_LEVEL!$B$1,MATCH(AG180-1,MANOR_LEVEL!$A:$A,0)-1,0),0)</f>
        <v>796000</v>
      </c>
      <c r="AG180" s="56">
        <v>12</v>
      </c>
      <c r="AI180" s="56">
        <f t="shared" ca="1" si="74"/>
        <v>601400</v>
      </c>
      <c r="AJ180" s="10">
        <f ca="1">AO180+AQ180+(IFERROR(OFFSET(ITEM_RES!$S$1,MATCH(AU180,ITEM_RES!$A:$A,0)-1,0),0)*AW180+IFERROR(OFFSET(ITEM_RES!$S$1,MATCH(AZ180,ITEM_RES!$A:$A,0)-1,0),0)*BB180+IFERROR(OFFSET(ITEM_RES!$S$1,MATCH(BE180,ITEM_RES!$A:$A,0)-1,0),0)*BG180+IFERROR(OFFSET(ITEM_RES!$S$1,MATCH(BJ180,ITEM_RES!$A:$A,0)-1,0),0)*BL180+IFERROR(OFFSET(ITEM_RES!$S$1,MATCH(BO180,ITEM_RES!$A:$A,0)-1,0),0)*BQ180)/1000</f>
        <v>601400.1</v>
      </c>
      <c r="AK180" s="183">
        <f t="shared" ca="1" si="76"/>
        <v>1042500</v>
      </c>
      <c r="AM180" s="11">
        <f t="shared" si="67"/>
        <v>80</v>
      </c>
      <c r="AN180" s="10">
        <v>80</v>
      </c>
      <c r="AO180" s="11">
        <f t="shared" si="75"/>
        <v>700</v>
      </c>
      <c r="AP180" s="10">
        <v>700</v>
      </c>
      <c r="AQ180" s="11">
        <f t="shared" si="75"/>
        <v>700</v>
      </c>
      <c r="AR180" s="10">
        <v>700</v>
      </c>
      <c r="AS180" s="56">
        <f t="shared" si="68"/>
        <v>2</v>
      </c>
      <c r="AU180" s="11">
        <f ca="1">IFERROR(OFFSET(ITEM_RES!$A$1,MATCH(AV180,ITEM_RES!$J:$J,0)-1,0),0)</f>
        <v>211010601</v>
      </c>
      <c r="AV180" s="10" t="s">
        <v>1221</v>
      </c>
      <c r="AW180" s="11">
        <v>30000000</v>
      </c>
      <c r="AZ180" s="11">
        <f ca="1">IFERROR(OFFSET(ITEM_RES!$A$1,MATCH(BA180,ITEM_RES!$J:$J,0)-1,0),0)</f>
        <v>211020801</v>
      </c>
      <c r="BA180" s="10" t="s">
        <v>1227</v>
      </c>
      <c r="BB180" s="11">
        <v>1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O180" s="11">
        <f ca="1">IFERROR(OFFSET(ITEM_RES!$A$1,MATCH(BP180,ITEM_RES!$J:$J,0)-1,0),0)</f>
        <v>0</v>
      </c>
      <c r="BQ180" s="11">
        <f t="shared" si="73"/>
        <v>0</v>
      </c>
    </row>
    <row r="181" spans="1:70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M181" s="9" t="s">
        <v>951</v>
      </c>
      <c r="N181" s="9" t="s">
        <v>971</v>
      </c>
      <c r="O181" s="9">
        <v>0</v>
      </c>
      <c r="P181" s="9">
        <v>15</v>
      </c>
      <c r="Q181" s="9" t="s">
        <v>786</v>
      </c>
      <c r="U181" s="9" t="s">
        <v>705</v>
      </c>
      <c r="W181" s="85" t="s">
        <v>544</v>
      </c>
      <c r="X181" s="9">
        <f ca="1">IFERROR(OFFSET(ITEM_RES!$A$5,MATCH(BUILDING!W181,ITEM_RES!$J$5:$J$226,0)-1,0),0)</f>
        <v>211010501</v>
      </c>
      <c r="Y181" s="11">
        <v>1</v>
      </c>
      <c r="Z181" s="85" t="s">
        <v>545</v>
      </c>
      <c r="AA181" s="9">
        <f ca="1">IFERROR(OFFSET(ITEM_RES!$A$5,MATCH(BUILDING!Z181,ITEM_RES!$J$5:$J$226,0)-1,0),0)</f>
        <v>211010601</v>
      </c>
      <c r="AC181" s="9" t="s">
        <v>516</v>
      </c>
      <c r="AD181" s="9">
        <v>17</v>
      </c>
      <c r="AF181" s="11">
        <f ca="1">IFERROR(OFFSET(MANOR_LEVEL!$B$1,MATCH(AG181-1,MANOR_LEVEL!$A:$A,0)-1,0),0)</f>
        <v>796000</v>
      </c>
      <c r="AG181" s="56">
        <v>12</v>
      </c>
      <c r="AI181" s="56">
        <f t="shared" ca="1" si="74"/>
        <v>921700</v>
      </c>
      <c r="AJ181" s="10">
        <f ca="1">AO181+AQ181+(IFERROR(OFFSET(ITEM_RES!$S$1,MATCH(AU181,ITEM_RES!$A:$A,0)-1,0),0)*AW181+IFERROR(OFFSET(ITEM_RES!$S$1,MATCH(AZ181,ITEM_RES!$A:$A,0)-1,0),0)*BB181+IFERROR(OFFSET(ITEM_RES!$S$1,MATCH(BE181,ITEM_RES!$A:$A,0)-1,0),0)*BG181+IFERROR(OFFSET(ITEM_RES!$S$1,MATCH(BJ181,ITEM_RES!$A:$A,0)-1,0),0)*BL181+IFERROR(OFFSET(ITEM_RES!$S$1,MATCH(BO181,ITEM_RES!$A:$A,0)-1,0),0)*BQ181)/1000</f>
        <v>921700.2</v>
      </c>
      <c r="AK181" s="183">
        <f t="shared" ca="1" si="76"/>
        <v>1523100</v>
      </c>
      <c r="AM181" s="11">
        <f t="shared" si="67"/>
        <v>85</v>
      </c>
      <c r="AN181" s="10">
        <v>85</v>
      </c>
      <c r="AO181" s="11">
        <f t="shared" si="75"/>
        <v>850</v>
      </c>
      <c r="AP181" s="10">
        <v>850</v>
      </c>
      <c r="AQ181" s="11">
        <f t="shared" si="75"/>
        <v>850</v>
      </c>
      <c r="AR181" s="10">
        <v>850</v>
      </c>
      <c r="AS181" s="56">
        <f t="shared" si="68"/>
        <v>2</v>
      </c>
      <c r="AU181" s="11">
        <f ca="1">IFERROR(OFFSET(ITEM_RES!$A$1,MATCH(AV181,ITEM_RES!$J:$J,0)-1,0),0)</f>
        <v>211010601</v>
      </c>
      <c r="AV181" s="10" t="s">
        <v>1221</v>
      </c>
      <c r="AW181" s="11">
        <v>46000000</v>
      </c>
      <c r="AZ181" s="11">
        <f ca="1">IFERROR(OFFSET(ITEM_RES!$A$1,MATCH(BA181,ITEM_RES!$J:$J,0)-1,0),0)</f>
        <v>211020901</v>
      </c>
      <c r="BA181" s="10" t="s">
        <v>1228</v>
      </c>
      <c r="BB181" s="11">
        <v>1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O181" s="11">
        <f ca="1">IFERROR(OFFSET(ITEM_RES!$A$1,MATCH(BP181,ITEM_RES!$J:$J,0)-1,0),0)</f>
        <v>0</v>
      </c>
      <c r="BQ181" s="11">
        <f t="shared" si="73"/>
        <v>0</v>
      </c>
    </row>
    <row r="182" spans="1:70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M182" s="9" t="s">
        <v>951</v>
      </c>
      <c r="N182" s="9" t="s">
        <v>971</v>
      </c>
      <c r="O182" s="9">
        <v>0</v>
      </c>
      <c r="P182" s="9">
        <v>15</v>
      </c>
      <c r="Q182" s="9" t="s">
        <v>786</v>
      </c>
      <c r="U182" s="9" t="s">
        <v>705</v>
      </c>
      <c r="W182" s="85" t="s">
        <v>544</v>
      </c>
      <c r="X182" s="9">
        <f ca="1">IFERROR(OFFSET(ITEM_RES!$A$5,MATCH(BUILDING!W182,ITEM_RES!$J$5:$J$226,0)-1,0),0)</f>
        <v>211010501</v>
      </c>
      <c r="Y182" s="11">
        <v>1</v>
      </c>
      <c r="Z182" s="85" t="s">
        <v>545</v>
      </c>
      <c r="AA182" s="9">
        <f ca="1">IFERROR(OFFSET(ITEM_RES!$A$5,MATCH(BUILDING!Z182,ITEM_RES!$J$5:$J$226,0)-1,0),0)</f>
        <v>211010601</v>
      </c>
      <c r="AC182" s="9" t="s">
        <v>516</v>
      </c>
      <c r="AD182" s="9">
        <v>18</v>
      </c>
      <c r="AF182" s="11">
        <f ca="1">IFERROR(OFFSET(MANOR_LEVEL!$B$1,MATCH(AG182-1,MANOR_LEVEL!$A:$A,0)-1,0),0)</f>
        <v>796000</v>
      </c>
      <c r="AG182" s="56">
        <v>12</v>
      </c>
      <c r="AI182" s="56">
        <f t="shared" ca="1" si="74"/>
        <v>1402100</v>
      </c>
      <c r="AJ182" s="10">
        <f ca="1">AO182+AQ182+(IFERROR(OFFSET(ITEM_RES!$S$1,MATCH(AU182,ITEM_RES!$A:$A,0)-1,0),0)*AW182+IFERROR(OFFSET(ITEM_RES!$S$1,MATCH(AZ182,ITEM_RES!$A:$A,0)-1,0),0)*BB182+IFERROR(OFFSET(ITEM_RES!$S$1,MATCH(BE182,ITEM_RES!$A:$A,0)-1,0),0)*BG182+IFERROR(OFFSET(ITEM_RES!$S$1,MATCH(BJ182,ITEM_RES!$A:$A,0)-1,0),0)*BL182+IFERROR(OFFSET(ITEM_RES!$S$1,MATCH(BO182,ITEM_RES!$A:$A,0)-1,0),0)*BQ182)/1000</f>
        <v>1402100.2</v>
      </c>
      <c r="AK182" s="183">
        <f t="shared" ca="1" si="76"/>
        <v>2323800</v>
      </c>
      <c r="AM182" s="11">
        <f t="shared" si="67"/>
        <v>90</v>
      </c>
      <c r="AN182" s="10">
        <v>90</v>
      </c>
      <c r="AO182" s="11">
        <f t="shared" si="75"/>
        <v>1050</v>
      </c>
      <c r="AP182" s="10">
        <v>1050</v>
      </c>
      <c r="AQ182" s="11">
        <f t="shared" si="75"/>
        <v>1050</v>
      </c>
      <c r="AR182" s="10">
        <v>1050</v>
      </c>
      <c r="AS182" s="56">
        <f t="shared" si="68"/>
        <v>2</v>
      </c>
      <c r="AU182" s="11">
        <f ca="1">IFERROR(OFFSET(ITEM_RES!$A$1,MATCH(AV182,ITEM_RES!$J:$J,0)-1,0),0)</f>
        <v>211010601</v>
      </c>
      <c r="AV182" s="10" t="s">
        <v>1221</v>
      </c>
      <c r="AW182" s="11">
        <v>70000000</v>
      </c>
      <c r="AZ182" s="11">
        <f ca="1">IFERROR(OFFSET(ITEM_RES!$A$1,MATCH(BA182,ITEM_RES!$J:$J,0)-1,0),0)</f>
        <v>211020901</v>
      </c>
      <c r="BA182" s="10" t="s">
        <v>1228</v>
      </c>
      <c r="BB182" s="11">
        <v>1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O182" s="11">
        <f ca="1">IFERROR(OFFSET(ITEM_RES!$A$1,MATCH(BP182,ITEM_RES!$J:$J,0)-1,0),0)</f>
        <v>0</v>
      </c>
      <c r="BQ182" s="11">
        <f t="shared" si="73"/>
        <v>0</v>
      </c>
    </row>
    <row r="183" spans="1:70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M183" s="9" t="s">
        <v>951</v>
      </c>
      <c r="N183" s="9" t="s">
        <v>971</v>
      </c>
      <c r="O183" s="9">
        <v>0</v>
      </c>
      <c r="P183" s="9">
        <v>15</v>
      </c>
      <c r="Q183" s="9" t="s">
        <v>786</v>
      </c>
      <c r="U183" s="9" t="s">
        <v>705</v>
      </c>
      <c r="W183" s="85" t="s">
        <v>544</v>
      </c>
      <c r="X183" s="9">
        <f ca="1">IFERROR(OFFSET(ITEM_RES!$A$5,MATCH(BUILDING!W183,ITEM_RES!$J$5:$J$226,0)-1,0),0)</f>
        <v>211010501</v>
      </c>
      <c r="Y183" s="11">
        <v>1</v>
      </c>
      <c r="Z183" s="85" t="s">
        <v>545</v>
      </c>
      <c r="AA183" s="9">
        <f ca="1">IFERROR(OFFSET(ITEM_RES!$A$5,MATCH(BUILDING!Z183,ITEM_RES!$J$5:$J$226,0)-1,0),0)</f>
        <v>211010601</v>
      </c>
      <c r="AC183" s="9" t="s">
        <v>516</v>
      </c>
      <c r="AD183" s="9">
        <v>19</v>
      </c>
      <c r="AF183" s="11">
        <f ca="1">IFERROR(OFFSET(MANOR_LEVEL!$B$1,MATCH(AG183-1,MANOR_LEVEL!$A:$A,0)-1,0),0)</f>
        <v>796000</v>
      </c>
      <c r="AG183" s="56">
        <v>12</v>
      </c>
      <c r="AI183" s="56">
        <f t="shared" ca="1" si="74"/>
        <v>1922500</v>
      </c>
      <c r="AJ183" s="10">
        <f ca="1">AO183+AQ183+(IFERROR(OFFSET(ITEM_RES!$S$1,MATCH(AU183,ITEM_RES!$A:$A,0)-1,0),0)*AW183+IFERROR(OFFSET(ITEM_RES!$S$1,MATCH(AZ183,ITEM_RES!$A:$A,0)-1,0),0)*BB183+IFERROR(OFFSET(ITEM_RES!$S$1,MATCH(BE183,ITEM_RES!$A:$A,0)-1,0),0)*BG183+IFERROR(OFFSET(ITEM_RES!$S$1,MATCH(BJ183,ITEM_RES!$A:$A,0)-1,0),0)*BL183+IFERROR(OFFSET(ITEM_RES!$S$1,MATCH(BO183,ITEM_RES!$A:$A,0)-1,0),0)*BQ183)/1000</f>
        <v>1922500.2</v>
      </c>
      <c r="AK183" s="183">
        <f t="shared" ca="1" si="76"/>
        <v>3324600</v>
      </c>
      <c r="AM183" s="11">
        <f t="shared" si="67"/>
        <v>95</v>
      </c>
      <c r="AN183" s="10">
        <v>95</v>
      </c>
      <c r="AO183" s="11">
        <f t="shared" si="75"/>
        <v>1250</v>
      </c>
      <c r="AP183" s="10">
        <v>1250</v>
      </c>
      <c r="AQ183" s="11">
        <f t="shared" si="75"/>
        <v>1250</v>
      </c>
      <c r="AR183" s="10">
        <v>1250</v>
      </c>
      <c r="AS183" s="56">
        <f t="shared" si="68"/>
        <v>2</v>
      </c>
      <c r="AU183" s="11">
        <f ca="1">IFERROR(OFFSET(ITEM_RES!$A$1,MATCH(AV183,ITEM_RES!$J:$J,0)-1,0),0)</f>
        <v>211010601</v>
      </c>
      <c r="AV183" s="10" t="s">
        <v>1221</v>
      </c>
      <c r="AW183" s="11">
        <v>96000000</v>
      </c>
      <c r="AZ183" s="11">
        <f ca="1">IFERROR(OFFSET(ITEM_RES!$A$1,MATCH(BA183,ITEM_RES!$J:$J,0)-1,0),0)</f>
        <v>211020901</v>
      </c>
      <c r="BA183" s="10" t="s">
        <v>1228</v>
      </c>
      <c r="BB183" s="11">
        <v>1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O183" s="11">
        <f ca="1">IFERROR(OFFSET(ITEM_RES!$A$1,MATCH(BP183,ITEM_RES!$J:$J,0)-1,0),0)</f>
        <v>0</v>
      </c>
      <c r="BQ183" s="11">
        <f t="shared" si="73"/>
        <v>0</v>
      </c>
    </row>
    <row r="184" spans="1:70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M184" s="9" t="s">
        <v>951</v>
      </c>
      <c r="N184" s="9" t="s">
        <v>971</v>
      </c>
      <c r="O184" s="9">
        <v>0</v>
      </c>
      <c r="P184" s="9">
        <v>15</v>
      </c>
      <c r="Q184" s="9" t="s">
        <v>786</v>
      </c>
      <c r="U184" s="9" t="s">
        <v>705</v>
      </c>
      <c r="W184" s="85" t="s">
        <v>544</v>
      </c>
      <c r="X184" s="9">
        <f ca="1">IFERROR(OFFSET(ITEM_RES!$A$5,MATCH(BUILDING!W184,ITEM_RES!$J$5:$J$226,0)-1,0),0)</f>
        <v>211010501</v>
      </c>
      <c r="Y184" s="11">
        <v>1</v>
      </c>
      <c r="Z184" s="85" t="s">
        <v>545</v>
      </c>
      <c r="AA184" s="9">
        <f ca="1">IFERROR(OFFSET(ITEM_RES!$A$5,MATCH(BUILDING!Z184,ITEM_RES!$J$5:$J$226,0)-1,0),0)</f>
        <v>211010601</v>
      </c>
      <c r="AC184" s="9" t="s">
        <v>516</v>
      </c>
      <c r="AD184" s="9">
        <v>20</v>
      </c>
      <c r="AF184" s="11">
        <f ca="1">IFERROR(OFFSET(MANOR_LEVEL!$B$1,MATCH(AG184-1,MANOR_LEVEL!$A:$A,0)-1,0),0)</f>
        <v>796000</v>
      </c>
      <c r="AG184" s="56">
        <v>12</v>
      </c>
      <c r="AI184" s="56">
        <f t="shared" ca="1" si="74"/>
        <v>3043000</v>
      </c>
      <c r="AJ184" s="10">
        <f ca="1">AO184+AQ184+(IFERROR(OFFSET(ITEM_RES!$S$1,MATCH(AU184,ITEM_RES!$A:$A,0)-1,0),0)*AW184+IFERROR(OFFSET(ITEM_RES!$S$1,MATCH(AZ184,ITEM_RES!$A:$A,0)-1,0),0)*BB184+IFERROR(OFFSET(ITEM_RES!$S$1,MATCH(BE184,ITEM_RES!$A:$A,0)-1,0),0)*BG184+IFERROR(OFFSET(ITEM_RES!$S$1,MATCH(BJ184,ITEM_RES!$A:$A,0)-1,0),0)*BL184+IFERROR(OFFSET(ITEM_RES!$S$1,MATCH(BO184,ITEM_RES!$A:$A,0)-1,0),0)*BQ184)/1000</f>
        <v>3043000.2</v>
      </c>
      <c r="AK184" s="183">
        <f t="shared" ca="1" si="76"/>
        <v>4965500</v>
      </c>
      <c r="AM184" s="11">
        <f t="shared" si="67"/>
        <v>100</v>
      </c>
      <c r="AN184" s="10">
        <v>100</v>
      </c>
      <c r="AO184" s="11">
        <f t="shared" si="75"/>
        <v>1500</v>
      </c>
      <c r="AP184" s="10">
        <v>1500</v>
      </c>
      <c r="AQ184" s="11">
        <f t="shared" si="75"/>
        <v>1500</v>
      </c>
      <c r="AR184" s="10">
        <v>1500</v>
      </c>
      <c r="AS184" s="56">
        <f t="shared" si="68"/>
        <v>2</v>
      </c>
      <c r="AU184" s="11">
        <f ca="1">IFERROR(OFFSET(ITEM_RES!$A$1,MATCH(AV184,ITEM_RES!$J:$J,0)-1,0),0)</f>
        <v>211010601</v>
      </c>
      <c r="AV184" s="10" t="s">
        <v>1221</v>
      </c>
      <c r="AW184" s="11">
        <v>152000000</v>
      </c>
      <c r="AZ184" s="11">
        <f ca="1">IFERROR(OFFSET(ITEM_RES!$A$1,MATCH(BA184,ITEM_RES!$J:$J,0)-1,0),0)</f>
        <v>211020901</v>
      </c>
      <c r="BA184" s="10" t="s">
        <v>1228</v>
      </c>
      <c r="BB184" s="11">
        <v>1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O184" s="11">
        <f ca="1">IFERROR(OFFSET(ITEM_RES!$A$1,MATCH(BP184,ITEM_RES!$J:$J,0)-1,0),0)</f>
        <v>0</v>
      </c>
      <c r="BQ184" s="11">
        <f t="shared" si="73"/>
        <v>0</v>
      </c>
    </row>
    <row r="185" spans="1:70" s="15" customFormat="1" x14ac:dyDescent="0.3">
      <c r="A185" s="21">
        <f t="shared" ref="A185:A204" si="77">B185*10000000+C185*1000000+D185*10000+E185*100+F185</f>
        <v>113010001</v>
      </c>
      <c r="B185" s="20">
        <v>11</v>
      </c>
      <c r="C185" s="19">
        <f t="shared" ref="C185:C204" si="78">H185</f>
        <v>3</v>
      </c>
      <c r="D185" s="20">
        <v>1</v>
      </c>
      <c r="E185" s="20">
        <v>0</v>
      </c>
      <c r="F185" s="19">
        <f t="shared" ref="F185:F204" si="79">I185</f>
        <v>1</v>
      </c>
      <c r="G185" s="79"/>
      <c r="H185" s="16">
        <v>3</v>
      </c>
      <c r="I185" s="16">
        <v>1</v>
      </c>
      <c r="J185" s="79"/>
      <c r="K185" s="64" t="s">
        <v>503</v>
      </c>
      <c r="L185" s="64">
        <v>4</v>
      </c>
      <c r="M185" s="64" t="s">
        <v>1019</v>
      </c>
      <c r="N185" s="64"/>
      <c r="O185" s="16">
        <v>1</v>
      </c>
      <c r="P185" s="16">
        <v>15</v>
      </c>
      <c r="Q185" s="16" t="s">
        <v>1163</v>
      </c>
      <c r="R185" s="17"/>
      <c r="S185" s="17"/>
      <c r="T185" s="18"/>
      <c r="U185" s="16" t="s">
        <v>723</v>
      </c>
      <c r="V185" s="79"/>
      <c r="W185" s="87"/>
      <c r="X185" s="16">
        <f ca="1">IFERROR(OFFSET(ITEM_RES!$A$5,MATCH(BUILDING!W185,ITEM_RES!$J$5:$J$226,0)-1,0),0)</f>
        <v>0</v>
      </c>
      <c r="Y185" s="18"/>
      <c r="Z185" s="87"/>
      <c r="AA185" s="16">
        <f ca="1">IFERROR(OFFSET(ITEM_RES!$A$5,MATCH(BUILDING!Z185,ITEM_RES!$J$5:$J$226,0)-1,0),0)</f>
        <v>0</v>
      </c>
      <c r="AB185" s="79"/>
      <c r="AC185" s="16" t="s">
        <v>517</v>
      </c>
      <c r="AD185" s="16">
        <v>1</v>
      </c>
      <c r="AE185" s="79"/>
      <c r="AF185" s="18">
        <f ca="1">IFERROR(OFFSET(MANOR_LEVEL!$B$1,MATCH(AG185-1,MANOR_LEVEL!$A:$A,0)-1,0),0)</f>
        <v>3872</v>
      </c>
      <c r="AG185" s="57">
        <v>6</v>
      </c>
      <c r="AH185" s="79"/>
      <c r="AI185" s="57">
        <f t="shared" ca="1" si="74"/>
        <v>110</v>
      </c>
      <c r="AJ185" s="17">
        <f ca="1">AO185+AQ185+(IFERROR(OFFSET(ITEM_RES!$S$1,MATCH(AU185,ITEM_RES!$A:$A,0)-1,0),0)*AW185+IFERROR(OFFSET(ITEM_RES!$S$1,MATCH(AZ185,ITEM_RES!$A:$A,0)-1,0),0)*BB185+IFERROR(OFFSET(ITEM_RES!$S$1,MATCH(BE185,ITEM_RES!$A:$A,0)-1,0),0)*BG185+IFERROR(OFFSET(ITEM_RES!$S$1,MATCH(BJ185,ITEM_RES!$A:$A,0)-1,0),0)*BL185+IFERROR(OFFSET(ITEM_RES!$S$1,MATCH(BO185,ITEM_RES!$A:$A,0)-1,0),0)*BQ185)/1000</f>
        <v>110.1</v>
      </c>
      <c r="AK185" s="185">
        <f ca="1">AI185</f>
        <v>110</v>
      </c>
      <c r="AL185" s="79"/>
      <c r="AM185" s="18">
        <f t="shared" ref="AM185:AM204" si="80">ROUND(AN185,0)</f>
        <v>5</v>
      </c>
      <c r="AN185" s="17">
        <v>5</v>
      </c>
      <c r="AO185" s="18">
        <f t="shared" ref="AO185:AO204" si="81">ROUND(AP185,0)</f>
        <v>5</v>
      </c>
      <c r="AP185" s="17">
        <v>5</v>
      </c>
      <c r="AQ185" s="18">
        <f t="shared" ref="AQ185:AQ204" si="82">ROUND(AR185,0)</f>
        <v>5</v>
      </c>
      <c r="AR185" s="17">
        <v>5</v>
      </c>
      <c r="AS185" s="57">
        <f t="shared" ref="AS185:AS204" si="83">(AW185&gt;0)*1+(BB185&gt;0)*1+(BG185&gt;0)*1+(BL185&gt;0)*1+(BQ185&gt;0)*1</f>
        <v>2</v>
      </c>
      <c r="AT185" s="18"/>
      <c r="AU185" s="18">
        <f ca="1">IFERROR(OFFSET(ITEM_RES!$A$1,MATCH(AV185,ITEM_RES!$J:$J,0)-1,0),0)</f>
        <v>211020801</v>
      </c>
      <c r="AV185" s="17" t="s">
        <v>392</v>
      </c>
      <c r="AW185" s="18">
        <v>1</v>
      </c>
      <c r="AX185" s="17"/>
      <c r="AY185" s="18"/>
      <c r="AZ185" s="18">
        <f ca="1">IFERROR(OFFSET(ITEM_RES!$A$1,MATCH(BA185,ITEM_RES!$J:$J,0)-1,0),0)</f>
        <v>0</v>
      </c>
      <c r="BA185" s="17"/>
      <c r="BB185" s="18"/>
      <c r="BC185" s="17"/>
      <c r="BD185" s="18"/>
      <c r="BE185" s="18">
        <f ca="1">IFERROR(OFFSET(ITEM_RES!$A$1,MATCH(BF185,ITEM_RES!$J:$J,0)-1,0),0)</f>
        <v>213010101</v>
      </c>
      <c r="BF185" s="17" t="s">
        <v>395</v>
      </c>
      <c r="BG185" s="18">
        <v>1</v>
      </c>
      <c r="BH185" s="17"/>
      <c r="BI185" s="18"/>
      <c r="BJ185" s="18">
        <f ca="1">IFERROR(OFFSET(ITEM_RES!$A$1,MATCH(BK185,ITEM_RES!$J:$J,0)-1,0),0)</f>
        <v>0</v>
      </c>
      <c r="BK185" s="17"/>
      <c r="BL185" s="18"/>
      <c r="BM185" s="17"/>
      <c r="BN185" s="18"/>
      <c r="BO185" s="18">
        <f ca="1">IFERROR(OFFSET(ITEM_RES!$A$1,MATCH(BP185,ITEM_RES!$J:$J,0)-1,0),0)</f>
        <v>0</v>
      </c>
      <c r="BP185" s="17"/>
      <c r="BQ185" s="18">
        <f t="shared" ref="BQ185:BQ204" si="84">IF(BR185&lt;100,ROUND(BR185,1-LEN(ROUND(BR185,0))),ROUND(BR185,2-LEN(ROUND(BR185,0))))</f>
        <v>0</v>
      </c>
      <c r="BR185" s="17"/>
    </row>
    <row r="186" spans="1:70" x14ac:dyDescent="0.3">
      <c r="A186" s="14">
        <f t="shared" si="77"/>
        <v>113010002</v>
      </c>
      <c r="B186" s="13">
        <v>11</v>
      </c>
      <c r="C186" s="12">
        <f t="shared" si="78"/>
        <v>3</v>
      </c>
      <c r="D186" s="13">
        <v>1</v>
      </c>
      <c r="E186" s="13">
        <v>0</v>
      </c>
      <c r="F186" s="12">
        <f t="shared" si="79"/>
        <v>2</v>
      </c>
      <c r="H186" s="9">
        <v>3</v>
      </c>
      <c r="I186" s="9">
        <v>2</v>
      </c>
      <c r="K186" s="56" t="s">
        <v>503</v>
      </c>
      <c r="L186" s="56"/>
      <c r="M186" s="56" t="s">
        <v>1019</v>
      </c>
      <c r="N186" s="56"/>
      <c r="O186" s="9">
        <v>1</v>
      </c>
      <c r="P186" s="9">
        <v>15</v>
      </c>
      <c r="Q186" s="84" t="s">
        <v>1163</v>
      </c>
      <c r="U186" s="9" t="s">
        <v>706</v>
      </c>
      <c r="X186" s="9">
        <f ca="1">IFERROR(OFFSET(ITEM_RES!$A$5,MATCH(BUILDING!W186,ITEM_RES!$J$5:$J$226,0)-1,0),0)</f>
        <v>0</v>
      </c>
      <c r="AA186" s="9">
        <f ca="1">IFERROR(OFFSET(ITEM_RES!$A$5,MATCH(BUILDING!Z186,ITEM_RES!$J$5:$J$226,0)-1,0),0)</f>
        <v>0</v>
      </c>
      <c r="AC186" s="9" t="s">
        <v>517</v>
      </c>
      <c r="AD186" s="9">
        <v>2</v>
      </c>
      <c r="AF186" s="11">
        <f ca="1">IFERROR(OFFSET(MANOR_LEVEL!$B$1,MATCH(AG186-1,MANOR_LEVEL!$A:$A,0)-1,0),0)</f>
        <v>3872</v>
      </c>
      <c r="AG186" s="56">
        <v>6</v>
      </c>
      <c r="AI186" s="56">
        <f t="shared" ca="1" si="74"/>
        <v>20</v>
      </c>
      <c r="AJ186" s="10">
        <f ca="1">AO186+AQ186+(IFERROR(OFFSET(ITEM_RES!$S$1,MATCH(AU186,ITEM_RES!$A:$A,0)-1,0),0)*AW186+IFERROR(OFFSET(ITEM_RES!$S$1,MATCH(AZ186,ITEM_RES!$A:$A,0)-1,0),0)*BB186+IFERROR(OFFSET(ITEM_RES!$S$1,MATCH(BE186,ITEM_RES!$A:$A,0)-1,0),0)*BG186+IFERROR(OFFSET(ITEM_RES!$S$1,MATCH(BJ186,ITEM_RES!$A:$A,0)-1,0),0)*BL186+IFERROR(OFFSET(ITEM_RES!$S$1,MATCH(BO186,ITEM_RES!$A:$A,0)-1,0),0)*BQ186)/1000</f>
        <v>20.100000000000001</v>
      </c>
      <c r="AK186" s="183">
        <f ca="1">AI185+AI186</f>
        <v>130</v>
      </c>
      <c r="AM186" s="11">
        <f t="shared" si="80"/>
        <v>10</v>
      </c>
      <c r="AN186" s="10">
        <v>10</v>
      </c>
      <c r="AO186" s="11">
        <f t="shared" si="81"/>
        <v>10</v>
      </c>
      <c r="AP186" s="10">
        <v>10</v>
      </c>
      <c r="AQ186" s="11">
        <f t="shared" si="82"/>
        <v>10</v>
      </c>
      <c r="AR186" s="10">
        <v>10</v>
      </c>
      <c r="AS186" s="56">
        <f t="shared" si="83"/>
        <v>1</v>
      </c>
      <c r="AU186" s="11">
        <f ca="1">IFERROR(OFFSET(ITEM_RES!$A$1,MATCH(AV186,ITEM_RES!$J:$J,0)-1,0),0)</f>
        <v>211020801</v>
      </c>
      <c r="AV186" s="10" t="s">
        <v>392</v>
      </c>
      <c r="AW186" s="11">
        <v>1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O186" s="11">
        <f ca="1">IFERROR(OFFSET(ITEM_RES!$A$1,MATCH(BP186,ITEM_RES!$J:$J,0)-1,0),0)</f>
        <v>0</v>
      </c>
      <c r="BQ186" s="11">
        <f t="shared" si="84"/>
        <v>0</v>
      </c>
    </row>
    <row r="187" spans="1:70" x14ac:dyDescent="0.3">
      <c r="A187" s="14">
        <f t="shared" si="77"/>
        <v>113010003</v>
      </c>
      <c r="B187" s="13">
        <v>11</v>
      </c>
      <c r="C187" s="12">
        <f t="shared" si="78"/>
        <v>3</v>
      </c>
      <c r="D187" s="13">
        <v>1</v>
      </c>
      <c r="E187" s="13">
        <v>0</v>
      </c>
      <c r="F187" s="12">
        <f t="shared" si="79"/>
        <v>3</v>
      </c>
      <c r="H187" s="9">
        <v>3</v>
      </c>
      <c r="I187" s="9">
        <v>3</v>
      </c>
      <c r="K187" s="56" t="s">
        <v>503</v>
      </c>
      <c r="L187" s="56"/>
      <c r="M187" s="56" t="s">
        <v>1019</v>
      </c>
      <c r="N187" s="56"/>
      <c r="O187" s="9">
        <v>1</v>
      </c>
      <c r="P187" s="9">
        <v>15</v>
      </c>
      <c r="Q187" s="9" t="s">
        <v>1163</v>
      </c>
      <c r="U187" s="9" t="s">
        <v>706</v>
      </c>
      <c r="X187" s="9">
        <f ca="1">IFERROR(OFFSET(ITEM_RES!$A$5,MATCH(BUILDING!W187,ITEM_RES!$J$5:$J$226,0)-1,0),0)</f>
        <v>0</v>
      </c>
      <c r="AA187" s="9">
        <f ca="1">IFERROR(OFFSET(ITEM_RES!$A$5,MATCH(BUILDING!Z187,ITEM_RES!$J$5:$J$226,0)-1,0),0)</f>
        <v>0</v>
      </c>
      <c r="AC187" s="9" t="s">
        <v>517</v>
      </c>
      <c r="AD187" s="9">
        <v>3</v>
      </c>
      <c r="AF187" s="11">
        <f ca="1">IFERROR(OFFSET(MANOR_LEVEL!$B$1,MATCH(AG187-1,MANOR_LEVEL!$A:$A,0)-1,0),0)</f>
        <v>94800</v>
      </c>
      <c r="AG187" s="56">
        <v>8</v>
      </c>
      <c r="AI187" s="56">
        <f t="shared" ca="1" si="74"/>
        <v>30</v>
      </c>
      <c r="AJ187" s="10">
        <f ca="1">AO187+AQ187+(IFERROR(OFFSET(ITEM_RES!$S$1,MATCH(AU187,ITEM_RES!$A:$A,0)-1,0),0)*AW187+IFERROR(OFFSET(ITEM_RES!$S$1,MATCH(AZ187,ITEM_RES!$A:$A,0)-1,0),0)*BB187+IFERROR(OFFSET(ITEM_RES!$S$1,MATCH(BE187,ITEM_RES!$A:$A,0)-1,0),0)*BG187+IFERROR(OFFSET(ITEM_RES!$S$1,MATCH(BJ187,ITEM_RES!$A:$A,0)-1,0),0)*BL187+IFERROR(OFFSET(ITEM_RES!$S$1,MATCH(BO187,ITEM_RES!$A:$A,0)-1,0),0)*BQ187)/1000</f>
        <v>30.1</v>
      </c>
      <c r="AK187" s="183">
        <f t="shared" ref="AK187:AK204" ca="1" si="85">AI186+AI187</f>
        <v>50</v>
      </c>
      <c r="AM187" s="11">
        <f t="shared" si="80"/>
        <v>15</v>
      </c>
      <c r="AN187" s="10">
        <v>15</v>
      </c>
      <c r="AO187" s="11">
        <f t="shared" si="81"/>
        <v>15</v>
      </c>
      <c r="AP187" s="10">
        <v>15</v>
      </c>
      <c r="AQ187" s="11">
        <f t="shared" si="82"/>
        <v>15</v>
      </c>
      <c r="AR187" s="10">
        <v>15</v>
      </c>
      <c r="AS187" s="56">
        <f t="shared" si="83"/>
        <v>1</v>
      </c>
      <c r="AU187" s="11">
        <f ca="1">IFERROR(OFFSET(ITEM_RES!$A$1,MATCH(AV187,ITEM_RES!$J:$J,0)-1,0),0)</f>
        <v>211020801</v>
      </c>
      <c r="AV187" s="10" t="s">
        <v>392</v>
      </c>
      <c r="AW187" s="11">
        <v>1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O187" s="11">
        <f ca="1">IFERROR(OFFSET(ITEM_RES!$A$1,MATCH(BP187,ITEM_RES!$J:$J,0)-1,0),0)</f>
        <v>0</v>
      </c>
      <c r="BQ187" s="11">
        <f t="shared" si="84"/>
        <v>0</v>
      </c>
    </row>
    <row r="188" spans="1:70" x14ac:dyDescent="0.3">
      <c r="A188" s="14">
        <f t="shared" si="77"/>
        <v>113010004</v>
      </c>
      <c r="B188" s="13">
        <v>11</v>
      </c>
      <c r="C188" s="12">
        <f t="shared" si="78"/>
        <v>3</v>
      </c>
      <c r="D188" s="13">
        <v>1</v>
      </c>
      <c r="E188" s="13">
        <v>0</v>
      </c>
      <c r="F188" s="12">
        <f t="shared" si="79"/>
        <v>4</v>
      </c>
      <c r="H188" s="9">
        <v>3</v>
      </c>
      <c r="I188" s="9">
        <v>4</v>
      </c>
      <c r="K188" s="56" t="s">
        <v>503</v>
      </c>
      <c r="L188" s="56"/>
      <c r="M188" s="56" t="s">
        <v>1019</v>
      </c>
      <c r="N188" s="56"/>
      <c r="O188" s="9">
        <v>1</v>
      </c>
      <c r="P188" s="9">
        <v>15</v>
      </c>
      <c r="Q188" s="9" t="s">
        <v>1163</v>
      </c>
      <c r="U188" s="9" t="s">
        <v>706</v>
      </c>
      <c r="X188" s="9">
        <f ca="1">IFERROR(OFFSET(ITEM_RES!$A$5,MATCH(BUILDING!W188,ITEM_RES!$J$5:$J$226,0)-1,0),0)</f>
        <v>0</v>
      </c>
      <c r="AA188" s="9">
        <f ca="1">IFERROR(OFFSET(ITEM_RES!$A$5,MATCH(BUILDING!Z188,ITEM_RES!$J$5:$J$226,0)-1,0),0)</f>
        <v>0</v>
      </c>
      <c r="AC188" s="9" t="s">
        <v>517</v>
      </c>
      <c r="AD188" s="9">
        <v>4</v>
      </c>
      <c r="AF188" s="11">
        <f ca="1">IFERROR(OFFSET(MANOR_LEVEL!$B$1,MATCH(AG188-1,MANOR_LEVEL!$A:$A,0)-1,0),0)</f>
        <v>94800</v>
      </c>
      <c r="AG188" s="56">
        <v>8</v>
      </c>
      <c r="AI188" s="56">
        <f t="shared" ca="1" si="74"/>
        <v>50</v>
      </c>
      <c r="AJ188" s="10">
        <f ca="1">AO188+AQ188+(IFERROR(OFFSET(ITEM_RES!$S$1,MATCH(AU188,ITEM_RES!$A:$A,0)-1,0),0)*AW188+IFERROR(OFFSET(ITEM_RES!$S$1,MATCH(AZ188,ITEM_RES!$A:$A,0)-1,0),0)*BB188+IFERROR(OFFSET(ITEM_RES!$S$1,MATCH(BE188,ITEM_RES!$A:$A,0)-1,0),0)*BG188+IFERROR(OFFSET(ITEM_RES!$S$1,MATCH(BJ188,ITEM_RES!$A:$A,0)-1,0),0)*BL188+IFERROR(OFFSET(ITEM_RES!$S$1,MATCH(BO188,ITEM_RES!$A:$A,0)-1,0),0)*BQ188)/1000</f>
        <v>50.1</v>
      </c>
      <c r="AK188" s="183">
        <f t="shared" ca="1" si="85"/>
        <v>80</v>
      </c>
      <c r="AM188" s="11">
        <f t="shared" si="80"/>
        <v>20</v>
      </c>
      <c r="AN188" s="10">
        <v>20</v>
      </c>
      <c r="AO188" s="11">
        <f t="shared" si="81"/>
        <v>25</v>
      </c>
      <c r="AP188" s="10">
        <v>25</v>
      </c>
      <c r="AQ188" s="11">
        <f t="shared" si="82"/>
        <v>25</v>
      </c>
      <c r="AR188" s="10">
        <v>25</v>
      </c>
      <c r="AS188" s="56">
        <f t="shared" si="83"/>
        <v>1</v>
      </c>
      <c r="AU188" s="11">
        <f ca="1">IFERROR(OFFSET(ITEM_RES!$A$1,MATCH(AV188,ITEM_RES!$J:$J,0)-1,0),0)</f>
        <v>211020801</v>
      </c>
      <c r="AV188" s="10" t="s">
        <v>392</v>
      </c>
      <c r="AW188" s="11">
        <v>1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O188" s="11">
        <f ca="1">IFERROR(OFFSET(ITEM_RES!$A$1,MATCH(BP188,ITEM_RES!$J:$J,0)-1,0),0)</f>
        <v>0</v>
      </c>
      <c r="BQ188" s="11">
        <f t="shared" si="84"/>
        <v>0</v>
      </c>
    </row>
    <row r="189" spans="1:70" x14ac:dyDescent="0.3">
      <c r="A189" s="14">
        <f t="shared" si="77"/>
        <v>113010005</v>
      </c>
      <c r="B189" s="13">
        <v>11</v>
      </c>
      <c r="C189" s="12">
        <f t="shared" si="78"/>
        <v>3</v>
      </c>
      <c r="D189" s="13">
        <v>1</v>
      </c>
      <c r="E189" s="13">
        <v>0</v>
      </c>
      <c r="F189" s="12">
        <f t="shared" si="79"/>
        <v>5</v>
      </c>
      <c r="H189" s="9">
        <v>3</v>
      </c>
      <c r="I189" s="9">
        <v>5</v>
      </c>
      <c r="K189" s="56" t="s">
        <v>503</v>
      </c>
      <c r="L189" s="56"/>
      <c r="M189" s="56" t="s">
        <v>1019</v>
      </c>
      <c r="N189" s="56"/>
      <c r="O189" s="9">
        <v>1</v>
      </c>
      <c r="P189" s="9">
        <v>15</v>
      </c>
      <c r="Q189" s="9" t="s">
        <v>1163</v>
      </c>
      <c r="U189" s="9" t="s">
        <v>706</v>
      </c>
      <c r="X189" s="9">
        <f ca="1">IFERROR(OFFSET(ITEM_RES!$A$5,MATCH(BUILDING!W189,ITEM_RES!$J$5:$J$226,0)-1,0),0)</f>
        <v>0</v>
      </c>
      <c r="AA189" s="9">
        <f ca="1">IFERROR(OFFSET(ITEM_RES!$A$5,MATCH(BUILDING!Z189,ITEM_RES!$J$5:$J$226,0)-1,0),0)</f>
        <v>0</v>
      </c>
      <c r="AC189" s="9" t="s">
        <v>517</v>
      </c>
      <c r="AD189" s="9">
        <v>5</v>
      </c>
      <c r="AF189" s="11">
        <f ca="1">IFERROR(OFFSET(MANOR_LEVEL!$B$1,MATCH(AG189-1,MANOR_LEVEL!$A:$A,0)-1,0),0)</f>
        <v>186400</v>
      </c>
      <c r="AG189" s="56">
        <v>9</v>
      </c>
      <c r="AI189" s="56">
        <f t="shared" ca="1" si="74"/>
        <v>80</v>
      </c>
      <c r="AJ189" s="10">
        <f ca="1">AO189+AQ189+(IFERROR(OFFSET(ITEM_RES!$S$1,MATCH(AU189,ITEM_RES!$A:$A,0)-1,0),0)*AW189+IFERROR(OFFSET(ITEM_RES!$S$1,MATCH(AZ189,ITEM_RES!$A:$A,0)-1,0),0)*BB189+IFERROR(OFFSET(ITEM_RES!$S$1,MATCH(BE189,ITEM_RES!$A:$A,0)-1,0),0)*BG189+IFERROR(OFFSET(ITEM_RES!$S$1,MATCH(BJ189,ITEM_RES!$A:$A,0)-1,0),0)*BL189+IFERROR(OFFSET(ITEM_RES!$S$1,MATCH(BO189,ITEM_RES!$A:$A,0)-1,0),0)*BQ189)/1000</f>
        <v>80.099999999999994</v>
      </c>
      <c r="AK189" s="183">
        <f t="shared" ca="1" si="85"/>
        <v>130</v>
      </c>
      <c r="AM189" s="11">
        <f t="shared" si="80"/>
        <v>25</v>
      </c>
      <c r="AN189" s="10">
        <v>25</v>
      </c>
      <c r="AO189" s="11">
        <f t="shared" si="81"/>
        <v>40</v>
      </c>
      <c r="AP189" s="10">
        <v>40</v>
      </c>
      <c r="AQ189" s="11">
        <f t="shared" si="82"/>
        <v>40</v>
      </c>
      <c r="AR189" s="10">
        <v>40</v>
      </c>
      <c r="AS189" s="56">
        <f t="shared" si="83"/>
        <v>1</v>
      </c>
      <c r="AU189" s="11">
        <f ca="1">IFERROR(OFFSET(ITEM_RES!$A$1,MATCH(AV189,ITEM_RES!$J:$J,0)-1,0),0)</f>
        <v>211020801</v>
      </c>
      <c r="AV189" s="10" t="s">
        <v>392</v>
      </c>
      <c r="AW189" s="11">
        <v>1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O189" s="11">
        <f ca="1">IFERROR(OFFSET(ITEM_RES!$A$1,MATCH(BP189,ITEM_RES!$J:$J,0)-1,0),0)</f>
        <v>0</v>
      </c>
      <c r="BQ189" s="11">
        <f t="shared" si="84"/>
        <v>0</v>
      </c>
    </row>
    <row r="190" spans="1:70" x14ac:dyDescent="0.3">
      <c r="A190" s="14">
        <f t="shared" si="77"/>
        <v>113010006</v>
      </c>
      <c r="B190" s="13">
        <v>11</v>
      </c>
      <c r="C190" s="12">
        <f t="shared" si="78"/>
        <v>3</v>
      </c>
      <c r="D190" s="13">
        <v>1</v>
      </c>
      <c r="E190" s="13">
        <v>0</v>
      </c>
      <c r="F190" s="12">
        <f t="shared" si="79"/>
        <v>6</v>
      </c>
      <c r="H190" s="9">
        <v>3</v>
      </c>
      <c r="I190" s="9">
        <v>6</v>
      </c>
      <c r="K190" s="56" t="s">
        <v>503</v>
      </c>
      <c r="L190" s="56"/>
      <c r="M190" s="56" t="s">
        <v>1019</v>
      </c>
      <c r="N190" s="56"/>
      <c r="O190" s="9">
        <v>1</v>
      </c>
      <c r="P190" s="9">
        <v>15</v>
      </c>
      <c r="Q190" s="9" t="s">
        <v>1163</v>
      </c>
      <c r="U190" s="9" t="s">
        <v>706</v>
      </c>
      <c r="X190" s="9">
        <f ca="1">IFERROR(OFFSET(ITEM_RES!$A$5,MATCH(BUILDING!W190,ITEM_RES!$J$5:$J$226,0)-1,0),0)</f>
        <v>0</v>
      </c>
      <c r="AA190" s="9">
        <f ca="1">IFERROR(OFFSET(ITEM_RES!$A$5,MATCH(BUILDING!Z190,ITEM_RES!$J$5:$J$226,0)-1,0),0)</f>
        <v>0</v>
      </c>
      <c r="AC190" s="9" t="s">
        <v>517</v>
      </c>
      <c r="AD190" s="9">
        <v>6</v>
      </c>
      <c r="AF190" s="11">
        <f ca="1">IFERROR(OFFSET(MANOR_LEVEL!$B$1,MATCH(AG190-1,MANOR_LEVEL!$A:$A,0)-1,0),0)</f>
        <v>186400</v>
      </c>
      <c r="AG190" s="56">
        <v>9</v>
      </c>
      <c r="AI190" s="56">
        <f t="shared" ca="1" si="74"/>
        <v>100</v>
      </c>
      <c r="AJ190" s="10">
        <f ca="1">AO190+AQ190+(IFERROR(OFFSET(ITEM_RES!$S$1,MATCH(AU190,ITEM_RES!$A:$A,0)-1,0),0)*AW190+IFERROR(OFFSET(ITEM_RES!$S$1,MATCH(AZ190,ITEM_RES!$A:$A,0)-1,0),0)*BB190+IFERROR(OFFSET(ITEM_RES!$S$1,MATCH(BE190,ITEM_RES!$A:$A,0)-1,0),0)*BG190+IFERROR(OFFSET(ITEM_RES!$S$1,MATCH(BJ190,ITEM_RES!$A:$A,0)-1,0),0)*BL190+IFERROR(OFFSET(ITEM_RES!$S$1,MATCH(BO190,ITEM_RES!$A:$A,0)-1,0),0)*BQ190)/1000</f>
        <v>100.1</v>
      </c>
      <c r="AK190" s="183">
        <f t="shared" ca="1" si="85"/>
        <v>180</v>
      </c>
      <c r="AM190" s="11">
        <f t="shared" si="80"/>
        <v>30</v>
      </c>
      <c r="AN190" s="10">
        <v>30</v>
      </c>
      <c r="AO190" s="11">
        <f t="shared" si="81"/>
        <v>50</v>
      </c>
      <c r="AP190" s="10">
        <v>50</v>
      </c>
      <c r="AQ190" s="11">
        <f t="shared" si="82"/>
        <v>50</v>
      </c>
      <c r="AR190" s="10">
        <v>50</v>
      </c>
      <c r="AS190" s="56">
        <f t="shared" si="83"/>
        <v>1</v>
      </c>
      <c r="AU190" s="11">
        <f ca="1">IFERROR(OFFSET(ITEM_RES!$A$1,MATCH(AV190,ITEM_RES!$J:$J,0)-1,0),0)</f>
        <v>211020801</v>
      </c>
      <c r="AV190" s="10" t="s">
        <v>392</v>
      </c>
      <c r="AW190" s="11">
        <v>1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O190" s="11">
        <f ca="1">IFERROR(OFFSET(ITEM_RES!$A$1,MATCH(BP190,ITEM_RES!$J:$J,0)-1,0),0)</f>
        <v>0</v>
      </c>
      <c r="BQ190" s="11">
        <f t="shared" si="84"/>
        <v>0</v>
      </c>
    </row>
    <row r="191" spans="1:70" x14ac:dyDescent="0.3">
      <c r="A191" s="14">
        <f t="shared" si="77"/>
        <v>113010007</v>
      </c>
      <c r="B191" s="13">
        <v>11</v>
      </c>
      <c r="C191" s="12">
        <f t="shared" si="78"/>
        <v>3</v>
      </c>
      <c r="D191" s="13">
        <v>1</v>
      </c>
      <c r="E191" s="13">
        <v>0</v>
      </c>
      <c r="F191" s="12">
        <f t="shared" si="79"/>
        <v>7</v>
      </c>
      <c r="H191" s="9">
        <v>3</v>
      </c>
      <c r="I191" s="9">
        <v>7</v>
      </c>
      <c r="K191" s="56" t="s">
        <v>503</v>
      </c>
      <c r="L191" s="56"/>
      <c r="M191" s="56" t="s">
        <v>1019</v>
      </c>
      <c r="N191" s="56"/>
      <c r="O191" s="9">
        <v>1</v>
      </c>
      <c r="P191" s="9">
        <v>15</v>
      </c>
      <c r="Q191" s="9" t="s">
        <v>1163</v>
      </c>
      <c r="U191" s="9" t="s">
        <v>706</v>
      </c>
      <c r="X191" s="9">
        <f ca="1">IFERROR(OFFSET(ITEM_RES!$A$5,MATCH(BUILDING!W191,ITEM_RES!$J$5:$J$226,0)-1,0),0)</f>
        <v>0</v>
      </c>
      <c r="AA191" s="9">
        <f ca="1">IFERROR(OFFSET(ITEM_RES!$A$5,MATCH(BUILDING!Z191,ITEM_RES!$J$5:$J$226,0)-1,0),0)</f>
        <v>0</v>
      </c>
      <c r="AC191" s="9" t="s">
        <v>517</v>
      </c>
      <c r="AD191" s="9">
        <v>7</v>
      </c>
      <c r="AF191" s="11">
        <f ca="1">IFERROR(OFFSET(MANOR_LEVEL!$B$1,MATCH(AG191-1,MANOR_LEVEL!$A:$A,0)-1,0),0)</f>
        <v>186400</v>
      </c>
      <c r="AG191" s="56">
        <v>9</v>
      </c>
      <c r="AI191" s="56">
        <f t="shared" ca="1" si="74"/>
        <v>200</v>
      </c>
      <c r="AJ191" s="10">
        <f ca="1">AO191+AQ191+(IFERROR(OFFSET(ITEM_RES!$S$1,MATCH(AU191,ITEM_RES!$A:$A,0)-1,0),0)*AW191+IFERROR(OFFSET(ITEM_RES!$S$1,MATCH(AZ191,ITEM_RES!$A:$A,0)-1,0),0)*BB191+IFERROR(OFFSET(ITEM_RES!$S$1,MATCH(BE191,ITEM_RES!$A:$A,0)-1,0),0)*BG191+IFERROR(OFFSET(ITEM_RES!$S$1,MATCH(BJ191,ITEM_RES!$A:$A,0)-1,0),0)*BL191+IFERROR(OFFSET(ITEM_RES!$S$1,MATCH(BO191,ITEM_RES!$A:$A,0)-1,0),0)*BQ191)/1000</f>
        <v>200.1</v>
      </c>
      <c r="AK191" s="183">
        <f t="shared" ca="1" si="85"/>
        <v>300</v>
      </c>
      <c r="AM191" s="11">
        <f t="shared" si="80"/>
        <v>35</v>
      </c>
      <c r="AN191" s="10">
        <v>35</v>
      </c>
      <c r="AO191" s="11">
        <f t="shared" si="81"/>
        <v>100</v>
      </c>
      <c r="AP191" s="10">
        <v>100</v>
      </c>
      <c r="AQ191" s="11">
        <f t="shared" si="82"/>
        <v>100</v>
      </c>
      <c r="AR191" s="10">
        <v>100</v>
      </c>
      <c r="AS191" s="56">
        <f t="shared" si="83"/>
        <v>1</v>
      </c>
      <c r="AU191" s="11">
        <f ca="1">IFERROR(OFFSET(ITEM_RES!$A$1,MATCH(AV191,ITEM_RES!$J:$J,0)-1,0),0)</f>
        <v>211020801</v>
      </c>
      <c r="AV191" s="10" t="s">
        <v>392</v>
      </c>
      <c r="AW191" s="11">
        <v>1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O191" s="11">
        <f ca="1">IFERROR(OFFSET(ITEM_RES!$A$1,MATCH(BP191,ITEM_RES!$J:$J,0)-1,0),0)</f>
        <v>0</v>
      </c>
      <c r="BQ191" s="11">
        <f t="shared" si="84"/>
        <v>0</v>
      </c>
    </row>
    <row r="192" spans="1:70" x14ac:dyDescent="0.3">
      <c r="A192" s="14">
        <f t="shared" si="77"/>
        <v>113010008</v>
      </c>
      <c r="B192" s="13">
        <v>11</v>
      </c>
      <c r="C192" s="12">
        <f t="shared" si="78"/>
        <v>3</v>
      </c>
      <c r="D192" s="13">
        <v>1</v>
      </c>
      <c r="E192" s="13">
        <v>0</v>
      </c>
      <c r="F192" s="12">
        <f t="shared" si="79"/>
        <v>8</v>
      </c>
      <c r="H192" s="9">
        <v>3</v>
      </c>
      <c r="I192" s="9">
        <v>8</v>
      </c>
      <c r="K192" s="56" t="s">
        <v>503</v>
      </c>
      <c r="L192" s="56"/>
      <c r="M192" s="56" t="s">
        <v>1019</v>
      </c>
      <c r="N192" s="56"/>
      <c r="O192" s="9">
        <v>1</v>
      </c>
      <c r="P192" s="9">
        <v>15</v>
      </c>
      <c r="Q192" s="9" t="s">
        <v>1163</v>
      </c>
      <c r="U192" s="9" t="s">
        <v>706</v>
      </c>
      <c r="X192" s="9">
        <f ca="1">IFERROR(OFFSET(ITEM_RES!$A$5,MATCH(BUILDING!W192,ITEM_RES!$J$5:$J$226,0)-1,0),0)</f>
        <v>0</v>
      </c>
      <c r="AA192" s="9">
        <f ca="1">IFERROR(OFFSET(ITEM_RES!$A$5,MATCH(BUILDING!Z192,ITEM_RES!$J$5:$J$226,0)-1,0),0)</f>
        <v>0</v>
      </c>
      <c r="AC192" s="9" t="s">
        <v>517</v>
      </c>
      <c r="AD192" s="9">
        <v>8</v>
      </c>
      <c r="AF192" s="11">
        <f ca="1">IFERROR(OFFSET(MANOR_LEVEL!$B$1,MATCH(AG192-1,MANOR_LEVEL!$A:$A,0)-1,0),0)</f>
        <v>311600</v>
      </c>
      <c r="AG192" s="56">
        <v>10</v>
      </c>
      <c r="AI192" s="56">
        <f t="shared" ca="1" si="74"/>
        <v>200</v>
      </c>
      <c r="AJ192" s="10">
        <f ca="1">AO192+AQ192+(IFERROR(OFFSET(ITEM_RES!$S$1,MATCH(AU192,ITEM_RES!$A:$A,0)-1,0),0)*AW192+IFERROR(OFFSET(ITEM_RES!$S$1,MATCH(AZ192,ITEM_RES!$A:$A,0)-1,0),0)*BB192+IFERROR(OFFSET(ITEM_RES!$S$1,MATCH(BE192,ITEM_RES!$A:$A,0)-1,0),0)*BG192+IFERROR(OFFSET(ITEM_RES!$S$1,MATCH(BJ192,ITEM_RES!$A:$A,0)-1,0),0)*BL192+IFERROR(OFFSET(ITEM_RES!$S$1,MATCH(BO192,ITEM_RES!$A:$A,0)-1,0),0)*BQ192)/1000</f>
        <v>200.1</v>
      </c>
      <c r="AK192" s="183">
        <f t="shared" ca="1" si="85"/>
        <v>400</v>
      </c>
      <c r="AM192" s="11">
        <f t="shared" si="80"/>
        <v>40</v>
      </c>
      <c r="AN192" s="10">
        <v>40</v>
      </c>
      <c r="AO192" s="11">
        <f t="shared" si="81"/>
        <v>100</v>
      </c>
      <c r="AP192" s="10">
        <v>100</v>
      </c>
      <c r="AQ192" s="11">
        <f t="shared" si="82"/>
        <v>100</v>
      </c>
      <c r="AR192" s="10">
        <v>100</v>
      </c>
      <c r="AS192" s="56">
        <f t="shared" si="83"/>
        <v>1</v>
      </c>
      <c r="AU192" s="11">
        <f ca="1">IFERROR(OFFSET(ITEM_RES!$A$1,MATCH(AV192,ITEM_RES!$J:$J,0)-1,0),0)</f>
        <v>211020801</v>
      </c>
      <c r="AV192" s="10" t="s">
        <v>392</v>
      </c>
      <c r="AW192" s="11">
        <v>1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O192" s="11">
        <f ca="1">IFERROR(OFFSET(ITEM_RES!$A$1,MATCH(BP192,ITEM_RES!$J:$J,0)-1,0),0)</f>
        <v>0</v>
      </c>
      <c r="BQ192" s="11">
        <f t="shared" si="84"/>
        <v>0</v>
      </c>
    </row>
    <row r="193" spans="1:70" x14ac:dyDescent="0.3">
      <c r="A193" s="14">
        <f t="shared" si="77"/>
        <v>113010009</v>
      </c>
      <c r="B193" s="13">
        <v>11</v>
      </c>
      <c r="C193" s="12">
        <f t="shared" si="78"/>
        <v>3</v>
      </c>
      <c r="D193" s="13">
        <v>1</v>
      </c>
      <c r="E193" s="13">
        <v>0</v>
      </c>
      <c r="F193" s="12">
        <f t="shared" si="79"/>
        <v>9</v>
      </c>
      <c r="H193" s="9">
        <v>3</v>
      </c>
      <c r="I193" s="9">
        <v>9</v>
      </c>
      <c r="K193" s="56" t="s">
        <v>503</v>
      </c>
      <c r="L193" s="56"/>
      <c r="M193" s="56" t="s">
        <v>1019</v>
      </c>
      <c r="N193" s="56"/>
      <c r="O193" s="9">
        <v>1</v>
      </c>
      <c r="P193" s="9">
        <v>15</v>
      </c>
      <c r="Q193" s="9" t="s">
        <v>1163</v>
      </c>
      <c r="U193" s="9" t="s">
        <v>706</v>
      </c>
      <c r="X193" s="9">
        <f ca="1">IFERROR(OFFSET(ITEM_RES!$A$5,MATCH(BUILDING!W193,ITEM_RES!$J$5:$J$226,0)-1,0),0)</f>
        <v>0</v>
      </c>
      <c r="AA193" s="9">
        <f ca="1">IFERROR(OFFSET(ITEM_RES!$A$5,MATCH(BUILDING!Z193,ITEM_RES!$J$5:$J$226,0)-1,0),0)</f>
        <v>0</v>
      </c>
      <c r="AC193" s="9" t="s">
        <v>517</v>
      </c>
      <c r="AD193" s="9">
        <v>9</v>
      </c>
      <c r="AF193" s="11">
        <f ca="1">IFERROR(OFFSET(MANOR_LEVEL!$B$1,MATCH(AG193-1,MANOR_LEVEL!$A:$A,0)-1,0),0)</f>
        <v>796000</v>
      </c>
      <c r="AG193" s="56">
        <v>12</v>
      </c>
      <c r="AI193" s="56">
        <f t="shared" ca="1" si="74"/>
        <v>300</v>
      </c>
      <c r="AJ193" s="10">
        <f ca="1">AO193+AQ193+(IFERROR(OFFSET(ITEM_RES!$S$1,MATCH(AU193,ITEM_RES!$A:$A,0)-1,0),0)*AW193+IFERROR(OFFSET(ITEM_RES!$S$1,MATCH(AZ193,ITEM_RES!$A:$A,0)-1,0),0)*BB193+IFERROR(OFFSET(ITEM_RES!$S$1,MATCH(BE193,ITEM_RES!$A:$A,0)-1,0),0)*BG193+IFERROR(OFFSET(ITEM_RES!$S$1,MATCH(BJ193,ITEM_RES!$A:$A,0)-1,0),0)*BL193+IFERROR(OFFSET(ITEM_RES!$S$1,MATCH(BO193,ITEM_RES!$A:$A,0)-1,0),0)*BQ193)/1000</f>
        <v>300.10000000000002</v>
      </c>
      <c r="AK193" s="183">
        <f t="shared" ca="1" si="85"/>
        <v>500</v>
      </c>
      <c r="AM193" s="11">
        <f t="shared" si="80"/>
        <v>45</v>
      </c>
      <c r="AN193" s="10">
        <v>45</v>
      </c>
      <c r="AO193" s="11">
        <f t="shared" si="81"/>
        <v>150</v>
      </c>
      <c r="AP193" s="10">
        <v>150</v>
      </c>
      <c r="AQ193" s="11">
        <f t="shared" si="82"/>
        <v>150</v>
      </c>
      <c r="AR193" s="10">
        <v>150</v>
      </c>
      <c r="AS193" s="56">
        <f t="shared" si="83"/>
        <v>1</v>
      </c>
      <c r="AU193" s="11">
        <f ca="1">IFERROR(OFFSET(ITEM_RES!$A$1,MATCH(AV193,ITEM_RES!$J:$J,0)-1,0),0)</f>
        <v>211020801</v>
      </c>
      <c r="AV193" s="10" t="s">
        <v>392</v>
      </c>
      <c r="AW193" s="11">
        <v>1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O193" s="11">
        <f ca="1">IFERROR(OFFSET(ITEM_RES!$A$1,MATCH(BP193,ITEM_RES!$J:$J,0)-1,0),0)</f>
        <v>0</v>
      </c>
      <c r="BQ193" s="11">
        <f t="shared" si="84"/>
        <v>0</v>
      </c>
    </row>
    <row r="194" spans="1:70" x14ac:dyDescent="0.3">
      <c r="A194" s="14">
        <f t="shared" si="77"/>
        <v>113010010</v>
      </c>
      <c r="B194" s="13">
        <v>11</v>
      </c>
      <c r="C194" s="12">
        <f t="shared" si="78"/>
        <v>3</v>
      </c>
      <c r="D194" s="13">
        <v>1</v>
      </c>
      <c r="E194" s="13">
        <v>0</v>
      </c>
      <c r="F194" s="12">
        <f t="shared" si="79"/>
        <v>10</v>
      </c>
      <c r="H194" s="9">
        <v>3</v>
      </c>
      <c r="I194" s="9">
        <v>10</v>
      </c>
      <c r="K194" s="56" t="s">
        <v>503</v>
      </c>
      <c r="L194" s="56"/>
      <c r="M194" s="56" t="s">
        <v>1019</v>
      </c>
      <c r="N194" s="56"/>
      <c r="O194" s="9">
        <v>1</v>
      </c>
      <c r="P194" s="9">
        <v>15</v>
      </c>
      <c r="Q194" s="9" t="s">
        <v>1163</v>
      </c>
      <c r="U194" s="9" t="s">
        <v>706</v>
      </c>
      <c r="X194" s="9">
        <f ca="1">IFERROR(OFFSET(ITEM_RES!$A$5,MATCH(BUILDING!W194,ITEM_RES!$J$5:$J$226,0)-1,0),0)</f>
        <v>0</v>
      </c>
      <c r="AA194" s="9">
        <f ca="1">IFERROR(OFFSET(ITEM_RES!$A$5,MATCH(BUILDING!Z194,ITEM_RES!$J$5:$J$226,0)-1,0),0)</f>
        <v>0</v>
      </c>
      <c r="AC194" s="9" t="s">
        <v>517</v>
      </c>
      <c r="AD194" s="9">
        <v>10</v>
      </c>
      <c r="AF194" s="11">
        <f ca="1">IFERROR(OFFSET(MANOR_LEVEL!$B$1,MATCH(AG194-1,MANOR_LEVEL!$A:$A,0)-1,0),0)</f>
        <v>796000</v>
      </c>
      <c r="AG194" s="56">
        <v>12</v>
      </c>
      <c r="AI194" s="56">
        <f t="shared" ca="1" si="74"/>
        <v>500</v>
      </c>
      <c r="AJ194" s="10">
        <f ca="1">AO194+AQ194+(IFERROR(OFFSET(ITEM_RES!$S$1,MATCH(AU194,ITEM_RES!$A:$A,0)-1,0),0)*AW194+IFERROR(OFFSET(ITEM_RES!$S$1,MATCH(AZ194,ITEM_RES!$A:$A,0)-1,0),0)*BB194+IFERROR(OFFSET(ITEM_RES!$S$1,MATCH(BE194,ITEM_RES!$A:$A,0)-1,0),0)*BG194+IFERROR(OFFSET(ITEM_RES!$S$1,MATCH(BJ194,ITEM_RES!$A:$A,0)-1,0),0)*BL194+IFERROR(OFFSET(ITEM_RES!$S$1,MATCH(BO194,ITEM_RES!$A:$A,0)-1,0),0)*BQ194)/1000</f>
        <v>500.1</v>
      </c>
      <c r="AK194" s="183">
        <f t="shared" ca="1" si="85"/>
        <v>800</v>
      </c>
      <c r="AM194" s="11">
        <f t="shared" si="80"/>
        <v>50</v>
      </c>
      <c r="AN194" s="10">
        <v>50</v>
      </c>
      <c r="AO194" s="11">
        <f t="shared" si="81"/>
        <v>200</v>
      </c>
      <c r="AP194" s="10">
        <v>200</v>
      </c>
      <c r="AQ194" s="11">
        <f t="shared" si="82"/>
        <v>200</v>
      </c>
      <c r="AR194" s="10">
        <v>200</v>
      </c>
      <c r="AS194" s="56">
        <f t="shared" si="83"/>
        <v>2</v>
      </c>
      <c r="AU194" s="11">
        <f ca="1">IFERROR(OFFSET(ITEM_RES!$A$1,MATCH(AV194,ITEM_RES!$J:$J,0)-1,0),0)</f>
        <v>211020801</v>
      </c>
      <c r="AV194" s="10" t="s">
        <v>392</v>
      </c>
      <c r="AW194" s="11">
        <v>1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0</v>
      </c>
      <c r="BJ194" s="11">
        <f ca="1">IFERROR(OFFSET(ITEM_RES!$A$1,MATCH(BK194,ITEM_RES!$J:$J,0)-1,0),0)</f>
        <v>213010801</v>
      </c>
      <c r="BK194" s="10" t="s">
        <v>463</v>
      </c>
      <c r="BL194" s="11">
        <v>1</v>
      </c>
      <c r="BO194" s="11">
        <f ca="1">IFERROR(OFFSET(ITEM_RES!$A$1,MATCH(BP194,ITEM_RES!$J:$J,0)-1,0),0)</f>
        <v>0</v>
      </c>
      <c r="BQ194" s="11">
        <f t="shared" si="84"/>
        <v>0</v>
      </c>
    </row>
    <row r="195" spans="1:70" x14ac:dyDescent="0.3">
      <c r="A195" s="14">
        <f t="shared" si="77"/>
        <v>113010011</v>
      </c>
      <c r="B195" s="13">
        <v>11</v>
      </c>
      <c r="C195" s="12">
        <f t="shared" si="78"/>
        <v>3</v>
      </c>
      <c r="D195" s="13">
        <v>1</v>
      </c>
      <c r="E195" s="13">
        <v>0</v>
      </c>
      <c r="F195" s="12">
        <f t="shared" si="79"/>
        <v>11</v>
      </c>
      <c r="H195" s="9">
        <v>3</v>
      </c>
      <c r="I195" s="9">
        <v>11</v>
      </c>
      <c r="K195" s="56" t="s">
        <v>503</v>
      </c>
      <c r="L195" s="56"/>
      <c r="M195" s="56" t="s">
        <v>1019</v>
      </c>
      <c r="N195" s="56"/>
      <c r="O195" s="9">
        <v>1</v>
      </c>
      <c r="P195" s="9">
        <v>15</v>
      </c>
      <c r="Q195" s="9" t="s">
        <v>1163</v>
      </c>
      <c r="U195" s="9" t="s">
        <v>706</v>
      </c>
      <c r="X195" s="9">
        <f ca="1">IFERROR(OFFSET(ITEM_RES!$A$5,MATCH(BUILDING!W195,ITEM_RES!$J$5:$J$226,0)-1,0),0)</f>
        <v>0</v>
      </c>
      <c r="AA195" s="9">
        <f ca="1">IFERROR(OFFSET(ITEM_RES!$A$5,MATCH(BUILDING!Z195,ITEM_RES!$J$5:$J$226,0)-1,0),0)</f>
        <v>0</v>
      </c>
      <c r="AC195" s="9" t="s">
        <v>517</v>
      </c>
      <c r="AD195" s="9">
        <v>11</v>
      </c>
      <c r="AF195" s="11">
        <f ca="1">IFERROR(OFFSET(MANOR_LEVEL!$B$1,MATCH(AG195-1,MANOR_LEVEL!$A:$A,0)-1,0),0)</f>
        <v>796000</v>
      </c>
      <c r="AG195" s="56">
        <v>12</v>
      </c>
      <c r="AI195" s="56">
        <f t="shared" ca="1" si="74"/>
        <v>500</v>
      </c>
      <c r="AJ195" s="10">
        <f ca="1">AO195+AQ195+(IFERROR(OFFSET(ITEM_RES!$S$1,MATCH(AU195,ITEM_RES!$A:$A,0)-1,0),0)*AW195+IFERROR(OFFSET(ITEM_RES!$S$1,MATCH(AZ195,ITEM_RES!$A:$A,0)-1,0),0)*BB195+IFERROR(OFFSET(ITEM_RES!$S$1,MATCH(BE195,ITEM_RES!$A:$A,0)-1,0),0)*BG195+IFERROR(OFFSET(ITEM_RES!$S$1,MATCH(BJ195,ITEM_RES!$A:$A,0)-1,0),0)*BL195+IFERROR(OFFSET(ITEM_RES!$S$1,MATCH(BO195,ITEM_RES!$A:$A,0)-1,0),0)*BQ195)/1000</f>
        <v>500.1</v>
      </c>
      <c r="AK195" s="183">
        <f t="shared" ca="1" si="85"/>
        <v>1000</v>
      </c>
      <c r="AM195" s="11">
        <f t="shared" si="80"/>
        <v>55</v>
      </c>
      <c r="AN195" s="10">
        <v>55</v>
      </c>
      <c r="AO195" s="11">
        <f t="shared" si="81"/>
        <v>250</v>
      </c>
      <c r="AP195" s="10">
        <v>250</v>
      </c>
      <c r="AQ195" s="11">
        <f t="shared" si="82"/>
        <v>250</v>
      </c>
      <c r="AR195" s="10">
        <v>250</v>
      </c>
      <c r="AS195" s="56">
        <f t="shared" si="83"/>
        <v>1</v>
      </c>
      <c r="AU195" s="11">
        <f ca="1">IFERROR(OFFSET(ITEM_RES!$A$1,MATCH(AV195,ITEM_RES!$J:$J,0)-1,0),0)</f>
        <v>211020801</v>
      </c>
      <c r="AV195" s="10" t="s">
        <v>392</v>
      </c>
      <c r="AW195" s="11">
        <v>1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O195" s="11">
        <f ca="1">IFERROR(OFFSET(ITEM_RES!$A$1,MATCH(BP195,ITEM_RES!$J:$J,0)-1,0),0)</f>
        <v>0</v>
      </c>
      <c r="BQ195" s="11">
        <f t="shared" si="84"/>
        <v>0</v>
      </c>
    </row>
    <row r="196" spans="1:70" x14ac:dyDescent="0.3">
      <c r="A196" s="14">
        <f t="shared" si="77"/>
        <v>113010012</v>
      </c>
      <c r="B196" s="13">
        <v>11</v>
      </c>
      <c r="C196" s="12">
        <f t="shared" si="78"/>
        <v>3</v>
      </c>
      <c r="D196" s="13">
        <v>1</v>
      </c>
      <c r="E196" s="13">
        <v>0</v>
      </c>
      <c r="F196" s="12">
        <f t="shared" si="79"/>
        <v>12</v>
      </c>
      <c r="H196" s="9">
        <v>3</v>
      </c>
      <c r="I196" s="9">
        <v>12</v>
      </c>
      <c r="K196" s="56" t="s">
        <v>503</v>
      </c>
      <c r="L196" s="56"/>
      <c r="M196" s="56" t="s">
        <v>1019</v>
      </c>
      <c r="N196" s="56"/>
      <c r="O196" s="9">
        <v>1</v>
      </c>
      <c r="P196" s="9">
        <v>15</v>
      </c>
      <c r="Q196" s="9" t="s">
        <v>1163</v>
      </c>
      <c r="U196" s="9" t="s">
        <v>706</v>
      </c>
      <c r="X196" s="9">
        <f ca="1">IFERROR(OFFSET(ITEM_RES!$A$5,MATCH(BUILDING!W196,ITEM_RES!$J$5:$J$226,0)-1,0),0)</f>
        <v>0</v>
      </c>
      <c r="AA196" s="9">
        <f ca="1">IFERROR(OFFSET(ITEM_RES!$A$5,MATCH(BUILDING!Z196,ITEM_RES!$J$5:$J$226,0)-1,0),0)</f>
        <v>0</v>
      </c>
      <c r="AC196" s="9" t="s">
        <v>517</v>
      </c>
      <c r="AD196" s="9">
        <v>12</v>
      </c>
      <c r="AF196" s="11">
        <f ca="1">IFERROR(OFFSET(MANOR_LEVEL!$B$1,MATCH(AG196-1,MANOR_LEVEL!$A:$A,0)-1,0),0)</f>
        <v>12172400</v>
      </c>
      <c r="AG196" s="56">
        <v>18</v>
      </c>
      <c r="AI196" s="56">
        <f t="shared" ca="1" si="74"/>
        <v>600</v>
      </c>
      <c r="AJ196" s="10">
        <f ca="1">AO196+AQ196+(IFERROR(OFFSET(ITEM_RES!$S$1,MATCH(AU196,ITEM_RES!$A:$A,0)-1,0),0)*AW196+IFERROR(OFFSET(ITEM_RES!$S$1,MATCH(AZ196,ITEM_RES!$A:$A,0)-1,0),0)*BB196+IFERROR(OFFSET(ITEM_RES!$S$1,MATCH(BE196,ITEM_RES!$A:$A,0)-1,0),0)*BG196+IFERROR(OFFSET(ITEM_RES!$S$1,MATCH(BJ196,ITEM_RES!$A:$A,0)-1,0),0)*BL196+IFERROR(OFFSET(ITEM_RES!$S$1,MATCH(BO196,ITEM_RES!$A:$A,0)-1,0),0)*BQ196)/1000</f>
        <v>600.29999999999995</v>
      </c>
      <c r="AK196" s="183">
        <f t="shared" ca="1" si="85"/>
        <v>1100</v>
      </c>
      <c r="AM196" s="11">
        <f t="shared" si="80"/>
        <v>60</v>
      </c>
      <c r="AN196" s="10">
        <v>60</v>
      </c>
      <c r="AO196" s="11">
        <f t="shared" si="81"/>
        <v>300</v>
      </c>
      <c r="AP196" s="10">
        <v>300</v>
      </c>
      <c r="AQ196" s="11">
        <f t="shared" si="82"/>
        <v>300</v>
      </c>
      <c r="AR196" s="10">
        <v>300</v>
      </c>
      <c r="AS196" s="56">
        <f t="shared" si="83"/>
        <v>2</v>
      </c>
      <c r="AU196" s="11">
        <f ca="1">IFERROR(OFFSET(ITEM_RES!$A$1,MATCH(AV196,ITEM_RES!$J:$J,0)-1,0),0)</f>
        <v>211020801</v>
      </c>
      <c r="AV196" s="10" t="s">
        <v>392</v>
      </c>
      <c r="AW196" s="11">
        <v>1</v>
      </c>
      <c r="AZ196" s="11">
        <f ca="1">IFERROR(OFFSET(ITEM_RES!$A$1,MATCH(BA196,ITEM_RES!$J:$J,0)-1,0),0)</f>
        <v>211020901</v>
      </c>
      <c r="BA196" s="10" t="s">
        <v>393</v>
      </c>
      <c r="BB196" s="11">
        <v>1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O196" s="11">
        <f ca="1">IFERROR(OFFSET(ITEM_RES!$A$1,MATCH(BP196,ITEM_RES!$J:$J,0)-1,0),0)</f>
        <v>0</v>
      </c>
      <c r="BQ196" s="11">
        <f t="shared" si="84"/>
        <v>0</v>
      </c>
    </row>
    <row r="197" spans="1:70" x14ac:dyDescent="0.3">
      <c r="A197" s="14">
        <f t="shared" si="77"/>
        <v>113010013</v>
      </c>
      <c r="B197" s="13">
        <v>11</v>
      </c>
      <c r="C197" s="12">
        <f t="shared" si="78"/>
        <v>3</v>
      </c>
      <c r="D197" s="13">
        <v>1</v>
      </c>
      <c r="E197" s="13">
        <v>0</v>
      </c>
      <c r="F197" s="12">
        <f t="shared" si="79"/>
        <v>13</v>
      </c>
      <c r="H197" s="9">
        <v>3</v>
      </c>
      <c r="I197" s="9">
        <v>13</v>
      </c>
      <c r="K197" s="56" t="s">
        <v>503</v>
      </c>
      <c r="L197" s="56"/>
      <c r="M197" s="56" t="s">
        <v>1019</v>
      </c>
      <c r="N197" s="56"/>
      <c r="O197" s="9">
        <v>1</v>
      </c>
      <c r="P197" s="9">
        <v>15</v>
      </c>
      <c r="Q197" s="9" t="s">
        <v>1163</v>
      </c>
      <c r="U197" s="9" t="s">
        <v>706</v>
      </c>
      <c r="X197" s="9">
        <f ca="1">IFERROR(OFFSET(ITEM_RES!$A$5,MATCH(BUILDING!W197,ITEM_RES!$J$5:$J$226,0)-1,0),0)</f>
        <v>0</v>
      </c>
      <c r="AA197" s="9">
        <f ca="1">IFERROR(OFFSET(ITEM_RES!$A$5,MATCH(BUILDING!Z197,ITEM_RES!$J$5:$J$226,0)-1,0),0)</f>
        <v>0</v>
      </c>
      <c r="AC197" s="9" t="s">
        <v>517</v>
      </c>
      <c r="AD197" s="9">
        <v>13</v>
      </c>
      <c r="AF197" s="11">
        <f ca="1">IFERROR(OFFSET(MANOR_LEVEL!$B$1,MATCH(AG197-1,MANOR_LEVEL!$A:$A,0)-1,0),0)</f>
        <v>12172400</v>
      </c>
      <c r="AG197" s="56">
        <v>18</v>
      </c>
      <c r="AI197" s="56">
        <f t="shared" ca="1" si="74"/>
        <v>700</v>
      </c>
      <c r="AJ197" s="10">
        <f ca="1">AO197+AQ197+(IFERROR(OFFSET(ITEM_RES!$S$1,MATCH(AU197,ITEM_RES!$A:$A,0)-1,0),0)*AW197+IFERROR(OFFSET(ITEM_RES!$S$1,MATCH(AZ197,ITEM_RES!$A:$A,0)-1,0),0)*BB197+IFERROR(OFFSET(ITEM_RES!$S$1,MATCH(BE197,ITEM_RES!$A:$A,0)-1,0),0)*BG197+IFERROR(OFFSET(ITEM_RES!$S$1,MATCH(BJ197,ITEM_RES!$A:$A,0)-1,0),0)*BL197+IFERROR(OFFSET(ITEM_RES!$S$1,MATCH(BO197,ITEM_RES!$A:$A,0)-1,0),0)*BQ197)/1000</f>
        <v>700.3</v>
      </c>
      <c r="AK197" s="183">
        <f t="shared" ca="1" si="85"/>
        <v>1300</v>
      </c>
      <c r="AM197" s="11">
        <f t="shared" si="80"/>
        <v>65</v>
      </c>
      <c r="AN197" s="10">
        <v>65</v>
      </c>
      <c r="AO197" s="11">
        <f t="shared" si="81"/>
        <v>350</v>
      </c>
      <c r="AP197" s="10">
        <v>350</v>
      </c>
      <c r="AQ197" s="11">
        <f t="shared" si="82"/>
        <v>350</v>
      </c>
      <c r="AR197" s="10">
        <v>350</v>
      </c>
      <c r="AS197" s="56">
        <f t="shared" si="83"/>
        <v>2</v>
      </c>
      <c r="AU197" s="11">
        <f ca="1">IFERROR(OFFSET(ITEM_RES!$A$1,MATCH(AV197,ITEM_RES!$J:$J,0)-1,0),0)</f>
        <v>211020801</v>
      </c>
      <c r="AV197" s="10" t="s">
        <v>392</v>
      </c>
      <c r="AW197" s="11">
        <v>1</v>
      </c>
      <c r="AZ197" s="11">
        <f ca="1">IFERROR(OFFSET(ITEM_RES!$A$1,MATCH(BA197,ITEM_RES!$J:$J,0)-1,0),0)</f>
        <v>211020901</v>
      </c>
      <c r="BA197" s="10" t="s">
        <v>393</v>
      </c>
      <c r="BB197" s="11">
        <v>1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O197" s="11">
        <f ca="1">IFERROR(OFFSET(ITEM_RES!$A$1,MATCH(BP197,ITEM_RES!$J:$J,0)-1,0),0)</f>
        <v>0</v>
      </c>
      <c r="BQ197" s="11">
        <f t="shared" si="84"/>
        <v>0</v>
      </c>
    </row>
    <row r="198" spans="1:70" x14ac:dyDescent="0.3">
      <c r="A198" s="14">
        <f t="shared" si="77"/>
        <v>113010014</v>
      </c>
      <c r="B198" s="13">
        <v>11</v>
      </c>
      <c r="C198" s="12">
        <f t="shared" si="78"/>
        <v>3</v>
      </c>
      <c r="D198" s="13">
        <v>1</v>
      </c>
      <c r="E198" s="13">
        <v>0</v>
      </c>
      <c r="F198" s="12">
        <f t="shared" si="79"/>
        <v>14</v>
      </c>
      <c r="H198" s="9">
        <v>3</v>
      </c>
      <c r="I198" s="9">
        <v>14</v>
      </c>
      <c r="K198" s="56" t="s">
        <v>503</v>
      </c>
      <c r="L198" s="56"/>
      <c r="M198" s="56" t="s">
        <v>1019</v>
      </c>
      <c r="N198" s="56"/>
      <c r="O198" s="9">
        <v>1</v>
      </c>
      <c r="P198" s="9">
        <v>15</v>
      </c>
      <c r="Q198" s="9" t="s">
        <v>1163</v>
      </c>
      <c r="U198" s="9" t="s">
        <v>706</v>
      </c>
      <c r="X198" s="9">
        <f ca="1">IFERROR(OFFSET(ITEM_RES!$A$5,MATCH(BUILDING!W198,ITEM_RES!$J$5:$J$226,0)-1,0),0)</f>
        <v>0</v>
      </c>
      <c r="AA198" s="9">
        <f ca="1">IFERROR(OFFSET(ITEM_RES!$A$5,MATCH(BUILDING!Z198,ITEM_RES!$J$5:$J$226,0)-1,0),0)</f>
        <v>0</v>
      </c>
      <c r="AC198" s="9" t="s">
        <v>517</v>
      </c>
      <c r="AD198" s="9">
        <v>14</v>
      </c>
      <c r="AF198" s="11">
        <f ca="1">IFERROR(OFFSET(MANOR_LEVEL!$B$1,MATCH(AG198-1,MANOR_LEVEL!$A:$A,0)-1,0),0)</f>
        <v>12172400</v>
      </c>
      <c r="AG198" s="56">
        <v>18</v>
      </c>
      <c r="AI198" s="56">
        <f t="shared" ca="1" si="74"/>
        <v>900</v>
      </c>
      <c r="AJ198" s="10">
        <f ca="1">AO198+AQ198+(IFERROR(OFFSET(ITEM_RES!$S$1,MATCH(AU198,ITEM_RES!$A:$A,0)-1,0),0)*AW198+IFERROR(OFFSET(ITEM_RES!$S$1,MATCH(AZ198,ITEM_RES!$A:$A,0)-1,0),0)*BB198+IFERROR(OFFSET(ITEM_RES!$S$1,MATCH(BE198,ITEM_RES!$A:$A,0)-1,0),0)*BG198+IFERROR(OFFSET(ITEM_RES!$S$1,MATCH(BJ198,ITEM_RES!$A:$A,0)-1,0),0)*BL198+IFERROR(OFFSET(ITEM_RES!$S$1,MATCH(BO198,ITEM_RES!$A:$A,0)-1,0),0)*BQ198)/1000</f>
        <v>900.3</v>
      </c>
      <c r="AK198" s="183">
        <f t="shared" ca="1" si="85"/>
        <v>1600</v>
      </c>
      <c r="AM198" s="11">
        <f t="shared" si="80"/>
        <v>70</v>
      </c>
      <c r="AN198" s="10">
        <v>70</v>
      </c>
      <c r="AO198" s="11">
        <f t="shared" si="81"/>
        <v>450</v>
      </c>
      <c r="AP198" s="10">
        <v>450</v>
      </c>
      <c r="AQ198" s="11">
        <f t="shared" si="82"/>
        <v>450</v>
      </c>
      <c r="AR198" s="10">
        <v>450</v>
      </c>
      <c r="AS198" s="56">
        <f t="shared" si="83"/>
        <v>2</v>
      </c>
      <c r="AU198" s="11">
        <f ca="1">IFERROR(OFFSET(ITEM_RES!$A$1,MATCH(AV198,ITEM_RES!$J:$J,0)-1,0),0)</f>
        <v>211020801</v>
      </c>
      <c r="AV198" s="10" t="s">
        <v>392</v>
      </c>
      <c r="AW198" s="11">
        <v>1</v>
      </c>
      <c r="AZ198" s="11">
        <f ca="1">IFERROR(OFFSET(ITEM_RES!$A$1,MATCH(BA198,ITEM_RES!$J:$J,0)-1,0),0)</f>
        <v>211020901</v>
      </c>
      <c r="BA198" s="10" t="s">
        <v>393</v>
      </c>
      <c r="BB198" s="11">
        <v>1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O198" s="11">
        <f ca="1">IFERROR(OFFSET(ITEM_RES!$A$1,MATCH(BP198,ITEM_RES!$J:$J,0)-1,0),0)</f>
        <v>0</v>
      </c>
      <c r="BQ198" s="11">
        <f t="shared" si="84"/>
        <v>0</v>
      </c>
    </row>
    <row r="199" spans="1:70" x14ac:dyDescent="0.3">
      <c r="A199" s="14">
        <f t="shared" si="77"/>
        <v>113010015</v>
      </c>
      <c r="B199" s="13">
        <v>11</v>
      </c>
      <c r="C199" s="12">
        <f t="shared" si="78"/>
        <v>3</v>
      </c>
      <c r="D199" s="13">
        <v>1</v>
      </c>
      <c r="E199" s="13">
        <v>0</v>
      </c>
      <c r="F199" s="12">
        <f t="shared" si="79"/>
        <v>15</v>
      </c>
      <c r="H199" s="9">
        <v>3</v>
      </c>
      <c r="I199" s="9">
        <v>15</v>
      </c>
      <c r="K199" s="56" t="s">
        <v>503</v>
      </c>
      <c r="L199" s="56"/>
      <c r="M199" s="56" t="s">
        <v>1019</v>
      </c>
      <c r="N199" s="56"/>
      <c r="O199" s="9">
        <v>1</v>
      </c>
      <c r="P199" s="9">
        <v>15</v>
      </c>
      <c r="Q199" s="9" t="s">
        <v>1163</v>
      </c>
      <c r="U199" s="9" t="s">
        <v>706</v>
      </c>
      <c r="X199" s="9">
        <f ca="1">IFERROR(OFFSET(ITEM_RES!$A$5,MATCH(BUILDING!W199,ITEM_RES!$J$5:$J$226,0)-1,0),0)</f>
        <v>0</v>
      </c>
      <c r="AA199" s="9">
        <f ca="1">IFERROR(OFFSET(ITEM_RES!$A$5,MATCH(BUILDING!Z199,ITEM_RES!$J$5:$J$226,0)-1,0),0)</f>
        <v>0</v>
      </c>
      <c r="AC199" s="9" t="s">
        <v>517</v>
      </c>
      <c r="AD199" s="9">
        <v>15</v>
      </c>
      <c r="AF199" s="11">
        <f ca="1">IFERROR(OFFSET(MANOR_LEVEL!$B$1,MATCH(AG199-1,MANOR_LEVEL!$A:$A,0)-1,0),0)</f>
        <v>12172400</v>
      </c>
      <c r="AG199" s="56">
        <v>18</v>
      </c>
      <c r="AI199" s="56">
        <f t="shared" ca="1" si="74"/>
        <v>1100</v>
      </c>
      <c r="AJ199" s="10">
        <f ca="1">AO199+AQ199+(IFERROR(OFFSET(ITEM_RES!$S$1,MATCH(AU199,ITEM_RES!$A:$A,0)-1,0),0)*AW199+IFERROR(OFFSET(ITEM_RES!$S$1,MATCH(AZ199,ITEM_RES!$A:$A,0)-1,0),0)*BB199+IFERROR(OFFSET(ITEM_RES!$S$1,MATCH(BE199,ITEM_RES!$A:$A,0)-1,0),0)*BG199+IFERROR(OFFSET(ITEM_RES!$S$1,MATCH(BJ199,ITEM_RES!$A:$A,0)-1,0),0)*BL199+IFERROR(OFFSET(ITEM_RES!$S$1,MATCH(BO199,ITEM_RES!$A:$A,0)-1,0),0)*BQ199)/1000</f>
        <v>1100.3</v>
      </c>
      <c r="AK199" s="183">
        <f t="shared" ca="1" si="85"/>
        <v>2000</v>
      </c>
      <c r="AM199" s="11">
        <f t="shared" si="80"/>
        <v>75</v>
      </c>
      <c r="AN199" s="10">
        <v>75</v>
      </c>
      <c r="AO199" s="11">
        <f t="shared" si="81"/>
        <v>550</v>
      </c>
      <c r="AP199" s="10">
        <v>550</v>
      </c>
      <c r="AQ199" s="11">
        <f t="shared" si="82"/>
        <v>550</v>
      </c>
      <c r="AR199" s="10">
        <v>550</v>
      </c>
      <c r="AS199" s="56">
        <f t="shared" si="83"/>
        <v>2</v>
      </c>
      <c r="AU199" s="11">
        <f ca="1">IFERROR(OFFSET(ITEM_RES!$A$1,MATCH(AV199,ITEM_RES!$J:$J,0)-1,0),0)</f>
        <v>211020801</v>
      </c>
      <c r="AV199" s="10" t="s">
        <v>392</v>
      </c>
      <c r="AW199" s="11">
        <v>1</v>
      </c>
      <c r="AZ199" s="11">
        <f ca="1">IFERROR(OFFSET(ITEM_RES!$A$1,MATCH(BA199,ITEM_RES!$J:$J,0)-1,0),0)</f>
        <v>211020901</v>
      </c>
      <c r="BA199" s="10" t="s">
        <v>393</v>
      </c>
      <c r="BB199" s="11">
        <v>1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O199" s="11">
        <f ca="1">IFERROR(OFFSET(ITEM_RES!$A$1,MATCH(BP199,ITEM_RES!$J:$J,0)-1,0),0)</f>
        <v>0</v>
      </c>
      <c r="BQ199" s="11">
        <f t="shared" si="84"/>
        <v>0</v>
      </c>
    </row>
    <row r="200" spans="1:70" x14ac:dyDescent="0.3">
      <c r="A200" s="14">
        <f t="shared" si="77"/>
        <v>113010016</v>
      </c>
      <c r="B200" s="13">
        <v>11</v>
      </c>
      <c r="C200" s="12">
        <f t="shared" si="78"/>
        <v>3</v>
      </c>
      <c r="D200" s="13">
        <v>1</v>
      </c>
      <c r="E200" s="13">
        <v>0</v>
      </c>
      <c r="F200" s="12">
        <f t="shared" si="79"/>
        <v>16</v>
      </c>
      <c r="H200" s="9">
        <v>3</v>
      </c>
      <c r="I200" s="9">
        <v>16</v>
      </c>
      <c r="K200" s="56" t="s">
        <v>503</v>
      </c>
      <c r="L200" s="56"/>
      <c r="M200" s="56" t="s">
        <v>1019</v>
      </c>
      <c r="N200" s="56"/>
      <c r="O200" s="9">
        <v>0</v>
      </c>
      <c r="P200" s="9">
        <v>15</v>
      </c>
      <c r="Q200" s="9" t="s">
        <v>1163</v>
      </c>
      <c r="U200" s="9" t="s">
        <v>706</v>
      </c>
      <c r="X200" s="9">
        <f ca="1">IFERROR(OFFSET(ITEM_RES!$A$5,MATCH(BUILDING!W200,ITEM_RES!$J$5:$J$226,0)-1,0),0)</f>
        <v>0</v>
      </c>
      <c r="AA200" s="9">
        <f ca="1">IFERROR(OFFSET(ITEM_RES!$A$5,MATCH(BUILDING!Z200,ITEM_RES!$J$5:$J$226,0)-1,0),0)</f>
        <v>0</v>
      </c>
      <c r="AC200" s="9" t="s">
        <v>517</v>
      </c>
      <c r="AD200" s="9">
        <v>16</v>
      </c>
      <c r="AF200" s="11">
        <f ca="1">IFERROR(OFFSET(MANOR_LEVEL!$B$1,MATCH(AG200-1,MANOR_LEVEL!$A:$A,0)-1,0),0)</f>
        <v>12172400</v>
      </c>
      <c r="AG200" s="56">
        <v>18</v>
      </c>
      <c r="AI200" s="56">
        <f t="shared" ca="1" si="74"/>
        <v>1400</v>
      </c>
      <c r="AJ200" s="10">
        <f ca="1">AO200+AQ200+(IFERROR(OFFSET(ITEM_RES!$S$1,MATCH(AU200,ITEM_RES!$A:$A,0)-1,0),0)*AW200+IFERROR(OFFSET(ITEM_RES!$S$1,MATCH(AZ200,ITEM_RES!$A:$A,0)-1,0),0)*BB200+IFERROR(OFFSET(ITEM_RES!$S$1,MATCH(BE200,ITEM_RES!$A:$A,0)-1,0),0)*BG200+IFERROR(OFFSET(ITEM_RES!$S$1,MATCH(BJ200,ITEM_RES!$A:$A,0)-1,0),0)*BL200+IFERROR(OFFSET(ITEM_RES!$S$1,MATCH(BO200,ITEM_RES!$A:$A,0)-1,0),0)*BQ200)/1000</f>
        <v>1400.3</v>
      </c>
      <c r="AK200" s="183">
        <f t="shared" ca="1" si="85"/>
        <v>2500</v>
      </c>
      <c r="AM200" s="11">
        <f t="shared" si="80"/>
        <v>80</v>
      </c>
      <c r="AN200" s="10">
        <v>80</v>
      </c>
      <c r="AO200" s="11">
        <f t="shared" si="81"/>
        <v>700</v>
      </c>
      <c r="AP200" s="10">
        <v>700</v>
      </c>
      <c r="AQ200" s="11">
        <f t="shared" si="82"/>
        <v>700</v>
      </c>
      <c r="AR200" s="10">
        <v>700</v>
      </c>
      <c r="AS200" s="56">
        <f t="shared" si="83"/>
        <v>2</v>
      </c>
      <c r="AU200" s="11">
        <f ca="1">IFERROR(OFFSET(ITEM_RES!$A$1,MATCH(AV200,ITEM_RES!$J:$J,0)-1,0),0)</f>
        <v>211020801</v>
      </c>
      <c r="AV200" s="10" t="s">
        <v>392</v>
      </c>
      <c r="AW200" s="11">
        <v>1</v>
      </c>
      <c r="AZ200" s="11">
        <f ca="1">IFERROR(OFFSET(ITEM_RES!$A$1,MATCH(BA200,ITEM_RES!$J:$J,0)-1,0),0)</f>
        <v>211020901</v>
      </c>
      <c r="BA200" s="10" t="s">
        <v>393</v>
      </c>
      <c r="BB200" s="11">
        <v>1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O200" s="11">
        <f ca="1">IFERROR(OFFSET(ITEM_RES!$A$1,MATCH(BP200,ITEM_RES!$J:$J,0)-1,0),0)</f>
        <v>0</v>
      </c>
      <c r="BQ200" s="11">
        <f t="shared" si="84"/>
        <v>0</v>
      </c>
    </row>
    <row r="201" spans="1:70" x14ac:dyDescent="0.3">
      <c r="A201" s="14">
        <f t="shared" si="77"/>
        <v>113010017</v>
      </c>
      <c r="B201" s="13">
        <v>11</v>
      </c>
      <c r="C201" s="12">
        <f t="shared" si="78"/>
        <v>3</v>
      </c>
      <c r="D201" s="13">
        <v>1</v>
      </c>
      <c r="E201" s="13">
        <v>0</v>
      </c>
      <c r="F201" s="12">
        <f t="shared" si="79"/>
        <v>17</v>
      </c>
      <c r="H201" s="9">
        <v>3</v>
      </c>
      <c r="I201" s="9">
        <v>17</v>
      </c>
      <c r="K201" s="56" t="s">
        <v>503</v>
      </c>
      <c r="L201" s="56"/>
      <c r="M201" s="56" t="s">
        <v>1019</v>
      </c>
      <c r="N201" s="56"/>
      <c r="O201" s="9">
        <v>0</v>
      </c>
      <c r="P201" s="9">
        <v>15</v>
      </c>
      <c r="Q201" s="9" t="s">
        <v>1163</v>
      </c>
      <c r="U201" s="9" t="s">
        <v>706</v>
      </c>
      <c r="X201" s="9">
        <f ca="1">IFERROR(OFFSET(ITEM_RES!$A$5,MATCH(BUILDING!W201,ITEM_RES!$J$5:$J$226,0)-1,0),0)</f>
        <v>0</v>
      </c>
      <c r="AA201" s="9">
        <f ca="1">IFERROR(OFFSET(ITEM_RES!$A$5,MATCH(BUILDING!Z201,ITEM_RES!$J$5:$J$226,0)-1,0),0)</f>
        <v>0</v>
      </c>
      <c r="AC201" s="9" t="s">
        <v>517</v>
      </c>
      <c r="AD201" s="9">
        <v>17</v>
      </c>
      <c r="AF201" s="11">
        <f ca="1">IFERROR(OFFSET(MANOR_LEVEL!$B$1,MATCH(AG201-1,MANOR_LEVEL!$A:$A,0)-1,0),0)</f>
        <v>12172400</v>
      </c>
      <c r="AG201" s="56">
        <v>18</v>
      </c>
      <c r="AI201" s="56">
        <f t="shared" ca="1" si="74"/>
        <v>1700</v>
      </c>
      <c r="AJ201" s="10">
        <f ca="1">AO201+AQ201+(IFERROR(OFFSET(ITEM_RES!$S$1,MATCH(AU201,ITEM_RES!$A:$A,0)-1,0),0)*AW201+IFERROR(OFFSET(ITEM_RES!$S$1,MATCH(AZ201,ITEM_RES!$A:$A,0)-1,0),0)*BB201+IFERROR(OFFSET(ITEM_RES!$S$1,MATCH(BE201,ITEM_RES!$A:$A,0)-1,0),0)*BG201+IFERROR(OFFSET(ITEM_RES!$S$1,MATCH(BJ201,ITEM_RES!$A:$A,0)-1,0),0)*BL201+IFERROR(OFFSET(ITEM_RES!$S$1,MATCH(BO201,ITEM_RES!$A:$A,0)-1,0),0)*BQ201)/1000</f>
        <v>1700.3</v>
      </c>
      <c r="AK201" s="183">
        <f t="shared" ca="1" si="85"/>
        <v>3100</v>
      </c>
      <c r="AM201" s="11">
        <f t="shared" si="80"/>
        <v>85</v>
      </c>
      <c r="AN201" s="10">
        <v>85</v>
      </c>
      <c r="AO201" s="11">
        <f t="shared" si="81"/>
        <v>850</v>
      </c>
      <c r="AP201" s="10">
        <v>850</v>
      </c>
      <c r="AQ201" s="11">
        <f t="shared" si="82"/>
        <v>850</v>
      </c>
      <c r="AR201" s="10">
        <v>850</v>
      </c>
      <c r="AS201" s="56">
        <f t="shared" si="83"/>
        <v>2</v>
      </c>
      <c r="AU201" s="11">
        <f ca="1">IFERROR(OFFSET(ITEM_RES!$A$1,MATCH(AV201,ITEM_RES!$J:$J,0)-1,0),0)</f>
        <v>211020801</v>
      </c>
      <c r="AV201" s="10" t="s">
        <v>392</v>
      </c>
      <c r="AW201" s="11">
        <v>1</v>
      </c>
      <c r="AZ201" s="11">
        <f ca="1">IFERROR(OFFSET(ITEM_RES!$A$1,MATCH(BA201,ITEM_RES!$J:$J,0)-1,0),0)</f>
        <v>211020901</v>
      </c>
      <c r="BA201" s="10" t="s">
        <v>393</v>
      </c>
      <c r="BB201" s="11">
        <v>1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O201" s="11">
        <f ca="1">IFERROR(OFFSET(ITEM_RES!$A$1,MATCH(BP201,ITEM_RES!$J:$J,0)-1,0),0)</f>
        <v>0</v>
      </c>
      <c r="BQ201" s="11">
        <f t="shared" si="84"/>
        <v>0</v>
      </c>
    </row>
    <row r="202" spans="1:70" x14ac:dyDescent="0.3">
      <c r="A202" s="14">
        <f t="shared" si="77"/>
        <v>113010018</v>
      </c>
      <c r="B202" s="13">
        <v>11</v>
      </c>
      <c r="C202" s="12">
        <f t="shared" si="78"/>
        <v>3</v>
      </c>
      <c r="D202" s="13">
        <v>1</v>
      </c>
      <c r="E202" s="13">
        <v>0</v>
      </c>
      <c r="F202" s="12">
        <f t="shared" si="79"/>
        <v>18</v>
      </c>
      <c r="H202" s="9">
        <v>3</v>
      </c>
      <c r="I202" s="9">
        <v>18</v>
      </c>
      <c r="K202" s="56" t="s">
        <v>503</v>
      </c>
      <c r="L202" s="56"/>
      <c r="M202" s="56" t="s">
        <v>1019</v>
      </c>
      <c r="N202" s="56"/>
      <c r="O202" s="9">
        <v>0</v>
      </c>
      <c r="P202" s="9">
        <v>15</v>
      </c>
      <c r="Q202" s="9" t="s">
        <v>1163</v>
      </c>
      <c r="U202" s="9" t="s">
        <v>706</v>
      </c>
      <c r="X202" s="9">
        <f ca="1">IFERROR(OFFSET(ITEM_RES!$A$5,MATCH(BUILDING!W202,ITEM_RES!$J$5:$J$226,0)-1,0),0)</f>
        <v>0</v>
      </c>
      <c r="AA202" s="9">
        <f ca="1">IFERROR(OFFSET(ITEM_RES!$A$5,MATCH(BUILDING!Z202,ITEM_RES!$J$5:$J$226,0)-1,0),0)</f>
        <v>0</v>
      </c>
      <c r="AC202" s="9" t="s">
        <v>517</v>
      </c>
      <c r="AD202" s="9">
        <v>18</v>
      </c>
      <c r="AF202" s="11">
        <f ca="1">IFERROR(OFFSET(MANOR_LEVEL!$B$1,MATCH(AG202-1,MANOR_LEVEL!$A:$A,0)-1,0),0)</f>
        <v>12172400</v>
      </c>
      <c r="AG202" s="56">
        <v>18</v>
      </c>
      <c r="AI202" s="56">
        <f t="shared" ca="1" si="74"/>
        <v>2100</v>
      </c>
      <c r="AJ202" s="10">
        <f ca="1">AO202+AQ202+(IFERROR(OFFSET(ITEM_RES!$S$1,MATCH(AU202,ITEM_RES!$A:$A,0)-1,0),0)*AW202+IFERROR(OFFSET(ITEM_RES!$S$1,MATCH(AZ202,ITEM_RES!$A:$A,0)-1,0),0)*BB202+IFERROR(OFFSET(ITEM_RES!$S$1,MATCH(BE202,ITEM_RES!$A:$A,0)-1,0),0)*BG202+IFERROR(OFFSET(ITEM_RES!$S$1,MATCH(BJ202,ITEM_RES!$A:$A,0)-1,0),0)*BL202+IFERROR(OFFSET(ITEM_RES!$S$1,MATCH(BO202,ITEM_RES!$A:$A,0)-1,0),0)*BQ202)/1000</f>
        <v>2100.3000000000002</v>
      </c>
      <c r="AK202" s="183">
        <f t="shared" ca="1" si="85"/>
        <v>3800</v>
      </c>
      <c r="AM202" s="11">
        <f t="shared" si="80"/>
        <v>90</v>
      </c>
      <c r="AN202" s="10">
        <v>90</v>
      </c>
      <c r="AO202" s="11">
        <f t="shared" si="81"/>
        <v>1050</v>
      </c>
      <c r="AP202" s="10">
        <v>1050</v>
      </c>
      <c r="AQ202" s="11">
        <f t="shared" si="82"/>
        <v>1050</v>
      </c>
      <c r="AR202" s="10">
        <v>1050</v>
      </c>
      <c r="AS202" s="56">
        <f t="shared" si="83"/>
        <v>2</v>
      </c>
      <c r="AU202" s="11">
        <f ca="1">IFERROR(OFFSET(ITEM_RES!$A$1,MATCH(AV202,ITEM_RES!$J:$J,0)-1,0),0)</f>
        <v>211020801</v>
      </c>
      <c r="AV202" s="10" t="s">
        <v>392</v>
      </c>
      <c r="AW202" s="11">
        <v>1</v>
      </c>
      <c r="AZ202" s="11">
        <f ca="1">IFERROR(OFFSET(ITEM_RES!$A$1,MATCH(BA202,ITEM_RES!$J:$J,0)-1,0),0)</f>
        <v>211020901</v>
      </c>
      <c r="BA202" s="10" t="s">
        <v>393</v>
      </c>
      <c r="BB202" s="11">
        <v>1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O202" s="11">
        <f ca="1">IFERROR(OFFSET(ITEM_RES!$A$1,MATCH(BP202,ITEM_RES!$J:$J,0)-1,0),0)</f>
        <v>0</v>
      </c>
      <c r="BQ202" s="11">
        <f t="shared" si="84"/>
        <v>0</v>
      </c>
    </row>
    <row r="203" spans="1:70" x14ac:dyDescent="0.3">
      <c r="A203" s="14">
        <f t="shared" si="77"/>
        <v>113010019</v>
      </c>
      <c r="B203" s="13">
        <v>11</v>
      </c>
      <c r="C203" s="12">
        <f t="shared" si="78"/>
        <v>3</v>
      </c>
      <c r="D203" s="13">
        <v>1</v>
      </c>
      <c r="E203" s="13">
        <v>0</v>
      </c>
      <c r="F203" s="12">
        <f t="shared" si="79"/>
        <v>19</v>
      </c>
      <c r="H203" s="9">
        <v>3</v>
      </c>
      <c r="I203" s="9">
        <v>19</v>
      </c>
      <c r="K203" s="56" t="s">
        <v>503</v>
      </c>
      <c r="L203" s="56"/>
      <c r="M203" s="56" t="s">
        <v>1019</v>
      </c>
      <c r="N203" s="56"/>
      <c r="O203" s="9">
        <v>0</v>
      </c>
      <c r="P203" s="9">
        <v>15</v>
      </c>
      <c r="Q203" s="9" t="s">
        <v>1163</v>
      </c>
      <c r="U203" s="9" t="s">
        <v>706</v>
      </c>
      <c r="X203" s="9">
        <f ca="1">IFERROR(OFFSET(ITEM_RES!$A$5,MATCH(BUILDING!W203,ITEM_RES!$J$5:$J$226,0)-1,0),0)</f>
        <v>0</v>
      </c>
      <c r="AA203" s="9">
        <f ca="1">IFERROR(OFFSET(ITEM_RES!$A$5,MATCH(BUILDING!Z203,ITEM_RES!$J$5:$J$226,0)-1,0),0)</f>
        <v>0</v>
      </c>
      <c r="AC203" s="9" t="s">
        <v>517</v>
      </c>
      <c r="AD203" s="9">
        <v>19</v>
      </c>
      <c r="AF203" s="11">
        <f ca="1">IFERROR(OFFSET(MANOR_LEVEL!$B$1,MATCH(AG203-1,MANOR_LEVEL!$A:$A,0)-1,0),0)</f>
        <v>12172400</v>
      </c>
      <c r="AG203" s="56">
        <v>18</v>
      </c>
      <c r="AI203" s="56">
        <f t="shared" ca="1" si="74"/>
        <v>2500</v>
      </c>
      <c r="AJ203" s="10">
        <f ca="1">AO203+AQ203+(IFERROR(OFFSET(ITEM_RES!$S$1,MATCH(AU203,ITEM_RES!$A:$A,0)-1,0),0)*AW203+IFERROR(OFFSET(ITEM_RES!$S$1,MATCH(AZ203,ITEM_RES!$A:$A,0)-1,0),0)*BB203+IFERROR(OFFSET(ITEM_RES!$S$1,MATCH(BE203,ITEM_RES!$A:$A,0)-1,0),0)*BG203+IFERROR(OFFSET(ITEM_RES!$S$1,MATCH(BJ203,ITEM_RES!$A:$A,0)-1,0),0)*BL203+IFERROR(OFFSET(ITEM_RES!$S$1,MATCH(BO203,ITEM_RES!$A:$A,0)-1,0),0)*BQ203)/1000</f>
        <v>2500.4</v>
      </c>
      <c r="AK203" s="183">
        <f t="shared" ca="1" si="85"/>
        <v>4600</v>
      </c>
      <c r="AM203" s="11">
        <f t="shared" si="80"/>
        <v>95</v>
      </c>
      <c r="AN203" s="10">
        <v>95</v>
      </c>
      <c r="AO203" s="11">
        <f t="shared" si="81"/>
        <v>1250</v>
      </c>
      <c r="AP203" s="10">
        <v>1250</v>
      </c>
      <c r="AQ203" s="11">
        <f t="shared" si="82"/>
        <v>1250</v>
      </c>
      <c r="AR203" s="10">
        <v>1250</v>
      </c>
      <c r="AS203" s="56">
        <f t="shared" si="83"/>
        <v>2</v>
      </c>
      <c r="AU203" s="11">
        <f ca="1">IFERROR(OFFSET(ITEM_RES!$A$1,MATCH(AV203,ITEM_RES!$J:$J,0)-1,0),0)</f>
        <v>211020901</v>
      </c>
      <c r="AV203" s="10" t="s">
        <v>393</v>
      </c>
      <c r="AW203" s="11">
        <v>1</v>
      </c>
      <c r="AZ203" s="11">
        <f ca="1">IFERROR(OFFSET(ITEM_RES!$A$1,MATCH(BA203,ITEM_RES!$J:$J,0)-1,0),0)</f>
        <v>211020501</v>
      </c>
      <c r="BA203" s="10" t="s">
        <v>424</v>
      </c>
      <c r="BB203" s="11">
        <v>1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O203" s="11">
        <f ca="1">IFERROR(OFFSET(ITEM_RES!$A$1,MATCH(BP203,ITEM_RES!$J:$J,0)-1,0),0)</f>
        <v>0</v>
      </c>
      <c r="BQ203" s="11">
        <f t="shared" si="84"/>
        <v>0</v>
      </c>
    </row>
    <row r="204" spans="1:70" ht="17.25" thickBot="1" x14ac:dyDescent="0.35">
      <c r="A204" s="14">
        <f t="shared" si="77"/>
        <v>113010020</v>
      </c>
      <c r="B204" s="13">
        <v>11</v>
      </c>
      <c r="C204" s="12">
        <f t="shared" si="78"/>
        <v>3</v>
      </c>
      <c r="D204" s="13">
        <v>1</v>
      </c>
      <c r="E204" s="13">
        <v>0</v>
      </c>
      <c r="F204" s="12">
        <f t="shared" si="79"/>
        <v>20</v>
      </c>
      <c r="H204" s="9">
        <v>3</v>
      </c>
      <c r="I204" s="9">
        <v>20</v>
      </c>
      <c r="K204" s="56" t="s">
        <v>503</v>
      </c>
      <c r="L204" s="56"/>
      <c r="M204" s="56" t="s">
        <v>1019</v>
      </c>
      <c r="N204" s="56"/>
      <c r="O204" s="9">
        <v>0</v>
      </c>
      <c r="P204" s="9">
        <v>15</v>
      </c>
      <c r="Q204" s="9" t="s">
        <v>1163</v>
      </c>
      <c r="U204" s="9" t="s">
        <v>706</v>
      </c>
      <c r="X204" s="9">
        <f ca="1">IFERROR(OFFSET(ITEM_RES!$A$5,MATCH(BUILDING!W204,ITEM_RES!$J$5:$J$226,0)-1,0),0)</f>
        <v>0</v>
      </c>
      <c r="AA204" s="9">
        <f ca="1">IFERROR(OFFSET(ITEM_RES!$A$5,MATCH(BUILDING!Z204,ITEM_RES!$J$5:$J$226,0)-1,0),0)</f>
        <v>0</v>
      </c>
      <c r="AC204" s="9" t="s">
        <v>517</v>
      </c>
      <c r="AD204" s="9">
        <v>20</v>
      </c>
      <c r="AF204" s="11">
        <f ca="1">IFERROR(OFFSET(MANOR_LEVEL!$B$1,MATCH(AG204-1,MANOR_LEVEL!$A:$A,0)-1,0),0)</f>
        <v>12172400</v>
      </c>
      <c r="AG204" s="56">
        <v>18</v>
      </c>
      <c r="AI204" s="56">
        <f t="shared" ca="1" si="74"/>
        <v>3000</v>
      </c>
      <c r="AJ204" s="10">
        <f ca="1">AO204+AQ204+(IFERROR(OFFSET(ITEM_RES!$S$1,MATCH(AU204,ITEM_RES!$A:$A,0)-1,0),0)*AW204+IFERROR(OFFSET(ITEM_RES!$S$1,MATCH(AZ204,ITEM_RES!$A:$A,0)-1,0),0)*BB204+IFERROR(OFFSET(ITEM_RES!$S$1,MATCH(BE204,ITEM_RES!$A:$A,0)-1,0),0)*BG204+IFERROR(OFFSET(ITEM_RES!$S$1,MATCH(BJ204,ITEM_RES!$A:$A,0)-1,0),0)*BL204+IFERROR(OFFSET(ITEM_RES!$S$1,MATCH(BO204,ITEM_RES!$A:$A,0)-1,0),0)*BQ204)/1000</f>
        <v>3000.4</v>
      </c>
      <c r="AK204" s="183">
        <f t="shared" ca="1" si="85"/>
        <v>5500</v>
      </c>
      <c r="AM204" s="11">
        <f t="shared" si="80"/>
        <v>100</v>
      </c>
      <c r="AN204" s="10">
        <v>100</v>
      </c>
      <c r="AO204" s="11">
        <f t="shared" si="81"/>
        <v>1500</v>
      </c>
      <c r="AP204" s="10">
        <v>1500</v>
      </c>
      <c r="AQ204" s="11">
        <f t="shared" si="82"/>
        <v>1500</v>
      </c>
      <c r="AR204" s="10">
        <v>1500</v>
      </c>
      <c r="AS204" s="56">
        <f t="shared" si="83"/>
        <v>2</v>
      </c>
      <c r="AU204" s="11">
        <f ca="1">IFERROR(OFFSET(ITEM_RES!$A$1,MATCH(AV204,ITEM_RES!$J:$J,0)-1,0),0)</f>
        <v>211020901</v>
      </c>
      <c r="AV204" s="10" t="s">
        <v>504</v>
      </c>
      <c r="AW204" s="11">
        <v>1</v>
      </c>
      <c r="AZ204" s="11">
        <f ca="1">IFERROR(OFFSET(ITEM_RES!$A$1,MATCH(BA204,ITEM_RES!$J:$J,0)-1,0),0)</f>
        <v>211020501</v>
      </c>
      <c r="BA204" s="10" t="s">
        <v>424</v>
      </c>
      <c r="BB204" s="11">
        <v>1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O204" s="11">
        <f ca="1">IFERROR(OFFSET(ITEM_RES!$A$1,MATCH(BP204,ITEM_RES!$J:$J,0)-1,0),0)</f>
        <v>0</v>
      </c>
      <c r="BQ204" s="11">
        <f t="shared" si="84"/>
        <v>0</v>
      </c>
    </row>
    <row r="205" spans="1:70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79"/>
      <c r="H205" s="16">
        <v>3</v>
      </c>
      <c r="I205" s="16">
        <v>1</v>
      </c>
      <c r="J205" s="79"/>
      <c r="K205" s="64" t="s">
        <v>570</v>
      </c>
      <c r="L205" s="64">
        <v>5</v>
      </c>
      <c r="M205" s="64" t="s">
        <v>1020</v>
      </c>
      <c r="N205" s="64"/>
      <c r="O205" s="16">
        <v>1</v>
      </c>
      <c r="P205" s="16">
        <v>15</v>
      </c>
      <c r="Q205" s="16" t="s">
        <v>1164</v>
      </c>
      <c r="R205" s="17"/>
      <c r="S205" s="17"/>
      <c r="T205" s="18"/>
      <c r="U205" s="16" t="s">
        <v>707</v>
      </c>
      <c r="V205" s="79"/>
      <c r="W205" s="87"/>
      <c r="X205" s="16">
        <f ca="1">IFERROR(OFFSET(ITEM_RES!$A$5,MATCH(BUILDING!W205,ITEM_RES!$J$5:$J$226,0)-1,0),0)</f>
        <v>0</v>
      </c>
      <c r="Y205" s="18"/>
      <c r="Z205" s="87"/>
      <c r="AA205" s="16">
        <f ca="1">IFERROR(OFFSET(ITEM_RES!$A$5,MATCH(BUILDING!Z205,ITEM_RES!$J$5:$J$226,0)-1,0),0)</f>
        <v>0</v>
      </c>
      <c r="AB205" s="79"/>
      <c r="AC205" s="16" t="s">
        <v>571</v>
      </c>
      <c r="AD205" s="16">
        <v>1</v>
      </c>
      <c r="AE205" s="79"/>
      <c r="AF205" s="18">
        <f ca="1">IFERROR(OFFSET(MANOR_LEVEL!$B$1,MATCH(AG205-1,MANOR_LEVEL!$A:$A,0)-1,0),0)</f>
        <v>1500</v>
      </c>
      <c r="AG205" s="57">
        <v>5</v>
      </c>
      <c r="AH205" s="79"/>
      <c r="AI205" s="57">
        <f t="shared" ca="1" si="74"/>
        <v>110</v>
      </c>
      <c r="AJ205" s="17">
        <f ca="1">AO205+AQ205+(IFERROR(OFFSET(ITEM_RES!$S$1,MATCH(AU205,ITEM_RES!$A:$A,0)-1,0),0)*AW205+IFERROR(OFFSET(ITEM_RES!$S$1,MATCH(AZ205,ITEM_RES!$A:$A,0)-1,0),0)*BB205+IFERROR(OFFSET(ITEM_RES!$S$1,MATCH(BE205,ITEM_RES!$A:$A,0)-1,0),0)*BG205+IFERROR(OFFSET(ITEM_RES!$S$1,MATCH(BJ205,ITEM_RES!$A:$A,0)-1,0),0)*BL205+IFERROR(OFFSET(ITEM_RES!$S$1,MATCH(BO205,ITEM_RES!$A:$A,0)-1,0),0)*BQ205)/1000</f>
        <v>110.1</v>
      </c>
      <c r="AK205" s="185">
        <f ca="1">AI205</f>
        <v>110</v>
      </c>
      <c r="AL205" s="79"/>
      <c r="AM205" s="18">
        <f t="shared" ref="AM205:AM224" si="89">ROUND(AN205,0)</f>
        <v>5</v>
      </c>
      <c r="AN205" s="17">
        <v>5</v>
      </c>
      <c r="AO205" s="18">
        <f t="shared" ref="AO205:AO224" si="90">ROUND(AP205,0)</f>
        <v>5</v>
      </c>
      <c r="AP205" s="17">
        <v>5</v>
      </c>
      <c r="AQ205" s="18">
        <f t="shared" ref="AQ205:AQ224" si="91">ROUND(AR205,0)</f>
        <v>5</v>
      </c>
      <c r="AR205" s="17">
        <v>5</v>
      </c>
      <c r="AS205" s="57">
        <f t="shared" ref="AS205:AS224" si="92">(AW205&gt;0)*1+(BB205&gt;0)*1+(BG205&gt;0)*1+(BL205&gt;0)*1+(BQ205&gt;0)*1</f>
        <v>2</v>
      </c>
      <c r="AT205" s="18"/>
      <c r="AU205" s="18">
        <f ca="1">IFERROR(OFFSET(ITEM_RES!$A$1,MATCH(AV205,ITEM_RES!$J:$J,0)-1,0),0)</f>
        <v>211020801</v>
      </c>
      <c r="AV205" s="17" t="s">
        <v>392</v>
      </c>
      <c r="AW205" s="18">
        <v>1</v>
      </c>
      <c r="AX205" s="17"/>
      <c r="AY205" s="18"/>
      <c r="AZ205" s="18">
        <f ca="1">IFERROR(OFFSET(ITEM_RES!$A$1,MATCH(BA205,ITEM_RES!$J:$J,0)-1,0),0)</f>
        <v>0</v>
      </c>
      <c r="BA205" s="17"/>
      <c r="BB205" s="18"/>
      <c r="BC205" s="17"/>
      <c r="BD205" s="18"/>
      <c r="BE205" s="18">
        <f ca="1">IFERROR(OFFSET(ITEM_RES!$A$1,MATCH(BF205,ITEM_RES!$J:$J,0)-1,0),0)</f>
        <v>213010101</v>
      </c>
      <c r="BF205" s="17" t="s">
        <v>395</v>
      </c>
      <c r="BG205" s="18">
        <v>1</v>
      </c>
      <c r="BH205" s="17"/>
      <c r="BI205" s="18"/>
      <c r="BJ205" s="18">
        <f ca="1">IFERROR(OFFSET(ITEM_RES!$A$1,MATCH(BK205,ITEM_RES!$J:$J,0)-1,0),0)</f>
        <v>0</v>
      </c>
      <c r="BK205" s="17"/>
      <c r="BL205" s="18"/>
      <c r="BM205" s="17"/>
      <c r="BN205" s="18"/>
      <c r="BO205" s="18">
        <f ca="1">IFERROR(OFFSET(ITEM_RES!$A$1,MATCH(BP205,ITEM_RES!$J:$J,0)-1,0),0)</f>
        <v>0</v>
      </c>
      <c r="BP205" s="17"/>
      <c r="BQ205" s="18">
        <f t="shared" ref="BQ205:BQ224" si="93">IF(BR205&lt;100,ROUND(BR205,1-LEN(ROUND(BR205,0))),ROUND(BR205,2-LEN(ROUND(BR205,0))))</f>
        <v>0</v>
      </c>
      <c r="BR205" s="17"/>
    </row>
    <row r="206" spans="1:70" s="14" customFormat="1" x14ac:dyDescent="0.15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G206" s="186"/>
      <c r="H206" s="9">
        <v>3</v>
      </c>
      <c r="I206" s="9">
        <v>2</v>
      </c>
      <c r="J206" s="186"/>
      <c r="K206" s="56" t="s">
        <v>570</v>
      </c>
      <c r="L206" s="56"/>
      <c r="M206" s="56" t="s">
        <v>1020</v>
      </c>
      <c r="N206" s="56"/>
      <c r="O206" s="9">
        <v>1</v>
      </c>
      <c r="P206" s="9">
        <v>15</v>
      </c>
      <c r="Q206" s="9" t="s">
        <v>1164</v>
      </c>
      <c r="R206" s="10"/>
      <c r="S206" s="10"/>
      <c r="T206" s="11"/>
      <c r="U206" s="9" t="s">
        <v>707</v>
      </c>
      <c r="V206" s="186"/>
      <c r="W206" s="85"/>
      <c r="X206" s="9">
        <f ca="1">IFERROR(OFFSET(ITEM_RES!$A$5,MATCH(BUILDING!W206,ITEM_RES!$J$5:$J$226,0)-1,0),0)</f>
        <v>0</v>
      </c>
      <c r="Y206" s="11"/>
      <c r="Z206" s="85"/>
      <c r="AA206" s="9">
        <f ca="1">IFERROR(OFFSET(ITEM_RES!$A$5,MATCH(BUILDING!Z206,ITEM_RES!$J$5:$J$226,0)-1,0),0)</f>
        <v>0</v>
      </c>
      <c r="AB206" s="186"/>
      <c r="AC206" s="9" t="s">
        <v>571</v>
      </c>
      <c r="AD206" s="9">
        <v>2</v>
      </c>
      <c r="AE206" s="186"/>
      <c r="AF206" s="11">
        <f ca="1">IFERROR(OFFSET(MANOR_LEVEL!$B$1,MATCH(AG206-1,MANOR_LEVEL!$A:$A,0)-1,0),0)</f>
        <v>1500</v>
      </c>
      <c r="AG206" s="56">
        <v>5</v>
      </c>
      <c r="AH206" s="186"/>
      <c r="AI206" s="56">
        <f t="shared" ca="1" si="74"/>
        <v>20</v>
      </c>
      <c r="AJ206" s="10">
        <f ca="1">AO206+AQ206+(IFERROR(OFFSET(ITEM_RES!$S$1,MATCH(AU206,ITEM_RES!$A:$A,0)-1,0),0)*AW206+IFERROR(OFFSET(ITEM_RES!$S$1,MATCH(AZ206,ITEM_RES!$A:$A,0)-1,0),0)*BB206+IFERROR(OFFSET(ITEM_RES!$S$1,MATCH(BE206,ITEM_RES!$A:$A,0)-1,0),0)*BG206+IFERROR(OFFSET(ITEM_RES!$S$1,MATCH(BJ206,ITEM_RES!$A:$A,0)-1,0),0)*BL206+IFERROR(OFFSET(ITEM_RES!$S$1,MATCH(BO206,ITEM_RES!$A:$A,0)-1,0),0)*BQ206)/1000</f>
        <v>20.100000000000001</v>
      </c>
      <c r="AK206" s="183">
        <f ca="1">AI205+AI206</f>
        <v>130</v>
      </c>
      <c r="AL206" s="186"/>
      <c r="AM206" s="11">
        <f t="shared" si="89"/>
        <v>10</v>
      </c>
      <c r="AN206" s="10">
        <v>10</v>
      </c>
      <c r="AO206" s="11">
        <f t="shared" si="90"/>
        <v>10</v>
      </c>
      <c r="AP206" s="10">
        <v>10</v>
      </c>
      <c r="AQ206" s="11">
        <f t="shared" si="91"/>
        <v>10</v>
      </c>
      <c r="AR206" s="10">
        <v>10</v>
      </c>
      <c r="AS206" s="56">
        <f t="shared" si="92"/>
        <v>1</v>
      </c>
      <c r="AT206" s="11"/>
      <c r="AU206" s="11">
        <f ca="1">IFERROR(OFFSET(ITEM_RES!$A$1,MATCH(AV206,ITEM_RES!$J:$J,0)-1,0),0)</f>
        <v>211020801</v>
      </c>
      <c r="AV206" s="10" t="s">
        <v>392</v>
      </c>
      <c r="AW206" s="11">
        <v>1</v>
      </c>
      <c r="AX206" s="10"/>
      <c r="AY206" s="11"/>
      <c r="AZ206" s="11">
        <f ca="1">IFERROR(OFFSET(ITEM_RES!$A$1,MATCH(BA206,ITEM_RES!$J:$J,0)-1,0),0)</f>
        <v>0</v>
      </c>
      <c r="BA206" s="10"/>
      <c r="BB206" s="11"/>
      <c r="BC206" s="10"/>
      <c r="BD206" s="11"/>
      <c r="BE206" s="11">
        <f ca="1">IFERROR(OFFSET(ITEM_RES!$A$1,MATCH(BF206,ITEM_RES!$J:$J,0)-1,0),0)</f>
        <v>0</v>
      </c>
      <c r="BF206" s="10"/>
      <c r="BG206" s="11"/>
      <c r="BH206" s="10"/>
      <c r="BI206" s="11"/>
      <c r="BJ206" s="11">
        <f ca="1">IFERROR(OFFSET(ITEM_RES!$A$1,MATCH(BK206,ITEM_RES!$J:$J,0)-1,0),0)</f>
        <v>0</v>
      </c>
      <c r="BK206" s="10"/>
      <c r="BL206" s="11"/>
      <c r="BM206" s="10"/>
      <c r="BN206" s="11"/>
      <c r="BO206" s="11">
        <f ca="1">IFERROR(OFFSET(ITEM_RES!$A$1,MATCH(BP206,ITEM_RES!$J:$J,0)-1,0),0)</f>
        <v>0</v>
      </c>
      <c r="BP206" s="10"/>
      <c r="BQ206" s="11">
        <f t="shared" si="93"/>
        <v>0</v>
      </c>
      <c r="BR206" s="10"/>
    </row>
    <row r="207" spans="1:70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570</v>
      </c>
      <c r="L207" s="56"/>
      <c r="M207" s="56" t="s">
        <v>1020</v>
      </c>
      <c r="N207" s="56"/>
      <c r="O207" s="9">
        <v>1</v>
      </c>
      <c r="P207" s="9">
        <v>15</v>
      </c>
      <c r="Q207" s="9" t="s">
        <v>1164</v>
      </c>
      <c r="U207" s="9" t="s">
        <v>707</v>
      </c>
      <c r="X207" s="9">
        <f ca="1">IFERROR(OFFSET(ITEM_RES!$A$5,MATCH(BUILDING!W207,ITEM_RES!$J$5:$J$226,0)-1,0),0)</f>
        <v>0</v>
      </c>
      <c r="AA207" s="9">
        <f ca="1">IFERROR(OFFSET(ITEM_RES!$A$5,MATCH(BUILDING!Z207,ITEM_RES!$J$5:$J$226,0)-1,0),0)</f>
        <v>0</v>
      </c>
      <c r="AC207" s="9" t="s">
        <v>571</v>
      </c>
      <c r="AD207" s="9">
        <v>3</v>
      </c>
      <c r="AF207" s="11">
        <f ca="1">IFERROR(OFFSET(MANOR_LEVEL!$B$1,MATCH(AG207-1,MANOR_LEVEL!$A:$A,0)-1,0),0)</f>
        <v>1500</v>
      </c>
      <c r="AG207" s="56">
        <v>5</v>
      </c>
      <c r="AI207" s="56">
        <f t="shared" ca="1" si="74"/>
        <v>30</v>
      </c>
      <c r="AJ207" s="10">
        <f ca="1">AO207+AQ207+(IFERROR(OFFSET(ITEM_RES!$S$1,MATCH(AU207,ITEM_RES!$A:$A,0)-1,0),0)*AW207+IFERROR(OFFSET(ITEM_RES!$S$1,MATCH(AZ207,ITEM_RES!$A:$A,0)-1,0),0)*BB207+IFERROR(OFFSET(ITEM_RES!$S$1,MATCH(BE207,ITEM_RES!$A:$A,0)-1,0),0)*BG207+IFERROR(OFFSET(ITEM_RES!$S$1,MATCH(BJ207,ITEM_RES!$A:$A,0)-1,0),0)*BL207+IFERROR(OFFSET(ITEM_RES!$S$1,MATCH(BO207,ITEM_RES!$A:$A,0)-1,0),0)*BQ207)/1000</f>
        <v>30.1</v>
      </c>
      <c r="AK207" s="183">
        <f t="shared" ref="AK207:AK224" ca="1" si="94">AI206+AI207</f>
        <v>50</v>
      </c>
      <c r="AM207" s="11">
        <f t="shared" si="89"/>
        <v>15</v>
      </c>
      <c r="AN207" s="10">
        <v>15</v>
      </c>
      <c r="AO207" s="11">
        <f t="shared" si="90"/>
        <v>15</v>
      </c>
      <c r="AP207" s="10">
        <v>15</v>
      </c>
      <c r="AQ207" s="11">
        <f t="shared" si="91"/>
        <v>15</v>
      </c>
      <c r="AR207" s="10">
        <v>15</v>
      </c>
      <c r="AS207" s="56">
        <f t="shared" si="92"/>
        <v>1</v>
      </c>
      <c r="AU207" s="11">
        <f ca="1">IFERROR(OFFSET(ITEM_RES!$A$1,MATCH(AV207,ITEM_RES!$J:$J,0)-1,0),0)</f>
        <v>211020801</v>
      </c>
      <c r="AV207" s="10" t="s">
        <v>392</v>
      </c>
      <c r="AW207" s="11">
        <v>1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O207" s="11">
        <f ca="1">IFERROR(OFFSET(ITEM_RES!$A$1,MATCH(BP207,ITEM_RES!$J:$J,0)-1,0),0)</f>
        <v>0</v>
      </c>
      <c r="BQ207" s="11">
        <f t="shared" si="93"/>
        <v>0</v>
      </c>
    </row>
    <row r="208" spans="1:70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570</v>
      </c>
      <c r="L208" s="56"/>
      <c r="M208" s="56" t="s">
        <v>1020</v>
      </c>
      <c r="N208" s="56"/>
      <c r="O208" s="9">
        <v>1</v>
      </c>
      <c r="P208" s="9">
        <v>15</v>
      </c>
      <c r="Q208" s="9" t="s">
        <v>1164</v>
      </c>
      <c r="U208" s="9" t="s">
        <v>707</v>
      </c>
      <c r="X208" s="9">
        <f ca="1">IFERROR(OFFSET(ITEM_RES!$A$5,MATCH(BUILDING!W208,ITEM_RES!$J$5:$J$226,0)-1,0),0)</f>
        <v>0</v>
      </c>
      <c r="AA208" s="9">
        <f ca="1">IFERROR(OFFSET(ITEM_RES!$A$5,MATCH(BUILDING!Z208,ITEM_RES!$J$5:$J$226,0)-1,0),0)</f>
        <v>0</v>
      </c>
      <c r="AC208" s="9" t="s">
        <v>571</v>
      </c>
      <c r="AD208" s="9">
        <v>4</v>
      </c>
      <c r="AF208" s="11">
        <f ca="1">IFERROR(OFFSET(MANOR_LEVEL!$B$1,MATCH(AG208-1,MANOR_LEVEL!$A:$A,0)-1,0),0)</f>
        <v>3872</v>
      </c>
      <c r="AG208" s="56">
        <v>6</v>
      </c>
      <c r="AI208" s="56">
        <f t="shared" ca="1" si="74"/>
        <v>50</v>
      </c>
      <c r="AJ208" s="10">
        <f ca="1">AO208+AQ208+(IFERROR(OFFSET(ITEM_RES!$S$1,MATCH(AU208,ITEM_RES!$A:$A,0)-1,0),0)*AW208+IFERROR(OFFSET(ITEM_RES!$S$1,MATCH(AZ208,ITEM_RES!$A:$A,0)-1,0),0)*BB208+IFERROR(OFFSET(ITEM_RES!$S$1,MATCH(BE208,ITEM_RES!$A:$A,0)-1,0),0)*BG208+IFERROR(OFFSET(ITEM_RES!$S$1,MATCH(BJ208,ITEM_RES!$A:$A,0)-1,0),0)*BL208+IFERROR(OFFSET(ITEM_RES!$S$1,MATCH(BO208,ITEM_RES!$A:$A,0)-1,0),0)*BQ208)/1000</f>
        <v>50.1</v>
      </c>
      <c r="AK208" s="183">
        <f t="shared" ca="1" si="94"/>
        <v>80</v>
      </c>
      <c r="AM208" s="11">
        <f t="shared" si="89"/>
        <v>20</v>
      </c>
      <c r="AN208" s="10">
        <v>20</v>
      </c>
      <c r="AO208" s="11">
        <f t="shared" si="90"/>
        <v>25</v>
      </c>
      <c r="AP208" s="10">
        <v>25</v>
      </c>
      <c r="AQ208" s="11">
        <f t="shared" si="91"/>
        <v>25</v>
      </c>
      <c r="AR208" s="10">
        <v>25</v>
      </c>
      <c r="AS208" s="56">
        <f t="shared" si="92"/>
        <v>1</v>
      </c>
      <c r="AU208" s="11">
        <f ca="1">IFERROR(OFFSET(ITEM_RES!$A$1,MATCH(AV208,ITEM_RES!$J:$J,0)-1,0),0)</f>
        <v>211020801</v>
      </c>
      <c r="AV208" s="10" t="s">
        <v>392</v>
      </c>
      <c r="AW208" s="11">
        <v>1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O208" s="11">
        <f ca="1">IFERROR(OFFSET(ITEM_RES!$A$1,MATCH(BP208,ITEM_RES!$J:$J,0)-1,0),0)</f>
        <v>0</v>
      </c>
      <c r="BQ208" s="11">
        <f t="shared" si="93"/>
        <v>0</v>
      </c>
    </row>
    <row r="209" spans="1:69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570</v>
      </c>
      <c r="L209" s="56"/>
      <c r="M209" s="56" t="s">
        <v>1020</v>
      </c>
      <c r="N209" s="56"/>
      <c r="O209" s="9">
        <v>1</v>
      </c>
      <c r="P209" s="9">
        <v>15</v>
      </c>
      <c r="Q209" s="9" t="s">
        <v>1164</v>
      </c>
      <c r="U209" s="9" t="s">
        <v>707</v>
      </c>
      <c r="X209" s="9">
        <f ca="1">IFERROR(OFFSET(ITEM_RES!$A$5,MATCH(BUILDING!W209,ITEM_RES!$J$5:$J$226,0)-1,0),0)</f>
        <v>0</v>
      </c>
      <c r="AA209" s="9">
        <f ca="1">IFERROR(OFFSET(ITEM_RES!$A$5,MATCH(BUILDING!Z209,ITEM_RES!$J$5:$J$226,0)-1,0),0)</f>
        <v>0</v>
      </c>
      <c r="AC209" s="9" t="s">
        <v>571</v>
      </c>
      <c r="AD209" s="9">
        <v>5</v>
      </c>
      <c r="AF209" s="11">
        <f ca="1">IFERROR(OFFSET(MANOR_LEVEL!$B$1,MATCH(AG209-1,MANOR_LEVEL!$A:$A,0)-1,0),0)</f>
        <v>3872</v>
      </c>
      <c r="AG209" s="56">
        <v>6</v>
      </c>
      <c r="AI209" s="56">
        <f t="shared" ca="1" si="74"/>
        <v>80</v>
      </c>
      <c r="AJ209" s="10">
        <f ca="1">AO209+AQ209+(IFERROR(OFFSET(ITEM_RES!$S$1,MATCH(AU209,ITEM_RES!$A:$A,0)-1,0),0)*AW209+IFERROR(OFFSET(ITEM_RES!$S$1,MATCH(AZ209,ITEM_RES!$A:$A,0)-1,0),0)*BB209+IFERROR(OFFSET(ITEM_RES!$S$1,MATCH(BE209,ITEM_RES!$A:$A,0)-1,0),0)*BG209+IFERROR(OFFSET(ITEM_RES!$S$1,MATCH(BJ209,ITEM_RES!$A:$A,0)-1,0),0)*BL209+IFERROR(OFFSET(ITEM_RES!$S$1,MATCH(BO209,ITEM_RES!$A:$A,0)-1,0),0)*BQ209)/1000</f>
        <v>80.099999999999994</v>
      </c>
      <c r="AK209" s="183">
        <f t="shared" ca="1" si="94"/>
        <v>130</v>
      </c>
      <c r="AM209" s="11">
        <f t="shared" si="89"/>
        <v>25</v>
      </c>
      <c r="AN209" s="10">
        <v>25</v>
      </c>
      <c r="AO209" s="11">
        <f t="shared" si="90"/>
        <v>40</v>
      </c>
      <c r="AP209" s="10">
        <v>40</v>
      </c>
      <c r="AQ209" s="11">
        <f t="shared" si="91"/>
        <v>40</v>
      </c>
      <c r="AR209" s="10">
        <v>40</v>
      </c>
      <c r="AS209" s="56">
        <f t="shared" si="92"/>
        <v>1</v>
      </c>
      <c r="AU209" s="11">
        <f ca="1">IFERROR(OFFSET(ITEM_RES!$A$1,MATCH(AV209,ITEM_RES!$J:$J,0)-1,0),0)</f>
        <v>211020801</v>
      </c>
      <c r="AV209" s="10" t="s">
        <v>392</v>
      </c>
      <c r="AW209" s="11">
        <v>1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O209" s="11">
        <f ca="1">IFERROR(OFFSET(ITEM_RES!$A$1,MATCH(BP209,ITEM_RES!$J:$J,0)-1,0),0)</f>
        <v>0</v>
      </c>
      <c r="BQ209" s="11">
        <f t="shared" si="93"/>
        <v>0</v>
      </c>
    </row>
    <row r="210" spans="1:69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570</v>
      </c>
      <c r="L210" s="56"/>
      <c r="M210" s="56" t="s">
        <v>1020</v>
      </c>
      <c r="N210" s="56"/>
      <c r="O210" s="9">
        <v>1</v>
      </c>
      <c r="P210" s="9">
        <v>15</v>
      </c>
      <c r="Q210" s="9" t="s">
        <v>1164</v>
      </c>
      <c r="U210" s="9" t="s">
        <v>707</v>
      </c>
      <c r="X210" s="9">
        <f ca="1">IFERROR(OFFSET(ITEM_RES!$A$5,MATCH(BUILDING!W210,ITEM_RES!$J$5:$J$226,0)-1,0),0)</f>
        <v>0</v>
      </c>
      <c r="AA210" s="9">
        <f ca="1">IFERROR(OFFSET(ITEM_RES!$A$5,MATCH(BUILDING!Z210,ITEM_RES!$J$5:$J$226,0)-1,0),0)</f>
        <v>0</v>
      </c>
      <c r="AC210" s="9" t="s">
        <v>571</v>
      </c>
      <c r="AD210" s="9">
        <v>6</v>
      </c>
      <c r="AF210" s="11">
        <f ca="1">IFERROR(OFFSET(MANOR_LEVEL!$B$1,MATCH(AG210-1,MANOR_LEVEL!$A:$A,0)-1,0),0)</f>
        <v>3872</v>
      </c>
      <c r="AG210" s="56">
        <v>6</v>
      </c>
      <c r="AI210" s="56">
        <f t="shared" ca="1" si="74"/>
        <v>100</v>
      </c>
      <c r="AJ210" s="10">
        <f ca="1">AO210+AQ210+(IFERROR(OFFSET(ITEM_RES!$S$1,MATCH(AU210,ITEM_RES!$A:$A,0)-1,0),0)*AW210+IFERROR(OFFSET(ITEM_RES!$S$1,MATCH(AZ210,ITEM_RES!$A:$A,0)-1,0),0)*BB210+IFERROR(OFFSET(ITEM_RES!$S$1,MATCH(BE210,ITEM_RES!$A:$A,0)-1,0),0)*BG210+IFERROR(OFFSET(ITEM_RES!$S$1,MATCH(BJ210,ITEM_RES!$A:$A,0)-1,0),0)*BL210+IFERROR(OFFSET(ITEM_RES!$S$1,MATCH(BO210,ITEM_RES!$A:$A,0)-1,0),0)*BQ210)/1000</f>
        <v>100.1</v>
      </c>
      <c r="AK210" s="183">
        <f t="shared" ca="1" si="94"/>
        <v>180</v>
      </c>
      <c r="AM210" s="11">
        <f t="shared" si="89"/>
        <v>30</v>
      </c>
      <c r="AN210" s="10">
        <v>30</v>
      </c>
      <c r="AO210" s="11">
        <f t="shared" si="90"/>
        <v>50</v>
      </c>
      <c r="AP210" s="10">
        <v>50</v>
      </c>
      <c r="AQ210" s="11">
        <f t="shared" si="91"/>
        <v>50</v>
      </c>
      <c r="AR210" s="10">
        <v>50</v>
      </c>
      <c r="AS210" s="56">
        <f t="shared" si="92"/>
        <v>1</v>
      </c>
      <c r="AU210" s="11">
        <f ca="1">IFERROR(OFFSET(ITEM_RES!$A$1,MATCH(AV210,ITEM_RES!$J:$J,0)-1,0),0)</f>
        <v>211020801</v>
      </c>
      <c r="AV210" s="10" t="s">
        <v>392</v>
      </c>
      <c r="AW210" s="11">
        <v>1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O210" s="11">
        <f ca="1">IFERROR(OFFSET(ITEM_RES!$A$1,MATCH(BP210,ITEM_RES!$J:$J,0)-1,0),0)</f>
        <v>0</v>
      </c>
      <c r="BQ210" s="11">
        <f t="shared" si="93"/>
        <v>0</v>
      </c>
    </row>
    <row r="211" spans="1:69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570</v>
      </c>
      <c r="L211" s="56"/>
      <c r="M211" s="56" t="s">
        <v>1020</v>
      </c>
      <c r="N211" s="56"/>
      <c r="O211" s="9">
        <v>1</v>
      </c>
      <c r="P211" s="9">
        <v>15</v>
      </c>
      <c r="Q211" s="9" t="s">
        <v>1164</v>
      </c>
      <c r="U211" s="9" t="s">
        <v>707</v>
      </c>
      <c r="X211" s="9">
        <f ca="1">IFERROR(OFFSET(ITEM_RES!$A$5,MATCH(BUILDING!W211,ITEM_RES!$J$5:$J$226,0)-1,0),0)</f>
        <v>0</v>
      </c>
      <c r="AA211" s="9">
        <f ca="1">IFERROR(OFFSET(ITEM_RES!$A$5,MATCH(BUILDING!Z211,ITEM_RES!$J$5:$J$226,0)-1,0),0)</f>
        <v>0</v>
      </c>
      <c r="AC211" s="9" t="s">
        <v>571</v>
      </c>
      <c r="AD211" s="9">
        <v>7</v>
      </c>
      <c r="AF211" s="11">
        <f ca="1">IFERROR(OFFSET(MANOR_LEVEL!$B$1,MATCH(AG211-1,MANOR_LEVEL!$A:$A,0)-1,0),0)</f>
        <v>3872</v>
      </c>
      <c r="AG211" s="56">
        <v>6</v>
      </c>
      <c r="AI211" s="56">
        <f t="shared" ca="1" si="74"/>
        <v>200</v>
      </c>
      <c r="AJ211" s="10">
        <f ca="1">AO211+AQ211+(IFERROR(OFFSET(ITEM_RES!$S$1,MATCH(AU211,ITEM_RES!$A:$A,0)-1,0),0)*AW211+IFERROR(OFFSET(ITEM_RES!$S$1,MATCH(AZ211,ITEM_RES!$A:$A,0)-1,0),0)*BB211+IFERROR(OFFSET(ITEM_RES!$S$1,MATCH(BE211,ITEM_RES!$A:$A,0)-1,0),0)*BG211+IFERROR(OFFSET(ITEM_RES!$S$1,MATCH(BJ211,ITEM_RES!$A:$A,0)-1,0),0)*BL211+IFERROR(OFFSET(ITEM_RES!$S$1,MATCH(BO211,ITEM_RES!$A:$A,0)-1,0),0)*BQ211)/1000</f>
        <v>200.1</v>
      </c>
      <c r="AK211" s="183">
        <f t="shared" ca="1" si="94"/>
        <v>300</v>
      </c>
      <c r="AM211" s="11">
        <f t="shared" si="89"/>
        <v>35</v>
      </c>
      <c r="AN211" s="10">
        <v>35</v>
      </c>
      <c r="AO211" s="11">
        <f t="shared" si="90"/>
        <v>100</v>
      </c>
      <c r="AP211" s="10">
        <v>100</v>
      </c>
      <c r="AQ211" s="11">
        <f t="shared" si="91"/>
        <v>100</v>
      </c>
      <c r="AR211" s="10">
        <v>100</v>
      </c>
      <c r="AS211" s="56">
        <f t="shared" si="92"/>
        <v>1</v>
      </c>
      <c r="AU211" s="11">
        <f ca="1">IFERROR(OFFSET(ITEM_RES!$A$1,MATCH(AV211,ITEM_RES!$J:$J,0)-1,0),0)</f>
        <v>211020801</v>
      </c>
      <c r="AV211" s="10" t="s">
        <v>392</v>
      </c>
      <c r="AW211" s="11">
        <v>1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O211" s="11">
        <f ca="1">IFERROR(OFFSET(ITEM_RES!$A$1,MATCH(BP211,ITEM_RES!$J:$J,0)-1,0),0)</f>
        <v>0</v>
      </c>
      <c r="BQ211" s="11">
        <f t="shared" si="93"/>
        <v>0</v>
      </c>
    </row>
    <row r="212" spans="1:69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570</v>
      </c>
      <c r="L212" s="56"/>
      <c r="M212" s="56" t="s">
        <v>1020</v>
      </c>
      <c r="N212" s="56"/>
      <c r="O212" s="9">
        <v>1</v>
      </c>
      <c r="P212" s="9">
        <v>15</v>
      </c>
      <c r="Q212" s="9" t="s">
        <v>1164</v>
      </c>
      <c r="U212" s="9" t="s">
        <v>707</v>
      </c>
      <c r="X212" s="9">
        <f ca="1">IFERROR(OFFSET(ITEM_RES!$A$5,MATCH(BUILDING!W212,ITEM_RES!$J$5:$J$226,0)-1,0),0)</f>
        <v>0</v>
      </c>
      <c r="AA212" s="9">
        <f ca="1">IFERROR(OFFSET(ITEM_RES!$A$5,MATCH(BUILDING!Z212,ITEM_RES!$J$5:$J$226,0)-1,0),0)</f>
        <v>0</v>
      </c>
      <c r="AC212" s="9" t="s">
        <v>571</v>
      </c>
      <c r="AD212" s="9">
        <v>8</v>
      </c>
      <c r="AF212" s="11">
        <f ca="1">IFERROR(OFFSET(MANOR_LEVEL!$B$1,MATCH(AG212-1,MANOR_LEVEL!$A:$A,0)-1,0),0)</f>
        <v>3872</v>
      </c>
      <c r="AG212" s="56">
        <v>6</v>
      </c>
      <c r="AI212" s="56">
        <f t="shared" ca="1" si="74"/>
        <v>200</v>
      </c>
      <c r="AJ212" s="10">
        <f ca="1">AO212+AQ212+(IFERROR(OFFSET(ITEM_RES!$S$1,MATCH(AU212,ITEM_RES!$A:$A,0)-1,0),0)*AW212+IFERROR(OFFSET(ITEM_RES!$S$1,MATCH(AZ212,ITEM_RES!$A:$A,0)-1,0),0)*BB212+IFERROR(OFFSET(ITEM_RES!$S$1,MATCH(BE212,ITEM_RES!$A:$A,0)-1,0),0)*BG212+IFERROR(OFFSET(ITEM_RES!$S$1,MATCH(BJ212,ITEM_RES!$A:$A,0)-1,0),0)*BL212+IFERROR(OFFSET(ITEM_RES!$S$1,MATCH(BO212,ITEM_RES!$A:$A,0)-1,0),0)*BQ212)/1000</f>
        <v>200.1</v>
      </c>
      <c r="AK212" s="183">
        <f t="shared" ca="1" si="94"/>
        <v>400</v>
      </c>
      <c r="AM212" s="11">
        <f t="shared" si="89"/>
        <v>40</v>
      </c>
      <c r="AN212" s="10">
        <v>40</v>
      </c>
      <c r="AO212" s="11">
        <f t="shared" si="90"/>
        <v>100</v>
      </c>
      <c r="AP212" s="10">
        <v>100</v>
      </c>
      <c r="AQ212" s="11">
        <f t="shared" si="91"/>
        <v>100</v>
      </c>
      <c r="AR212" s="10">
        <v>100</v>
      </c>
      <c r="AS212" s="56">
        <f t="shared" si="92"/>
        <v>1</v>
      </c>
      <c r="AU212" s="11">
        <f ca="1">IFERROR(OFFSET(ITEM_RES!$A$1,MATCH(AV212,ITEM_RES!$J:$J,0)-1,0),0)</f>
        <v>211020801</v>
      </c>
      <c r="AV212" s="10" t="s">
        <v>392</v>
      </c>
      <c r="AW212" s="11">
        <v>1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O212" s="11">
        <f ca="1">IFERROR(OFFSET(ITEM_RES!$A$1,MATCH(BP212,ITEM_RES!$J:$J,0)-1,0),0)</f>
        <v>0</v>
      </c>
      <c r="BQ212" s="11">
        <f t="shared" si="93"/>
        <v>0</v>
      </c>
    </row>
    <row r="213" spans="1:69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570</v>
      </c>
      <c r="L213" s="56"/>
      <c r="M213" s="56" t="s">
        <v>1020</v>
      </c>
      <c r="N213" s="56"/>
      <c r="O213" s="9">
        <v>1</v>
      </c>
      <c r="P213" s="9">
        <v>15</v>
      </c>
      <c r="Q213" s="9" t="s">
        <v>1164</v>
      </c>
      <c r="U213" s="9" t="s">
        <v>707</v>
      </c>
      <c r="X213" s="9">
        <f ca="1">IFERROR(OFFSET(ITEM_RES!$A$5,MATCH(BUILDING!W213,ITEM_RES!$J$5:$J$226,0)-1,0),0)</f>
        <v>0</v>
      </c>
      <c r="AA213" s="9">
        <f ca="1">IFERROR(OFFSET(ITEM_RES!$A$5,MATCH(BUILDING!Z213,ITEM_RES!$J$5:$J$226,0)-1,0),0)</f>
        <v>0</v>
      </c>
      <c r="AC213" s="9" t="s">
        <v>571</v>
      </c>
      <c r="AD213" s="9">
        <v>9</v>
      </c>
      <c r="AF213" s="11">
        <f ca="1">IFERROR(OFFSET(MANOR_LEVEL!$B$1,MATCH(AG213-1,MANOR_LEVEL!$A:$A,0)-1,0),0)</f>
        <v>3872</v>
      </c>
      <c r="AG213" s="56">
        <v>6</v>
      </c>
      <c r="AI213" s="56">
        <f t="shared" ca="1" si="74"/>
        <v>300</v>
      </c>
      <c r="AJ213" s="10">
        <f ca="1">AO213+AQ213+(IFERROR(OFFSET(ITEM_RES!$S$1,MATCH(AU213,ITEM_RES!$A:$A,0)-1,0),0)*AW213+IFERROR(OFFSET(ITEM_RES!$S$1,MATCH(AZ213,ITEM_RES!$A:$A,0)-1,0),0)*BB213+IFERROR(OFFSET(ITEM_RES!$S$1,MATCH(BE213,ITEM_RES!$A:$A,0)-1,0),0)*BG213+IFERROR(OFFSET(ITEM_RES!$S$1,MATCH(BJ213,ITEM_RES!$A:$A,0)-1,0),0)*BL213+IFERROR(OFFSET(ITEM_RES!$S$1,MATCH(BO213,ITEM_RES!$A:$A,0)-1,0),0)*BQ213)/1000</f>
        <v>300.10000000000002</v>
      </c>
      <c r="AK213" s="183">
        <f t="shared" ca="1" si="94"/>
        <v>500</v>
      </c>
      <c r="AM213" s="11">
        <f t="shared" si="89"/>
        <v>45</v>
      </c>
      <c r="AN213" s="10">
        <v>45</v>
      </c>
      <c r="AO213" s="11">
        <f t="shared" si="90"/>
        <v>150</v>
      </c>
      <c r="AP213" s="10">
        <v>150</v>
      </c>
      <c r="AQ213" s="11">
        <f t="shared" si="91"/>
        <v>150</v>
      </c>
      <c r="AR213" s="10">
        <v>150</v>
      </c>
      <c r="AS213" s="56">
        <f t="shared" si="92"/>
        <v>1</v>
      </c>
      <c r="AU213" s="11">
        <f ca="1">IFERROR(OFFSET(ITEM_RES!$A$1,MATCH(AV213,ITEM_RES!$J:$J,0)-1,0),0)</f>
        <v>211020801</v>
      </c>
      <c r="AV213" s="10" t="s">
        <v>392</v>
      </c>
      <c r="AW213" s="11">
        <v>1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O213" s="11">
        <f ca="1">IFERROR(OFFSET(ITEM_RES!$A$1,MATCH(BP213,ITEM_RES!$J:$J,0)-1,0),0)</f>
        <v>0</v>
      </c>
      <c r="BQ213" s="11">
        <f t="shared" si="93"/>
        <v>0</v>
      </c>
    </row>
    <row r="214" spans="1:69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570</v>
      </c>
      <c r="L214" s="56"/>
      <c r="M214" s="56" t="s">
        <v>1020</v>
      </c>
      <c r="N214" s="56"/>
      <c r="O214" s="9">
        <v>1</v>
      </c>
      <c r="P214" s="9">
        <v>15</v>
      </c>
      <c r="Q214" s="9" t="s">
        <v>1164</v>
      </c>
      <c r="U214" s="9" t="s">
        <v>707</v>
      </c>
      <c r="X214" s="9">
        <f ca="1">IFERROR(OFFSET(ITEM_RES!$A$5,MATCH(BUILDING!W214,ITEM_RES!$J$5:$J$226,0)-1,0),0)</f>
        <v>0</v>
      </c>
      <c r="AA214" s="9">
        <f ca="1">IFERROR(OFFSET(ITEM_RES!$A$5,MATCH(BUILDING!Z214,ITEM_RES!$J$5:$J$226,0)-1,0),0)</f>
        <v>0</v>
      </c>
      <c r="AC214" s="9" t="s">
        <v>571</v>
      </c>
      <c r="AD214" s="9">
        <v>10</v>
      </c>
      <c r="AF214" s="11">
        <f ca="1">IFERROR(OFFSET(MANOR_LEVEL!$B$1,MATCH(AG214-1,MANOR_LEVEL!$A:$A,0)-1,0),0)</f>
        <v>3872</v>
      </c>
      <c r="AG214" s="56">
        <v>6</v>
      </c>
      <c r="AI214" s="56">
        <f t="shared" ca="1" si="74"/>
        <v>500</v>
      </c>
      <c r="AJ214" s="10">
        <f ca="1">AO214+AQ214+(IFERROR(OFFSET(ITEM_RES!$S$1,MATCH(AU214,ITEM_RES!$A:$A,0)-1,0),0)*AW214+IFERROR(OFFSET(ITEM_RES!$S$1,MATCH(AZ214,ITEM_RES!$A:$A,0)-1,0),0)*BB214+IFERROR(OFFSET(ITEM_RES!$S$1,MATCH(BE214,ITEM_RES!$A:$A,0)-1,0),0)*BG214+IFERROR(OFFSET(ITEM_RES!$S$1,MATCH(BJ214,ITEM_RES!$A:$A,0)-1,0),0)*BL214+IFERROR(OFFSET(ITEM_RES!$S$1,MATCH(BO214,ITEM_RES!$A:$A,0)-1,0),0)*BQ214)/1000</f>
        <v>500.1</v>
      </c>
      <c r="AK214" s="183">
        <f t="shared" ca="1" si="94"/>
        <v>800</v>
      </c>
      <c r="AM214" s="11">
        <f t="shared" si="89"/>
        <v>50</v>
      </c>
      <c r="AN214" s="10">
        <v>50</v>
      </c>
      <c r="AO214" s="11">
        <f t="shared" si="90"/>
        <v>200</v>
      </c>
      <c r="AP214" s="10">
        <v>200</v>
      </c>
      <c r="AQ214" s="11">
        <f t="shared" si="91"/>
        <v>200</v>
      </c>
      <c r="AR214" s="10">
        <v>200</v>
      </c>
      <c r="AS214" s="56">
        <f t="shared" si="92"/>
        <v>2</v>
      </c>
      <c r="AU214" s="11">
        <f ca="1">IFERROR(OFFSET(ITEM_RES!$A$1,MATCH(AV214,ITEM_RES!$J:$J,0)-1,0),0)</f>
        <v>211020801</v>
      </c>
      <c r="AV214" s="10" t="s">
        <v>392</v>
      </c>
      <c r="AW214" s="11">
        <v>1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0</v>
      </c>
      <c r="BJ214" s="11">
        <f ca="1">IFERROR(OFFSET(ITEM_RES!$A$1,MATCH(BK214,ITEM_RES!$J:$J,0)-1,0),0)</f>
        <v>213010801</v>
      </c>
      <c r="BK214" s="10" t="s">
        <v>462</v>
      </c>
      <c r="BL214" s="11">
        <v>1</v>
      </c>
      <c r="BO214" s="11">
        <f ca="1">IFERROR(OFFSET(ITEM_RES!$A$1,MATCH(BP214,ITEM_RES!$J:$J,0)-1,0),0)</f>
        <v>0</v>
      </c>
      <c r="BQ214" s="11">
        <f t="shared" si="93"/>
        <v>0</v>
      </c>
    </row>
    <row r="215" spans="1:69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570</v>
      </c>
      <c r="L215" s="56"/>
      <c r="M215" s="56" t="s">
        <v>1020</v>
      </c>
      <c r="N215" s="56"/>
      <c r="O215" s="9">
        <v>1</v>
      </c>
      <c r="P215" s="9">
        <v>15</v>
      </c>
      <c r="Q215" s="9" t="s">
        <v>1164</v>
      </c>
      <c r="U215" s="9" t="s">
        <v>707</v>
      </c>
      <c r="X215" s="9">
        <f ca="1">IFERROR(OFFSET(ITEM_RES!$A$5,MATCH(BUILDING!W215,ITEM_RES!$J$5:$J$226,0)-1,0),0)</f>
        <v>0</v>
      </c>
      <c r="AA215" s="9">
        <f ca="1">IFERROR(OFFSET(ITEM_RES!$A$5,MATCH(BUILDING!Z215,ITEM_RES!$J$5:$J$226,0)-1,0),0)</f>
        <v>0</v>
      </c>
      <c r="AC215" s="9" t="s">
        <v>571</v>
      </c>
      <c r="AD215" s="9">
        <v>11</v>
      </c>
      <c r="AF215" s="11">
        <f ca="1">IFERROR(OFFSET(MANOR_LEVEL!$B$1,MATCH(AG215-1,MANOR_LEVEL!$A:$A,0)-1,0),0)</f>
        <v>94800</v>
      </c>
      <c r="AG215" s="56">
        <v>8</v>
      </c>
      <c r="AI215" s="56">
        <f t="shared" ca="1" si="74"/>
        <v>500</v>
      </c>
      <c r="AJ215" s="10">
        <f ca="1">AO215+AQ215+(IFERROR(OFFSET(ITEM_RES!$S$1,MATCH(AU215,ITEM_RES!$A:$A,0)-1,0),0)*AW215+IFERROR(OFFSET(ITEM_RES!$S$1,MATCH(AZ215,ITEM_RES!$A:$A,0)-1,0),0)*BB215+IFERROR(OFFSET(ITEM_RES!$S$1,MATCH(BE215,ITEM_RES!$A:$A,0)-1,0),0)*BG215+IFERROR(OFFSET(ITEM_RES!$S$1,MATCH(BJ215,ITEM_RES!$A:$A,0)-1,0),0)*BL215+IFERROR(OFFSET(ITEM_RES!$S$1,MATCH(BO215,ITEM_RES!$A:$A,0)-1,0),0)*BQ215)/1000</f>
        <v>500.1</v>
      </c>
      <c r="AK215" s="183">
        <f t="shared" ca="1" si="94"/>
        <v>1000</v>
      </c>
      <c r="AM215" s="11">
        <f t="shared" si="89"/>
        <v>55</v>
      </c>
      <c r="AN215" s="10">
        <v>55</v>
      </c>
      <c r="AO215" s="11">
        <f t="shared" si="90"/>
        <v>250</v>
      </c>
      <c r="AP215" s="10">
        <v>250</v>
      </c>
      <c r="AQ215" s="11">
        <f t="shared" si="91"/>
        <v>250</v>
      </c>
      <c r="AR215" s="10">
        <v>250</v>
      </c>
      <c r="AS215" s="56">
        <f t="shared" si="92"/>
        <v>1</v>
      </c>
      <c r="AU215" s="11">
        <f ca="1">IFERROR(OFFSET(ITEM_RES!$A$1,MATCH(AV215,ITEM_RES!$J:$J,0)-1,0),0)</f>
        <v>211020801</v>
      </c>
      <c r="AV215" s="10" t="s">
        <v>392</v>
      </c>
      <c r="AW215" s="11">
        <v>1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O215" s="11">
        <f ca="1">IFERROR(OFFSET(ITEM_RES!$A$1,MATCH(BP215,ITEM_RES!$J:$J,0)-1,0),0)</f>
        <v>0</v>
      </c>
      <c r="BQ215" s="11">
        <f t="shared" si="93"/>
        <v>0</v>
      </c>
    </row>
    <row r="216" spans="1:69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570</v>
      </c>
      <c r="L216" s="56"/>
      <c r="M216" s="56" t="s">
        <v>1020</v>
      </c>
      <c r="N216" s="56"/>
      <c r="O216" s="9">
        <v>1</v>
      </c>
      <c r="P216" s="9">
        <v>15</v>
      </c>
      <c r="Q216" s="9" t="s">
        <v>1164</v>
      </c>
      <c r="U216" s="9" t="s">
        <v>707</v>
      </c>
      <c r="X216" s="9">
        <f ca="1">IFERROR(OFFSET(ITEM_RES!$A$5,MATCH(BUILDING!W216,ITEM_RES!$J$5:$J$226,0)-1,0),0)</f>
        <v>0</v>
      </c>
      <c r="AA216" s="9">
        <f ca="1">IFERROR(OFFSET(ITEM_RES!$A$5,MATCH(BUILDING!Z216,ITEM_RES!$J$5:$J$226,0)-1,0),0)</f>
        <v>0</v>
      </c>
      <c r="AC216" s="9" t="s">
        <v>571</v>
      </c>
      <c r="AD216" s="9">
        <v>12</v>
      </c>
      <c r="AF216" s="11">
        <f ca="1">IFERROR(OFFSET(MANOR_LEVEL!$B$1,MATCH(AG216-1,MANOR_LEVEL!$A:$A,0)-1,0),0)</f>
        <v>186400</v>
      </c>
      <c r="AG216" s="56">
        <v>9</v>
      </c>
      <c r="AI216" s="56">
        <f t="shared" ca="1" si="74"/>
        <v>600</v>
      </c>
      <c r="AJ216" s="10">
        <f ca="1">AO216+AQ216+(IFERROR(OFFSET(ITEM_RES!$S$1,MATCH(AU216,ITEM_RES!$A:$A,0)-1,0),0)*AW216+IFERROR(OFFSET(ITEM_RES!$S$1,MATCH(AZ216,ITEM_RES!$A:$A,0)-1,0),0)*BB216+IFERROR(OFFSET(ITEM_RES!$S$1,MATCH(BE216,ITEM_RES!$A:$A,0)-1,0),0)*BG216+IFERROR(OFFSET(ITEM_RES!$S$1,MATCH(BJ216,ITEM_RES!$A:$A,0)-1,0),0)*BL216+IFERROR(OFFSET(ITEM_RES!$S$1,MATCH(BO216,ITEM_RES!$A:$A,0)-1,0),0)*BQ216)/1000</f>
        <v>600.29999999999995</v>
      </c>
      <c r="AK216" s="183">
        <f t="shared" ca="1" si="94"/>
        <v>1100</v>
      </c>
      <c r="AM216" s="11">
        <f t="shared" si="89"/>
        <v>60</v>
      </c>
      <c r="AN216" s="10">
        <v>60</v>
      </c>
      <c r="AO216" s="11">
        <f t="shared" si="90"/>
        <v>300</v>
      </c>
      <c r="AP216" s="10">
        <v>300</v>
      </c>
      <c r="AQ216" s="11">
        <f t="shared" si="91"/>
        <v>300</v>
      </c>
      <c r="AR216" s="10">
        <v>300</v>
      </c>
      <c r="AS216" s="56">
        <f t="shared" si="92"/>
        <v>2</v>
      </c>
      <c r="AU216" s="11">
        <f ca="1">IFERROR(OFFSET(ITEM_RES!$A$1,MATCH(AV216,ITEM_RES!$J:$J,0)-1,0),0)</f>
        <v>211020801</v>
      </c>
      <c r="AV216" s="10" t="s">
        <v>392</v>
      </c>
      <c r="AW216" s="11">
        <v>1</v>
      </c>
      <c r="AZ216" s="11">
        <f ca="1">IFERROR(OFFSET(ITEM_RES!$A$1,MATCH(BA216,ITEM_RES!$J:$J,0)-1,0),0)</f>
        <v>211020901</v>
      </c>
      <c r="BA216" s="10" t="s">
        <v>393</v>
      </c>
      <c r="BB216" s="11">
        <v>1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O216" s="11">
        <f ca="1">IFERROR(OFFSET(ITEM_RES!$A$1,MATCH(BP216,ITEM_RES!$J:$J,0)-1,0),0)</f>
        <v>0</v>
      </c>
      <c r="BQ216" s="11">
        <f t="shared" si="93"/>
        <v>0</v>
      </c>
    </row>
    <row r="217" spans="1:69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570</v>
      </c>
      <c r="L217" s="56"/>
      <c r="M217" s="56" t="s">
        <v>1020</v>
      </c>
      <c r="N217" s="56"/>
      <c r="O217" s="9">
        <v>1</v>
      </c>
      <c r="P217" s="9">
        <v>15</v>
      </c>
      <c r="Q217" s="9" t="s">
        <v>1164</v>
      </c>
      <c r="U217" s="9" t="s">
        <v>707</v>
      </c>
      <c r="X217" s="9">
        <f ca="1">IFERROR(OFFSET(ITEM_RES!$A$5,MATCH(BUILDING!W217,ITEM_RES!$J$5:$J$226,0)-1,0),0)</f>
        <v>0</v>
      </c>
      <c r="AA217" s="9">
        <f ca="1">IFERROR(OFFSET(ITEM_RES!$A$5,MATCH(BUILDING!Z217,ITEM_RES!$J$5:$J$226,0)-1,0),0)</f>
        <v>0</v>
      </c>
      <c r="AC217" s="9" t="s">
        <v>571</v>
      </c>
      <c r="AD217" s="9">
        <v>13</v>
      </c>
      <c r="AF217" s="11">
        <f ca="1">IFERROR(OFFSET(MANOR_LEVEL!$B$1,MATCH(AG217-1,MANOR_LEVEL!$A:$A,0)-1,0),0)</f>
        <v>311600</v>
      </c>
      <c r="AG217" s="56">
        <v>10</v>
      </c>
      <c r="AI217" s="56">
        <f t="shared" ca="1" si="74"/>
        <v>700</v>
      </c>
      <c r="AJ217" s="10">
        <f ca="1">AO217+AQ217+(IFERROR(OFFSET(ITEM_RES!$S$1,MATCH(AU217,ITEM_RES!$A:$A,0)-1,0),0)*AW217+IFERROR(OFFSET(ITEM_RES!$S$1,MATCH(AZ217,ITEM_RES!$A:$A,0)-1,0),0)*BB217+IFERROR(OFFSET(ITEM_RES!$S$1,MATCH(BE217,ITEM_RES!$A:$A,0)-1,0),0)*BG217+IFERROR(OFFSET(ITEM_RES!$S$1,MATCH(BJ217,ITEM_RES!$A:$A,0)-1,0),0)*BL217+IFERROR(OFFSET(ITEM_RES!$S$1,MATCH(BO217,ITEM_RES!$A:$A,0)-1,0),0)*BQ217)/1000</f>
        <v>700.3</v>
      </c>
      <c r="AK217" s="183">
        <f t="shared" ca="1" si="94"/>
        <v>1300</v>
      </c>
      <c r="AM217" s="11">
        <f t="shared" si="89"/>
        <v>65</v>
      </c>
      <c r="AN217" s="10">
        <v>65</v>
      </c>
      <c r="AO217" s="11">
        <f t="shared" si="90"/>
        <v>350</v>
      </c>
      <c r="AP217" s="10">
        <v>350</v>
      </c>
      <c r="AQ217" s="11">
        <f t="shared" si="91"/>
        <v>350</v>
      </c>
      <c r="AR217" s="10">
        <v>350</v>
      </c>
      <c r="AS217" s="56">
        <f t="shared" si="92"/>
        <v>2</v>
      </c>
      <c r="AU217" s="11">
        <f ca="1">IFERROR(OFFSET(ITEM_RES!$A$1,MATCH(AV217,ITEM_RES!$J:$J,0)-1,0),0)</f>
        <v>211020801</v>
      </c>
      <c r="AV217" s="10" t="s">
        <v>392</v>
      </c>
      <c r="AW217" s="11">
        <v>1</v>
      </c>
      <c r="AZ217" s="11">
        <f ca="1">IFERROR(OFFSET(ITEM_RES!$A$1,MATCH(BA217,ITEM_RES!$J:$J,0)-1,0),0)</f>
        <v>211020901</v>
      </c>
      <c r="BA217" s="10" t="s">
        <v>393</v>
      </c>
      <c r="BB217" s="11">
        <v>1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O217" s="11">
        <f ca="1">IFERROR(OFFSET(ITEM_RES!$A$1,MATCH(BP217,ITEM_RES!$J:$J,0)-1,0),0)</f>
        <v>0</v>
      </c>
      <c r="BQ217" s="11">
        <f t="shared" si="93"/>
        <v>0</v>
      </c>
    </row>
    <row r="218" spans="1:69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570</v>
      </c>
      <c r="L218" s="56"/>
      <c r="M218" s="56" t="s">
        <v>1020</v>
      </c>
      <c r="N218" s="56"/>
      <c r="O218" s="9">
        <v>1</v>
      </c>
      <c r="P218" s="9">
        <v>15</v>
      </c>
      <c r="Q218" s="9" t="s">
        <v>1164</v>
      </c>
      <c r="U218" s="9" t="s">
        <v>707</v>
      </c>
      <c r="X218" s="9">
        <f ca="1">IFERROR(OFFSET(ITEM_RES!$A$5,MATCH(BUILDING!W218,ITEM_RES!$J$5:$J$226,0)-1,0),0)</f>
        <v>0</v>
      </c>
      <c r="AA218" s="9">
        <f ca="1">IFERROR(OFFSET(ITEM_RES!$A$5,MATCH(BUILDING!Z218,ITEM_RES!$J$5:$J$226,0)-1,0),0)</f>
        <v>0</v>
      </c>
      <c r="AC218" s="9" t="s">
        <v>571</v>
      </c>
      <c r="AD218" s="9">
        <v>14</v>
      </c>
      <c r="AF218" s="11">
        <f ca="1">IFERROR(OFFSET(MANOR_LEVEL!$B$1,MATCH(AG218-1,MANOR_LEVEL!$A:$A,0)-1,0),0)</f>
        <v>456800</v>
      </c>
      <c r="AG218" s="56">
        <v>11</v>
      </c>
      <c r="AI218" s="56">
        <f t="shared" ref="AI218:AI281" ca="1" si="95">ROUND(AJ218,0)</f>
        <v>900</v>
      </c>
      <c r="AJ218" s="10">
        <f ca="1">AO218+AQ218+(IFERROR(OFFSET(ITEM_RES!$S$1,MATCH(AU218,ITEM_RES!$A:$A,0)-1,0),0)*AW218+IFERROR(OFFSET(ITEM_RES!$S$1,MATCH(AZ218,ITEM_RES!$A:$A,0)-1,0),0)*BB218+IFERROR(OFFSET(ITEM_RES!$S$1,MATCH(BE218,ITEM_RES!$A:$A,0)-1,0),0)*BG218+IFERROR(OFFSET(ITEM_RES!$S$1,MATCH(BJ218,ITEM_RES!$A:$A,0)-1,0),0)*BL218+IFERROR(OFFSET(ITEM_RES!$S$1,MATCH(BO218,ITEM_RES!$A:$A,0)-1,0),0)*BQ218)/1000</f>
        <v>900.3</v>
      </c>
      <c r="AK218" s="183">
        <f t="shared" ca="1" si="94"/>
        <v>1600</v>
      </c>
      <c r="AM218" s="11">
        <f t="shared" si="89"/>
        <v>70</v>
      </c>
      <c r="AN218" s="10">
        <v>70</v>
      </c>
      <c r="AO218" s="11">
        <f t="shared" si="90"/>
        <v>450</v>
      </c>
      <c r="AP218" s="10">
        <v>450</v>
      </c>
      <c r="AQ218" s="11">
        <f t="shared" si="91"/>
        <v>450</v>
      </c>
      <c r="AR218" s="10">
        <v>450</v>
      </c>
      <c r="AS218" s="56">
        <f t="shared" si="92"/>
        <v>2</v>
      </c>
      <c r="AU218" s="11">
        <f ca="1">IFERROR(OFFSET(ITEM_RES!$A$1,MATCH(AV218,ITEM_RES!$J:$J,0)-1,0),0)</f>
        <v>211020801</v>
      </c>
      <c r="AV218" s="10" t="s">
        <v>392</v>
      </c>
      <c r="AW218" s="11">
        <v>1</v>
      </c>
      <c r="AZ218" s="11">
        <f ca="1">IFERROR(OFFSET(ITEM_RES!$A$1,MATCH(BA218,ITEM_RES!$J:$J,0)-1,0),0)</f>
        <v>211020901</v>
      </c>
      <c r="BA218" s="10" t="s">
        <v>393</v>
      </c>
      <c r="BB218" s="11">
        <v>1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O218" s="11">
        <f ca="1">IFERROR(OFFSET(ITEM_RES!$A$1,MATCH(BP218,ITEM_RES!$J:$J,0)-1,0),0)</f>
        <v>0</v>
      </c>
      <c r="BQ218" s="11">
        <f t="shared" si="93"/>
        <v>0</v>
      </c>
    </row>
    <row r="219" spans="1:69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570</v>
      </c>
      <c r="L219" s="56"/>
      <c r="M219" s="56" t="s">
        <v>1020</v>
      </c>
      <c r="N219" s="56"/>
      <c r="O219" s="9">
        <v>1</v>
      </c>
      <c r="P219" s="9">
        <v>15</v>
      </c>
      <c r="Q219" s="9" t="s">
        <v>1164</v>
      </c>
      <c r="U219" s="9" t="s">
        <v>707</v>
      </c>
      <c r="X219" s="9">
        <f ca="1">IFERROR(OFFSET(ITEM_RES!$A$5,MATCH(BUILDING!W219,ITEM_RES!$J$5:$J$226,0)-1,0),0)</f>
        <v>0</v>
      </c>
      <c r="AA219" s="9">
        <f ca="1">IFERROR(OFFSET(ITEM_RES!$A$5,MATCH(BUILDING!Z219,ITEM_RES!$J$5:$J$226,0)-1,0),0)</f>
        <v>0</v>
      </c>
      <c r="AC219" s="9" t="s">
        <v>571</v>
      </c>
      <c r="AD219" s="9">
        <v>15</v>
      </c>
      <c r="AF219" s="11">
        <f ca="1">IFERROR(OFFSET(MANOR_LEVEL!$B$1,MATCH(AG219-1,MANOR_LEVEL!$A:$A,0)-1,0),0)</f>
        <v>796000</v>
      </c>
      <c r="AG219" s="56">
        <v>12</v>
      </c>
      <c r="AI219" s="56">
        <f t="shared" ca="1" si="95"/>
        <v>1100</v>
      </c>
      <c r="AJ219" s="10">
        <f ca="1">AO219+AQ219+(IFERROR(OFFSET(ITEM_RES!$S$1,MATCH(AU219,ITEM_RES!$A:$A,0)-1,0),0)*AW219+IFERROR(OFFSET(ITEM_RES!$S$1,MATCH(AZ219,ITEM_RES!$A:$A,0)-1,0),0)*BB219+IFERROR(OFFSET(ITEM_RES!$S$1,MATCH(BE219,ITEM_RES!$A:$A,0)-1,0),0)*BG219+IFERROR(OFFSET(ITEM_RES!$S$1,MATCH(BJ219,ITEM_RES!$A:$A,0)-1,0),0)*BL219+IFERROR(OFFSET(ITEM_RES!$S$1,MATCH(BO219,ITEM_RES!$A:$A,0)-1,0),0)*BQ219)/1000</f>
        <v>1100.3</v>
      </c>
      <c r="AK219" s="183">
        <f t="shared" ca="1" si="94"/>
        <v>2000</v>
      </c>
      <c r="AM219" s="11">
        <f t="shared" si="89"/>
        <v>75</v>
      </c>
      <c r="AN219" s="10">
        <v>75</v>
      </c>
      <c r="AO219" s="11">
        <f t="shared" si="90"/>
        <v>550</v>
      </c>
      <c r="AP219" s="10">
        <v>550</v>
      </c>
      <c r="AQ219" s="11">
        <f t="shared" si="91"/>
        <v>550</v>
      </c>
      <c r="AR219" s="10">
        <v>550</v>
      </c>
      <c r="AS219" s="56">
        <f t="shared" si="92"/>
        <v>2</v>
      </c>
      <c r="AU219" s="11">
        <f ca="1">IFERROR(OFFSET(ITEM_RES!$A$1,MATCH(AV219,ITEM_RES!$J:$J,0)-1,0),0)</f>
        <v>211020801</v>
      </c>
      <c r="AV219" s="10" t="s">
        <v>392</v>
      </c>
      <c r="AW219" s="11">
        <v>1</v>
      </c>
      <c r="AZ219" s="11">
        <f ca="1">IFERROR(OFFSET(ITEM_RES!$A$1,MATCH(BA219,ITEM_RES!$J:$J,0)-1,0),0)</f>
        <v>211020901</v>
      </c>
      <c r="BA219" s="10" t="s">
        <v>393</v>
      </c>
      <c r="BB219" s="11">
        <v>1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O219" s="11">
        <f ca="1">IFERROR(OFFSET(ITEM_RES!$A$1,MATCH(BP219,ITEM_RES!$J:$J,0)-1,0),0)</f>
        <v>0</v>
      </c>
      <c r="BQ219" s="11">
        <f t="shared" si="93"/>
        <v>0</v>
      </c>
    </row>
    <row r="220" spans="1:69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570</v>
      </c>
      <c r="L220" s="56"/>
      <c r="M220" s="56" t="s">
        <v>1020</v>
      </c>
      <c r="N220" s="56"/>
      <c r="O220" s="9">
        <v>0</v>
      </c>
      <c r="P220" s="9">
        <v>15</v>
      </c>
      <c r="Q220" s="9" t="s">
        <v>1164</v>
      </c>
      <c r="U220" s="9" t="s">
        <v>707</v>
      </c>
      <c r="X220" s="9">
        <f ca="1">IFERROR(OFFSET(ITEM_RES!$A$5,MATCH(BUILDING!W220,ITEM_RES!$J$5:$J$226,0)-1,0),0)</f>
        <v>0</v>
      </c>
      <c r="AA220" s="9">
        <f ca="1">IFERROR(OFFSET(ITEM_RES!$A$5,MATCH(BUILDING!Z220,ITEM_RES!$J$5:$J$226,0)-1,0),0)</f>
        <v>0</v>
      </c>
      <c r="AC220" s="9" t="s">
        <v>571</v>
      </c>
      <c r="AD220" s="9">
        <v>16</v>
      </c>
      <c r="AF220" s="11">
        <f ca="1">IFERROR(OFFSET(MANOR_LEVEL!$B$1,MATCH(AG220-1,MANOR_LEVEL!$A:$A,0)-1,0),0)</f>
        <v>1156400</v>
      </c>
      <c r="AG220" s="56">
        <v>13</v>
      </c>
      <c r="AI220" s="56">
        <f t="shared" ca="1" si="95"/>
        <v>1400</v>
      </c>
      <c r="AJ220" s="10">
        <f ca="1">AO220+AQ220+(IFERROR(OFFSET(ITEM_RES!$S$1,MATCH(AU220,ITEM_RES!$A:$A,0)-1,0),0)*AW220+IFERROR(OFFSET(ITEM_RES!$S$1,MATCH(AZ220,ITEM_RES!$A:$A,0)-1,0),0)*BB220+IFERROR(OFFSET(ITEM_RES!$S$1,MATCH(BE220,ITEM_RES!$A:$A,0)-1,0),0)*BG220+IFERROR(OFFSET(ITEM_RES!$S$1,MATCH(BJ220,ITEM_RES!$A:$A,0)-1,0),0)*BL220+IFERROR(OFFSET(ITEM_RES!$S$1,MATCH(BO220,ITEM_RES!$A:$A,0)-1,0),0)*BQ220)/1000</f>
        <v>1400.3</v>
      </c>
      <c r="AK220" s="183">
        <f t="shared" ca="1" si="94"/>
        <v>2500</v>
      </c>
      <c r="AM220" s="11">
        <f t="shared" si="89"/>
        <v>80</v>
      </c>
      <c r="AN220" s="10">
        <v>80</v>
      </c>
      <c r="AO220" s="11">
        <f t="shared" si="90"/>
        <v>700</v>
      </c>
      <c r="AP220" s="10">
        <v>700</v>
      </c>
      <c r="AQ220" s="11">
        <f t="shared" si="91"/>
        <v>700</v>
      </c>
      <c r="AR220" s="10">
        <v>700</v>
      </c>
      <c r="AS220" s="56">
        <f t="shared" si="92"/>
        <v>2</v>
      </c>
      <c r="AU220" s="11">
        <f ca="1">IFERROR(OFFSET(ITEM_RES!$A$1,MATCH(AV220,ITEM_RES!$J:$J,0)-1,0),0)</f>
        <v>211020801</v>
      </c>
      <c r="AV220" s="10" t="s">
        <v>392</v>
      </c>
      <c r="AW220" s="11">
        <v>1</v>
      </c>
      <c r="AZ220" s="11">
        <f ca="1">IFERROR(OFFSET(ITEM_RES!$A$1,MATCH(BA220,ITEM_RES!$J:$J,0)-1,0),0)</f>
        <v>211020901</v>
      </c>
      <c r="BA220" s="10" t="s">
        <v>393</v>
      </c>
      <c r="BB220" s="11">
        <v>1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O220" s="11">
        <f ca="1">IFERROR(OFFSET(ITEM_RES!$A$1,MATCH(BP220,ITEM_RES!$J:$J,0)-1,0),0)</f>
        <v>0</v>
      </c>
      <c r="BQ220" s="11">
        <f t="shared" si="93"/>
        <v>0</v>
      </c>
    </row>
    <row r="221" spans="1:69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570</v>
      </c>
      <c r="L221" s="56"/>
      <c r="M221" s="56" t="s">
        <v>1020</v>
      </c>
      <c r="N221" s="56"/>
      <c r="O221" s="9">
        <v>0</v>
      </c>
      <c r="P221" s="9">
        <v>15</v>
      </c>
      <c r="Q221" s="9" t="s">
        <v>1164</v>
      </c>
      <c r="U221" s="9" t="s">
        <v>707</v>
      </c>
      <c r="X221" s="9">
        <f ca="1">IFERROR(OFFSET(ITEM_RES!$A$5,MATCH(BUILDING!W221,ITEM_RES!$J$5:$J$226,0)-1,0),0)</f>
        <v>0</v>
      </c>
      <c r="AA221" s="9">
        <f ca="1">IFERROR(OFFSET(ITEM_RES!$A$5,MATCH(BUILDING!Z221,ITEM_RES!$J$5:$J$226,0)-1,0),0)</f>
        <v>0</v>
      </c>
      <c r="AC221" s="9" t="s">
        <v>571</v>
      </c>
      <c r="AD221" s="9">
        <v>17</v>
      </c>
      <c r="AF221" s="11">
        <f ca="1">IFERROR(OFFSET(MANOR_LEVEL!$B$1,MATCH(AG221-1,MANOR_LEVEL!$A:$A,0)-1,0),0)</f>
        <v>1661200</v>
      </c>
      <c r="AG221" s="56">
        <v>14</v>
      </c>
      <c r="AI221" s="56">
        <f t="shared" ca="1" si="95"/>
        <v>1700</v>
      </c>
      <c r="AJ221" s="10">
        <f ca="1">AO221+AQ221+(IFERROR(OFFSET(ITEM_RES!$S$1,MATCH(AU221,ITEM_RES!$A:$A,0)-1,0),0)*AW221+IFERROR(OFFSET(ITEM_RES!$S$1,MATCH(AZ221,ITEM_RES!$A:$A,0)-1,0),0)*BB221+IFERROR(OFFSET(ITEM_RES!$S$1,MATCH(BE221,ITEM_RES!$A:$A,0)-1,0),0)*BG221+IFERROR(OFFSET(ITEM_RES!$S$1,MATCH(BJ221,ITEM_RES!$A:$A,0)-1,0),0)*BL221+IFERROR(OFFSET(ITEM_RES!$S$1,MATCH(BO221,ITEM_RES!$A:$A,0)-1,0),0)*BQ221)/1000</f>
        <v>1700.3</v>
      </c>
      <c r="AK221" s="183">
        <f t="shared" ca="1" si="94"/>
        <v>3100</v>
      </c>
      <c r="AM221" s="11">
        <f t="shared" si="89"/>
        <v>85</v>
      </c>
      <c r="AN221" s="10">
        <v>85</v>
      </c>
      <c r="AO221" s="11">
        <f t="shared" si="90"/>
        <v>850</v>
      </c>
      <c r="AP221" s="10">
        <v>850</v>
      </c>
      <c r="AQ221" s="11">
        <f t="shared" si="91"/>
        <v>850</v>
      </c>
      <c r="AR221" s="10">
        <v>850</v>
      </c>
      <c r="AS221" s="56">
        <f t="shared" si="92"/>
        <v>2</v>
      </c>
      <c r="AU221" s="11">
        <f ca="1">IFERROR(OFFSET(ITEM_RES!$A$1,MATCH(AV221,ITEM_RES!$J:$J,0)-1,0),0)</f>
        <v>211020801</v>
      </c>
      <c r="AV221" s="10" t="s">
        <v>392</v>
      </c>
      <c r="AW221" s="11">
        <v>1</v>
      </c>
      <c r="AZ221" s="11">
        <f ca="1">IFERROR(OFFSET(ITEM_RES!$A$1,MATCH(BA221,ITEM_RES!$J:$J,0)-1,0),0)</f>
        <v>211020901</v>
      </c>
      <c r="BA221" s="10" t="s">
        <v>393</v>
      </c>
      <c r="BB221" s="11">
        <v>1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O221" s="11">
        <f ca="1">IFERROR(OFFSET(ITEM_RES!$A$1,MATCH(BP221,ITEM_RES!$J:$J,0)-1,0),0)</f>
        <v>0</v>
      </c>
      <c r="BQ221" s="11">
        <f t="shared" si="93"/>
        <v>0</v>
      </c>
    </row>
    <row r="222" spans="1:69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570</v>
      </c>
      <c r="L222" s="56"/>
      <c r="M222" s="56" t="s">
        <v>1020</v>
      </c>
      <c r="N222" s="56"/>
      <c r="O222" s="9">
        <v>0</v>
      </c>
      <c r="P222" s="9">
        <v>15</v>
      </c>
      <c r="Q222" s="9" t="s">
        <v>1164</v>
      </c>
      <c r="U222" s="9" t="s">
        <v>707</v>
      </c>
      <c r="X222" s="9">
        <f ca="1">IFERROR(OFFSET(ITEM_RES!$A$5,MATCH(BUILDING!W222,ITEM_RES!$J$5:$J$226,0)-1,0),0)</f>
        <v>0</v>
      </c>
      <c r="AA222" s="9">
        <f ca="1">IFERROR(OFFSET(ITEM_RES!$A$5,MATCH(BUILDING!Z222,ITEM_RES!$J$5:$J$226,0)-1,0),0)</f>
        <v>0</v>
      </c>
      <c r="AC222" s="9" t="s">
        <v>571</v>
      </c>
      <c r="AD222" s="9">
        <v>18</v>
      </c>
      <c r="AF222" s="11">
        <f ca="1">IFERROR(OFFSET(MANOR_LEVEL!$B$1,MATCH(AG222-1,MANOR_LEVEL!$A:$A,0)-1,0),0)</f>
        <v>2622400</v>
      </c>
      <c r="AG222" s="56">
        <v>15</v>
      </c>
      <c r="AI222" s="56">
        <f t="shared" ca="1" si="95"/>
        <v>2100</v>
      </c>
      <c r="AJ222" s="10">
        <f ca="1">AO222+AQ222+(IFERROR(OFFSET(ITEM_RES!$S$1,MATCH(AU222,ITEM_RES!$A:$A,0)-1,0),0)*AW222+IFERROR(OFFSET(ITEM_RES!$S$1,MATCH(AZ222,ITEM_RES!$A:$A,0)-1,0),0)*BB222+IFERROR(OFFSET(ITEM_RES!$S$1,MATCH(BE222,ITEM_RES!$A:$A,0)-1,0),0)*BG222+IFERROR(OFFSET(ITEM_RES!$S$1,MATCH(BJ222,ITEM_RES!$A:$A,0)-1,0),0)*BL222+IFERROR(OFFSET(ITEM_RES!$S$1,MATCH(BO222,ITEM_RES!$A:$A,0)-1,0),0)*BQ222)/1000</f>
        <v>2100.3000000000002</v>
      </c>
      <c r="AK222" s="183">
        <f t="shared" ca="1" si="94"/>
        <v>3800</v>
      </c>
      <c r="AM222" s="11">
        <f t="shared" si="89"/>
        <v>90</v>
      </c>
      <c r="AN222" s="10">
        <v>90</v>
      </c>
      <c r="AO222" s="11">
        <f t="shared" si="90"/>
        <v>1050</v>
      </c>
      <c r="AP222" s="10">
        <v>1050</v>
      </c>
      <c r="AQ222" s="11">
        <f t="shared" si="91"/>
        <v>1050</v>
      </c>
      <c r="AR222" s="10">
        <v>1050</v>
      </c>
      <c r="AS222" s="56">
        <f t="shared" si="92"/>
        <v>2</v>
      </c>
      <c r="AU222" s="11">
        <f ca="1">IFERROR(OFFSET(ITEM_RES!$A$1,MATCH(AV222,ITEM_RES!$J:$J,0)-1,0),0)</f>
        <v>211020801</v>
      </c>
      <c r="AV222" s="10" t="s">
        <v>392</v>
      </c>
      <c r="AW222" s="11">
        <v>1</v>
      </c>
      <c r="AZ222" s="11">
        <f ca="1">IFERROR(OFFSET(ITEM_RES!$A$1,MATCH(BA222,ITEM_RES!$J:$J,0)-1,0),0)</f>
        <v>211020901</v>
      </c>
      <c r="BA222" s="10" t="s">
        <v>393</v>
      </c>
      <c r="BB222" s="11">
        <v>1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O222" s="11">
        <f ca="1">IFERROR(OFFSET(ITEM_RES!$A$1,MATCH(BP222,ITEM_RES!$J:$J,0)-1,0),0)</f>
        <v>0</v>
      </c>
      <c r="BQ222" s="11">
        <f t="shared" si="93"/>
        <v>0</v>
      </c>
    </row>
    <row r="223" spans="1:69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570</v>
      </c>
      <c r="L223" s="56"/>
      <c r="M223" s="56" t="s">
        <v>1020</v>
      </c>
      <c r="N223" s="56"/>
      <c r="O223" s="9">
        <v>0</v>
      </c>
      <c r="P223" s="9">
        <v>15</v>
      </c>
      <c r="Q223" s="9" t="s">
        <v>1164</v>
      </c>
      <c r="U223" s="9" t="s">
        <v>707</v>
      </c>
      <c r="X223" s="9">
        <f ca="1">IFERROR(OFFSET(ITEM_RES!$A$5,MATCH(BUILDING!W223,ITEM_RES!$J$5:$J$226,0)-1,0),0)</f>
        <v>0</v>
      </c>
      <c r="AA223" s="9">
        <f ca="1">IFERROR(OFFSET(ITEM_RES!$A$5,MATCH(BUILDING!Z223,ITEM_RES!$J$5:$J$226,0)-1,0),0)</f>
        <v>0</v>
      </c>
      <c r="AC223" s="9" t="s">
        <v>571</v>
      </c>
      <c r="AD223" s="9">
        <v>19</v>
      </c>
      <c r="AF223" s="11">
        <f ca="1">IFERROR(OFFSET(MANOR_LEVEL!$B$1,MATCH(AG223-1,MANOR_LEVEL!$A:$A,0)-1,0),0)</f>
        <v>4232000</v>
      </c>
      <c r="AG223" s="56">
        <v>16</v>
      </c>
      <c r="AI223" s="56">
        <f t="shared" ca="1" si="95"/>
        <v>2500</v>
      </c>
      <c r="AJ223" s="10">
        <f ca="1">AO223+AQ223+(IFERROR(OFFSET(ITEM_RES!$S$1,MATCH(AU223,ITEM_RES!$A:$A,0)-1,0),0)*AW223+IFERROR(OFFSET(ITEM_RES!$S$1,MATCH(AZ223,ITEM_RES!$A:$A,0)-1,0),0)*BB223+IFERROR(OFFSET(ITEM_RES!$S$1,MATCH(BE223,ITEM_RES!$A:$A,0)-1,0),0)*BG223+IFERROR(OFFSET(ITEM_RES!$S$1,MATCH(BJ223,ITEM_RES!$A:$A,0)-1,0),0)*BL223+IFERROR(OFFSET(ITEM_RES!$S$1,MATCH(BO223,ITEM_RES!$A:$A,0)-1,0),0)*BQ223)/1000</f>
        <v>2500.4</v>
      </c>
      <c r="AK223" s="183">
        <f t="shared" ca="1" si="94"/>
        <v>4600</v>
      </c>
      <c r="AM223" s="11">
        <f t="shared" si="89"/>
        <v>95</v>
      </c>
      <c r="AN223" s="10">
        <v>95</v>
      </c>
      <c r="AO223" s="11">
        <f t="shared" si="90"/>
        <v>1250</v>
      </c>
      <c r="AP223" s="10">
        <v>1250</v>
      </c>
      <c r="AQ223" s="11">
        <f t="shared" si="91"/>
        <v>1250</v>
      </c>
      <c r="AR223" s="10">
        <v>1250</v>
      </c>
      <c r="AS223" s="56">
        <f t="shared" si="92"/>
        <v>2</v>
      </c>
      <c r="AU223" s="11">
        <f ca="1">IFERROR(OFFSET(ITEM_RES!$A$1,MATCH(AV223,ITEM_RES!$J:$J,0)-1,0),0)</f>
        <v>211020901</v>
      </c>
      <c r="AV223" s="10" t="s">
        <v>393</v>
      </c>
      <c r="AW223" s="11">
        <v>1</v>
      </c>
      <c r="AZ223" s="11">
        <f ca="1">IFERROR(OFFSET(ITEM_RES!$A$1,MATCH(BA223,ITEM_RES!$J:$J,0)-1,0),0)</f>
        <v>211020501</v>
      </c>
      <c r="BA223" s="10" t="s">
        <v>424</v>
      </c>
      <c r="BB223" s="11">
        <v>1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O223" s="11">
        <f ca="1">IFERROR(OFFSET(ITEM_RES!$A$1,MATCH(BP223,ITEM_RES!$J:$J,0)-1,0),0)</f>
        <v>0</v>
      </c>
      <c r="BQ223" s="11">
        <f t="shared" si="93"/>
        <v>0</v>
      </c>
    </row>
    <row r="224" spans="1:69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570</v>
      </c>
      <c r="L224" s="56"/>
      <c r="M224" s="56" t="s">
        <v>1020</v>
      </c>
      <c r="N224" s="56"/>
      <c r="O224" s="9">
        <v>0</v>
      </c>
      <c r="P224" s="9">
        <v>15</v>
      </c>
      <c r="Q224" s="9" t="s">
        <v>1164</v>
      </c>
      <c r="U224" s="9" t="s">
        <v>707</v>
      </c>
      <c r="X224" s="9">
        <f ca="1">IFERROR(OFFSET(ITEM_RES!$A$5,MATCH(BUILDING!W224,ITEM_RES!$J$5:$J$226,0)-1,0),0)</f>
        <v>0</v>
      </c>
      <c r="AA224" s="9">
        <f ca="1">IFERROR(OFFSET(ITEM_RES!$A$5,MATCH(BUILDING!Z224,ITEM_RES!$J$5:$J$226,0)-1,0),0)</f>
        <v>0</v>
      </c>
      <c r="AC224" s="9" t="s">
        <v>571</v>
      </c>
      <c r="AD224" s="9">
        <v>20</v>
      </c>
      <c r="AF224" s="11">
        <f ca="1">IFERROR(OFFSET(MANOR_LEVEL!$B$1,MATCH(AG224-1,MANOR_LEVEL!$A:$A,0)-1,0),0)</f>
        <v>7450000</v>
      </c>
      <c r="AG224" s="56">
        <v>17</v>
      </c>
      <c r="AI224" s="56">
        <f t="shared" ca="1" si="95"/>
        <v>3000</v>
      </c>
      <c r="AJ224" s="10">
        <f ca="1">AO224+AQ224+(IFERROR(OFFSET(ITEM_RES!$S$1,MATCH(AU224,ITEM_RES!$A:$A,0)-1,0),0)*AW224+IFERROR(OFFSET(ITEM_RES!$S$1,MATCH(AZ224,ITEM_RES!$A:$A,0)-1,0),0)*BB224+IFERROR(OFFSET(ITEM_RES!$S$1,MATCH(BE224,ITEM_RES!$A:$A,0)-1,0),0)*BG224+IFERROR(OFFSET(ITEM_RES!$S$1,MATCH(BJ224,ITEM_RES!$A:$A,0)-1,0),0)*BL224+IFERROR(OFFSET(ITEM_RES!$S$1,MATCH(BO224,ITEM_RES!$A:$A,0)-1,0),0)*BQ224)/1000</f>
        <v>3000.4</v>
      </c>
      <c r="AK224" s="183">
        <f t="shared" ca="1" si="94"/>
        <v>5500</v>
      </c>
      <c r="AM224" s="11">
        <f t="shared" si="89"/>
        <v>100</v>
      </c>
      <c r="AN224" s="10">
        <v>100</v>
      </c>
      <c r="AO224" s="11">
        <f t="shared" si="90"/>
        <v>1500</v>
      </c>
      <c r="AP224" s="10">
        <v>1500</v>
      </c>
      <c r="AQ224" s="11">
        <f t="shared" si="91"/>
        <v>1500</v>
      </c>
      <c r="AR224" s="10">
        <v>1500</v>
      </c>
      <c r="AS224" s="56">
        <f t="shared" si="92"/>
        <v>2</v>
      </c>
      <c r="AU224" s="11">
        <f ca="1">IFERROR(OFFSET(ITEM_RES!$A$1,MATCH(AV224,ITEM_RES!$J:$J,0)-1,0),0)</f>
        <v>211020901</v>
      </c>
      <c r="AV224" s="10" t="s">
        <v>393</v>
      </c>
      <c r="AW224" s="11">
        <v>1</v>
      </c>
      <c r="AZ224" s="11">
        <f ca="1">IFERROR(OFFSET(ITEM_RES!$A$1,MATCH(BA224,ITEM_RES!$J:$J,0)-1,0),0)</f>
        <v>211020501</v>
      </c>
      <c r="BA224" s="10" t="s">
        <v>424</v>
      </c>
      <c r="BB224" s="11">
        <v>1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O224" s="11">
        <f ca="1">IFERROR(OFFSET(ITEM_RES!$A$1,MATCH(BP224,ITEM_RES!$J:$J,0)-1,0),0)</f>
        <v>0</v>
      </c>
      <c r="BQ224" s="11">
        <f t="shared" si="93"/>
        <v>0</v>
      </c>
    </row>
    <row r="225" spans="1:70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79"/>
      <c r="H225" s="16">
        <v>3</v>
      </c>
      <c r="I225" s="16">
        <v>1</v>
      </c>
      <c r="J225" s="79"/>
      <c r="K225" s="64" t="s">
        <v>371</v>
      </c>
      <c r="L225" s="64">
        <v>1</v>
      </c>
      <c r="M225" s="64" t="s">
        <v>952</v>
      </c>
      <c r="N225" s="64"/>
      <c r="O225" s="16">
        <v>1</v>
      </c>
      <c r="P225" s="16">
        <v>15</v>
      </c>
      <c r="Q225" s="16" t="s">
        <v>785</v>
      </c>
      <c r="R225" s="17"/>
      <c r="S225" s="17"/>
      <c r="T225" s="18"/>
      <c r="U225" s="16" t="s">
        <v>708</v>
      </c>
      <c r="V225" s="79"/>
      <c r="W225" s="87"/>
      <c r="X225" s="16">
        <f ca="1">IFERROR(OFFSET(ITEM_RES!$A$5,MATCH(BUILDING!W225,ITEM_RES!$J$5:$J$226,0)-1,0),0)</f>
        <v>0</v>
      </c>
      <c r="Y225" s="18"/>
      <c r="Z225" s="87"/>
      <c r="AA225" s="16">
        <f ca="1">IFERROR(OFFSET(ITEM_RES!$A$5,MATCH(BUILDING!Z225,ITEM_RES!$J$5:$J$226,0)-1,0),0)</f>
        <v>0</v>
      </c>
      <c r="AB225" s="79"/>
      <c r="AC225" s="16" t="s">
        <v>518</v>
      </c>
      <c r="AD225" s="16">
        <v>1</v>
      </c>
      <c r="AE225" s="79"/>
      <c r="AF225" s="18">
        <f ca="1">IFERROR(OFFSET(MANOR_LEVEL!$B$1,MATCH(AG225-1,MANOR_LEVEL!$A:$A,0)-1,0),0)</f>
        <v>0</v>
      </c>
      <c r="AG225" s="57">
        <v>1</v>
      </c>
      <c r="AH225" s="79"/>
      <c r="AI225" s="57">
        <f t="shared" ca="1" si="95"/>
        <v>110</v>
      </c>
      <c r="AJ225" s="17">
        <f ca="1">AO225+AQ225+(IFERROR(OFFSET(ITEM_RES!$S$1,MATCH(AU225,ITEM_RES!$A:$A,0)-1,0),0)*AW225+IFERROR(OFFSET(ITEM_RES!$S$1,MATCH(AZ225,ITEM_RES!$A:$A,0)-1,0),0)*BB225+IFERROR(OFFSET(ITEM_RES!$S$1,MATCH(BE225,ITEM_RES!$A:$A,0)-1,0),0)*BG225+IFERROR(OFFSET(ITEM_RES!$S$1,MATCH(BJ225,ITEM_RES!$A:$A,0)-1,0),0)*BL225+IFERROR(OFFSET(ITEM_RES!$S$1,MATCH(BO225,ITEM_RES!$A:$A,0)-1,0),0)*BQ225)/1000</f>
        <v>110.11</v>
      </c>
      <c r="AK225" s="185">
        <f ca="1">AI225</f>
        <v>110</v>
      </c>
      <c r="AL225" s="79"/>
      <c r="AM225" s="18">
        <f t="shared" si="67"/>
        <v>5</v>
      </c>
      <c r="AN225" s="17">
        <v>5</v>
      </c>
      <c r="AO225" s="18">
        <f t="shared" si="75"/>
        <v>5</v>
      </c>
      <c r="AP225" s="17">
        <v>5</v>
      </c>
      <c r="AQ225" s="18">
        <f t="shared" si="75"/>
        <v>5</v>
      </c>
      <c r="AR225" s="17">
        <v>5</v>
      </c>
      <c r="AS225" s="57">
        <f t="shared" si="68"/>
        <v>3</v>
      </c>
      <c r="AT225" s="18"/>
      <c r="AU225" s="18">
        <f ca="1">IFERROR(OFFSET(ITEM_RES!$A$1,MATCH(AV225,ITEM_RES!$J:$J,0)-1,0),0)</f>
        <v>211020801</v>
      </c>
      <c r="AV225" s="17" t="s">
        <v>435</v>
      </c>
      <c r="AW225" s="18">
        <v>1</v>
      </c>
      <c r="AX225" s="17"/>
      <c r="AY225" s="18"/>
      <c r="AZ225" s="18">
        <f ca="1">IFERROR(OFFSET(ITEM_RES!$A$1,MATCH(BA225,ITEM_RES!$J:$J,0)-1,0),0)</f>
        <v>211020401</v>
      </c>
      <c r="BA225" s="17" t="s">
        <v>423</v>
      </c>
      <c r="BB225" s="18">
        <v>1</v>
      </c>
      <c r="BC225" s="17"/>
      <c r="BD225" s="18"/>
      <c r="BE225" s="18">
        <f ca="1">IFERROR(OFFSET(ITEM_RES!$A$1,MATCH(BF225,ITEM_RES!$J:$J,0)-1,0),0)</f>
        <v>213010101</v>
      </c>
      <c r="BF225" s="17" t="s">
        <v>452</v>
      </c>
      <c r="BG225" s="18">
        <v>1</v>
      </c>
      <c r="BH225" s="17"/>
      <c r="BI225" s="18"/>
      <c r="BJ225" s="18">
        <f ca="1">IFERROR(OFFSET(ITEM_RES!$A$1,MATCH(BK225,ITEM_RES!$J:$J,0)-1,0),0)</f>
        <v>0</v>
      </c>
      <c r="BK225" s="17"/>
      <c r="BL225" s="18"/>
      <c r="BM225" s="17"/>
      <c r="BN225" s="18"/>
      <c r="BO225" s="18">
        <f ca="1">IFERROR(OFFSET(ITEM_RES!$A$1,MATCH(BP225,ITEM_RES!$J:$J,0)-1,0),0)</f>
        <v>0</v>
      </c>
      <c r="BP225" s="17"/>
      <c r="BQ225" s="18">
        <f t="shared" si="73"/>
        <v>0</v>
      </c>
      <c r="BR225" s="17"/>
    </row>
    <row r="226" spans="1:70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371</v>
      </c>
      <c r="L226" s="56"/>
      <c r="M226" s="56" t="s">
        <v>952</v>
      </c>
      <c r="N226" s="56"/>
      <c r="O226" s="9">
        <v>1</v>
      </c>
      <c r="P226" s="9">
        <v>15</v>
      </c>
      <c r="Q226" s="9" t="s">
        <v>785</v>
      </c>
      <c r="U226" s="9" t="s">
        <v>708</v>
      </c>
      <c r="X226" s="9">
        <f ca="1">IFERROR(OFFSET(ITEM_RES!$A$5,MATCH(BUILDING!W226,ITEM_RES!$J$5:$J$226,0)-1,0),0)</f>
        <v>0</v>
      </c>
      <c r="AA226" s="9">
        <f ca="1">IFERROR(OFFSET(ITEM_RES!$A$5,MATCH(BUILDING!Z226,ITEM_RES!$J$5:$J$226,0)-1,0),0)</f>
        <v>0</v>
      </c>
      <c r="AC226" s="9" t="s">
        <v>518</v>
      </c>
      <c r="AD226" s="9">
        <v>2</v>
      </c>
      <c r="AF226" s="11">
        <f ca="1">IFERROR(OFFSET(MANOR_LEVEL!$B$1,MATCH(AG226-1,MANOR_LEVEL!$A:$A,0)-1,0),0)</f>
        <v>0</v>
      </c>
      <c r="AG226" s="56">
        <v>1</v>
      </c>
      <c r="AI226" s="56">
        <f t="shared" ca="1" si="95"/>
        <v>20</v>
      </c>
      <c r="AJ226" s="10">
        <f ca="1">AO226+AQ226+(IFERROR(OFFSET(ITEM_RES!$S$1,MATCH(AU226,ITEM_RES!$A:$A,0)-1,0),0)*AW226+IFERROR(OFFSET(ITEM_RES!$S$1,MATCH(AZ226,ITEM_RES!$A:$A,0)-1,0),0)*BB226+IFERROR(OFFSET(ITEM_RES!$S$1,MATCH(BE226,ITEM_RES!$A:$A,0)-1,0),0)*BG226+IFERROR(OFFSET(ITEM_RES!$S$1,MATCH(BJ226,ITEM_RES!$A:$A,0)-1,0),0)*BL226+IFERROR(OFFSET(ITEM_RES!$S$1,MATCH(BO226,ITEM_RES!$A:$A,0)-1,0),0)*BQ226)/1000</f>
        <v>20.11</v>
      </c>
      <c r="AK226" s="183">
        <f ca="1">AI225+AI226</f>
        <v>130</v>
      </c>
      <c r="AM226" s="11">
        <f t="shared" si="67"/>
        <v>10</v>
      </c>
      <c r="AN226" s="10">
        <v>10</v>
      </c>
      <c r="AO226" s="11">
        <f t="shared" si="75"/>
        <v>10</v>
      </c>
      <c r="AP226" s="10">
        <v>10</v>
      </c>
      <c r="AQ226" s="11">
        <f t="shared" si="75"/>
        <v>10</v>
      </c>
      <c r="AR226" s="10">
        <v>10</v>
      </c>
      <c r="AS226" s="56">
        <f t="shared" si="68"/>
        <v>2</v>
      </c>
      <c r="AU226" s="11">
        <f ca="1">IFERROR(OFFSET(ITEM_RES!$A$1,MATCH(AV226,ITEM_RES!$J:$J,0)-1,0),0)</f>
        <v>211020801</v>
      </c>
      <c r="AV226" s="10" t="s">
        <v>435</v>
      </c>
      <c r="AW226" s="11">
        <v>1</v>
      </c>
      <c r="AZ226" s="11">
        <f ca="1">IFERROR(OFFSET(ITEM_RES!$A$1,MATCH(BA226,ITEM_RES!$J:$J,0)-1,0),0)</f>
        <v>211020401</v>
      </c>
      <c r="BA226" s="10" t="s">
        <v>423</v>
      </c>
      <c r="BB226" s="11">
        <v>1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O226" s="11">
        <f ca="1">IFERROR(OFFSET(ITEM_RES!$A$1,MATCH(BP226,ITEM_RES!$J:$J,0)-1,0),0)</f>
        <v>0</v>
      </c>
      <c r="BQ226" s="11">
        <f t="shared" si="73"/>
        <v>0</v>
      </c>
    </row>
    <row r="227" spans="1:70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371</v>
      </c>
      <c r="L227" s="56"/>
      <c r="M227" s="56" t="s">
        <v>952</v>
      </c>
      <c r="N227" s="56"/>
      <c r="O227" s="9">
        <v>1</v>
      </c>
      <c r="P227" s="9">
        <v>15</v>
      </c>
      <c r="Q227" s="9" t="s">
        <v>785</v>
      </c>
      <c r="U227" s="9" t="s">
        <v>708</v>
      </c>
      <c r="X227" s="9">
        <f ca="1">IFERROR(OFFSET(ITEM_RES!$A$5,MATCH(BUILDING!W227,ITEM_RES!$J$5:$J$226,0)-1,0),0)</f>
        <v>0</v>
      </c>
      <c r="AA227" s="9">
        <f ca="1">IFERROR(OFFSET(ITEM_RES!$A$5,MATCH(BUILDING!Z227,ITEM_RES!$J$5:$J$226,0)-1,0),0)</f>
        <v>0</v>
      </c>
      <c r="AC227" s="9" t="s">
        <v>518</v>
      </c>
      <c r="AD227" s="9">
        <v>3</v>
      </c>
      <c r="AF227" s="11">
        <f ca="1">IFERROR(OFFSET(MANOR_LEVEL!$B$1,MATCH(AG227-1,MANOR_LEVEL!$A:$A,0)-1,0),0)</f>
        <v>0</v>
      </c>
      <c r="AG227" s="56">
        <v>1</v>
      </c>
      <c r="AI227" s="56">
        <f t="shared" ca="1" si="95"/>
        <v>30</v>
      </c>
      <c r="AJ227" s="10">
        <f ca="1">AO227+AQ227+(IFERROR(OFFSET(ITEM_RES!$S$1,MATCH(AU227,ITEM_RES!$A:$A,0)-1,0),0)*AW227+IFERROR(OFFSET(ITEM_RES!$S$1,MATCH(AZ227,ITEM_RES!$A:$A,0)-1,0),0)*BB227+IFERROR(OFFSET(ITEM_RES!$S$1,MATCH(BE227,ITEM_RES!$A:$A,0)-1,0),0)*BG227+IFERROR(OFFSET(ITEM_RES!$S$1,MATCH(BJ227,ITEM_RES!$A:$A,0)-1,0),0)*BL227+IFERROR(OFFSET(ITEM_RES!$S$1,MATCH(BO227,ITEM_RES!$A:$A,0)-1,0),0)*BQ227)/1000</f>
        <v>30.11</v>
      </c>
      <c r="AK227" s="183">
        <f t="shared" ref="AK227:AK244" ca="1" si="96">AI226+AI227</f>
        <v>50</v>
      </c>
      <c r="AM227" s="11">
        <f t="shared" si="67"/>
        <v>15</v>
      </c>
      <c r="AN227" s="10">
        <v>15</v>
      </c>
      <c r="AO227" s="11">
        <f t="shared" si="75"/>
        <v>15</v>
      </c>
      <c r="AP227" s="10">
        <v>15</v>
      </c>
      <c r="AQ227" s="11">
        <f t="shared" si="75"/>
        <v>15</v>
      </c>
      <c r="AR227" s="10">
        <v>15</v>
      </c>
      <c r="AS227" s="56">
        <f t="shared" si="68"/>
        <v>2</v>
      </c>
      <c r="AU227" s="11">
        <f ca="1">IFERROR(OFFSET(ITEM_RES!$A$1,MATCH(AV227,ITEM_RES!$J:$J,0)-1,0),0)</f>
        <v>211020801</v>
      </c>
      <c r="AV227" s="10" t="s">
        <v>435</v>
      </c>
      <c r="AW227" s="11">
        <v>1</v>
      </c>
      <c r="AZ227" s="11">
        <f ca="1">IFERROR(OFFSET(ITEM_RES!$A$1,MATCH(BA227,ITEM_RES!$J:$J,0)-1,0),0)</f>
        <v>211020401</v>
      </c>
      <c r="BA227" s="10" t="s">
        <v>423</v>
      </c>
      <c r="BB227" s="11">
        <v>1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O227" s="11">
        <f ca="1">IFERROR(OFFSET(ITEM_RES!$A$1,MATCH(BP227,ITEM_RES!$J:$J,0)-1,0),0)</f>
        <v>0</v>
      </c>
      <c r="BQ227" s="11">
        <f t="shared" si="73"/>
        <v>0</v>
      </c>
    </row>
    <row r="228" spans="1:70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371</v>
      </c>
      <c r="L228" s="56"/>
      <c r="M228" s="56" t="s">
        <v>952</v>
      </c>
      <c r="N228" s="56"/>
      <c r="O228" s="9">
        <v>1</v>
      </c>
      <c r="P228" s="9">
        <v>15</v>
      </c>
      <c r="Q228" s="9" t="s">
        <v>785</v>
      </c>
      <c r="U228" s="9" t="s">
        <v>708</v>
      </c>
      <c r="X228" s="9">
        <f ca="1">IFERROR(OFFSET(ITEM_RES!$A$5,MATCH(BUILDING!W228,ITEM_RES!$J$5:$J$226,0)-1,0),0)</f>
        <v>0</v>
      </c>
      <c r="AA228" s="9">
        <f ca="1">IFERROR(OFFSET(ITEM_RES!$A$5,MATCH(BUILDING!Z228,ITEM_RES!$J$5:$J$226,0)-1,0),0)</f>
        <v>0</v>
      </c>
      <c r="AC228" s="9" t="s">
        <v>518</v>
      </c>
      <c r="AD228" s="9">
        <v>4</v>
      </c>
      <c r="AF228" s="11">
        <f ca="1">IFERROR(OFFSET(MANOR_LEVEL!$B$1,MATCH(AG228-1,MANOR_LEVEL!$A:$A,0)-1,0),0)</f>
        <v>0</v>
      </c>
      <c r="AG228" s="56">
        <v>1</v>
      </c>
      <c r="AI228" s="56">
        <f t="shared" ca="1" si="95"/>
        <v>50</v>
      </c>
      <c r="AJ228" s="10">
        <f ca="1">AO228+AQ228+(IFERROR(OFFSET(ITEM_RES!$S$1,MATCH(AU228,ITEM_RES!$A:$A,0)-1,0),0)*AW228+IFERROR(OFFSET(ITEM_RES!$S$1,MATCH(AZ228,ITEM_RES!$A:$A,0)-1,0),0)*BB228+IFERROR(OFFSET(ITEM_RES!$S$1,MATCH(BE228,ITEM_RES!$A:$A,0)-1,0),0)*BG228+IFERROR(OFFSET(ITEM_RES!$S$1,MATCH(BJ228,ITEM_RES!$A:$A,0)-1,0),0)*BL228+IFERROR(OFFSET(ITEM_RES!$S$1,MATCH(BO228,ITEM_RES!$A:$A,0)-1,0),0)*BQ228)/1000</f>
        <v>50.11</v>
      </c>
      <c r="AK228" s="183">
        <f t="shared" ca="1" si="96"/>
        <v>80</v>
      </c>
      <c r="AM228" s="11">
        <f t="shared" si="67"/>
        <v>20</v>
      </c>
      <c r="AN228" s="10">
        <v>20</v>
      </c>
      <c r="AO228" s="11">
        <f t="shared" si="75"/>
        <v>25</v>
      </c>
      <c r="AP228" s="10">
        <v>25</v>
      </c>
      <c r="AQ228" s="11">
        <f t="shared" si="75"/>
        <v>25</v>
      </c>
      <c r="AR228" s="10">
        <v>25</v>
      </c>
      <c r="AS228" s="56">
        <f t="shared" si="68"/>
        <v>2</v>
      </c>
      <c r="AU228" s="11">
        <f ca="1">IFERROR(OFFSET(ITEM_RES!$A$1,MATCH(AV228,ITEM_RES!$J:$J,0)-1,0),0)</f>
        <v>211020801</v>
      </c>
      <c r="AV228" s="10" t="s">
        <v>435</v>
      </c>
      <c r="AW228" s="11">
        <v>1</v>
      </c>
      <c r="AZ228" s="11">
        <f ca="1">IFERROR(OFFSET(ITEM_RES!$A$1,MATCH(BA228,ITEM_RES!$J:$J,0)-1,0),0)</f>
        <v>211020401</v>
      </c>
      <c r="BA228" s="10" t="s">
        <v>423</v>
      </c>
      <c r="BB228" s="11">
        <v>1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O228" s="11">
        <f ca="1">IFERROR(OFFSET(ITEM_RES!$A$1,MATCH(BP228,ITEM_RES!$J:$J,0)-1,0),0)</f>
        <v>0</v>
      </c>
      <c r="BQ228" s="11">
        <f t="shared" si="73"/>
        <v>0</v>
      </c>
    </row>
    <row r="229" spans="1:70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371</v>
      </c>
      <c r="L229" s="56"/>
      <c r="M229" s="56" t="s">
        <v>952</v>
      </c>
      <c r="N229" s="56"/>
      <c r="O229" s="9">
        <v>1</v>
      </c>
      <c r="P229" s="9">
        <v>15</v>
      </c>
      <c r="Q229" s="9" t="s">
        <v>785</v>
      </c>
      <c r="U229" s="9" t="s">
        <v>708</v>
      </c>
      <c r="X229" s="9">
        <f ca="1">IFERROR(OFFSET(ITEM_RES!$A$5,MATCH(BUILDING!W229,ITEM_RES!$J$5:$J$226,0)-1,0),0)</f>
        <v>0</v>
      </c>
      <c r="AA229" s="9">
        <f ca="1">IFERROR(OFFSET(ITEM_RES!$A$5,MATCH(BUILDING!Z229,ITEM_RES!$J$5:$J$226,0)-1,0),0)</f>
        <v>0</v>
      </c>
      <c r="AC229" s="9" t="s">
        <v>518</v>
      </c>
      <c r="AD229" s="9">
        <v>5</v>
      </c>
      <c r="AF229" s="11">
        <f ca="1">IFERROR(OFFSET(MANOR_LEVEL!$B$1,MATCH(AG229-1,MANOR_LEVEL!$A:$A,0)-1,0),0)</f>
        <v>0</v>
      </c>
      <c r="AG229" s="56">
        <v>1</v>
      </c>
      <c r="AI229" s="56">
        <f t="shared" ca="1" si="95"/>
        <v>80</v>
      </c>
      <c r="AJ229" s="10">
        <f ca="1">AO229+AQ229+(IFERROR(OFFSET(ITEM_RES!$S$1,MATCH(AU229,ITEM_RES!$A:$A,0)-1,0),0)*AW229+IFERROR(OFFSET(ITEM_RES!$S$1,MATCH(AZ229,ITEM_RES!$A:$A,0)-1,0),0)*BB229+IFERROR(OFFSET(ITEM_RES!$S$1,MATCH(BE229,ITEM_RES!$A:$A,0)-1,0),0)*BG229+IFERROR(OFFSET(ITEM_RES!$S$1,MATCH(BJ229,ITEM_RES!$A:$A,0)-1,0),0)*BL229+IFERROR(OFFSET(ITEM_RES!$S$1,MATCH(BO229,ITEM_RES!$A:$A,0)-1,0),0)*BQ229)/1000</f>
        <v>80.11</v>
      </c>
      <c r="AK229" s="183">
        <f t="shared" ca="1" si="96"/>
        <v>130</v>
      </c>
      <c r="AM229" s="11">
        <f t="shared" si="67"/>
        <v>25</v>
      </c>
      <c r="AN229" s="10">
        <v>25</v>
      </c>
      <c r="AO229" s="11">
        <f t="shared" si="75"/>
        <v>40</v>
      </c>
      <c r="AP229" s="10">
        <v>40</v>
      </c>
      <c r="AQ229" s="11">
        <f t="shared" si="75"/>
        <v>40</v>
      </c>
      <c r="AR229" s="10">
        <v>40</v>
      </c>
      <c r="AS229" s="56">
        <f t="shared" si="68"/>
        <v>2</v>
      </c>
      <c r="AU229" s="11">
        <f ca="1">IFERROR(OFFSET(ITEM_RES!$A$1,MATCH(AV229,ITEM_RES!$J:$J,0)-1,0),0)</f>
        <v>211020801</v>
      </c>
      <c r="AV229" s="10" t="s">
        <v>435</v>
      </c>
      <c r="AW229" s="11">
        <v>1</v>
      </c>
      <c r="AZ229" s="11">
        <f ca="1">IFERROR(OFFSET(ITEM_RES!$A$1,MATCH(BA229,ITEM_RES!$J:$J,0)-1,0),0)</f>
        <v>211020401</v>
      </c>
      <c r="BA229" s="10" t="s">
        <v>423</v>
      </c>
      <c r="BB229" s="11">
        <v>1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O229" s="11">
        <f ca="1">IFERROR(OFFSET(ITEM_RES!$A$1,MATCH(BP229,ITEM_RES!$J:$J,0)-1,0),0)</f>
        <v>0</v>
      </c>
      <c r="BQ229" s="11">
        <f t="shared" si="73"/>
        <v>0</v>
      </c>
    </row>
    <row r="230" spans="1:70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371</v>
      </c>
      <c r="L230" s="56"/>
      <c r="M230" s="56" t="s">
        <v>952</v>
      </c>
      <c r="N230" s="56"/>
      <c r="O230" s="9">
        <v>1</v>
      </c>
      <c r="P230" s="9">
        <v>15</v>
      </c>
      <c r="Q230" s="9" t="s">
        <v>785</v>
      </c>
      <c r="U230" s="9" t="s">
        <v>708</v>
      </c>
      <c r="X230" s="9">
        <f ca="1">IFERROR(OFFSET(ITEM_RES!$A$5,MATCH(BUILDING!W230,ITEM_RES!$J$5:$J$226,0)-1,0),0)</f>
        <v>0</v>
      </c>
      <c r="AA230" s="9">
        <f ca="1">IFERROR(OFFSET(ITEM_RES!$A$5,MATCH(BUILDING!Z230,ITEM_RES!$J$5:$J$226,0)-1,0),0)</f>
        <v>0</v>
      </c>
      <c r="AC230" s="9" t="s">
        <v>518</v>
      </c>
      <c r="AD230" s="9">
        <v>6</v>
      </c>
      <c r="AF230" s="11">
        <f ca="1">IFERROR(OFFSET(MANOR_LEVEL!$B$1,MATCH(AG230-1,MANOR_LEVEL!$A:$A,0)-1,0),0)</f>
        <v>528</v>
      </c>
      <c r="AG230" s="56">
        <v>3</v>
      </c>
      <c r="AI230" s="56">
        <f t="shared" ca="1" si="95"/>
        <v>100</v>
      </c>
      <c r="AJ230" s="10">
        <f ca="1">AO230+AQ230+(IFERROR(OFFSET(ITEM_RES!$S$1,MATCH(AU230,ITEM_RES!$A:$A,0)-1,0),0)*AW230+IFERROR(OFFSET(ITEM_RES!$S$1,MATCH(AZ230,ITEM_RES!$A:$A,0)-1,0),0)*BB230+IFERROR(OFFSET(ITEM_RES!$S$1,MATCH(BE230,ITEM_RES!$A:$A,0)-1,0),0)*BG230+IFERROR(OFFSET(ITEM_RES!$S$1,MATCH(BJ230,ITEM_RES!$A:$A,0)-1,0),0)*BL230+IFERROR(OFFSET(ITEM_RES!$S$1,MATCH(BO230,ITEM_RES!$A:$A,0)-1,0),0)*BQ230)/1000</f>
        <v>100.11</v>
      </c>
      <c r="AK230" s="183">
        <f t="shared" ca="1" si="96"/>
        <v>180</v>
      </c>
      <c r="AM230" s="11">
        <f t="shared" si="67"/>
        <v>30</v>
      </c>
      <c r="AN230" s="10">
        <v>30</v>
      </c>
      <c r="AO230" s="11">
        <f t="shared" si="75"/>
        <v>50</v>
      </c>
      <c r="AP230" s="10">
        <v>50</v>
      </c>
      <c r="AQ230" s="11">
        <f t="shared" si="75"/>
        <v>50</v>
      </c>
      <c r="AR230" s="10">
        <v>50</v>
      </c>
      <c r="AS230" s="56">
        <f t="shared" si="68"/>
        <v>2</v>
      </c>
      <c r="AU230" s="11">
        <f ca="1">IFERROR(OFFSET(ITEM_RES!$A$1,MATCH(AV230,ITEM_RES!$J:$J,0)-1,0),0)</f>
        <v>211020801</v>
      </c>
      <c r="AV230" s="10" t="s">
        <v>435</v>
      </c>
      <c r="AW230" s="11">
        <v>1</v>
      </c>
      <c r="AZ230" s="11">
        <f ca="1">IFERROR(OFFSET(ITEM_RES!$A$1,MATCH(BA230,ITEM_RES!$J:$J,0)-1,0),0)</f>
        <v>211020401</v>
      </c>
      <c r="BA230" s="10" t="s">
        <v>423</v>
      </c>
      <c r="BB230" s="11">
        <v>1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O230" s="11">
        <f ca="1">IFERROR(OFFSET(ITEM_RES!$A$1,MATCH(BP230,ITEM_RES!$J:$J,0)-1,0),0)</f>
        <v>0</v>
      </c>
      <c r="BQ230" s="11">
        <f t="shared" si="73"/>
        <v>0</v>
      </c>
    </row>
    <row r="231" spans="1:70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371</v>
      </c>
      <c r="L231" s="56"/>
      <c r="M231" s="56" t="s">
        <v>952</v>
      </c>
      <c r="N231" s="56"/>
      <c r="O231" s="9">
        <v>1</v>
      </c>
      <c r="P231" s="9">
        <v>15</v>
      </c>
      <c r="Q231" s="9" t="s">
        <v>785</v>
      </c>
      <c r="U231" s="9" t="s">
        <v>708</v>
      </c>
      <c r="X231" s="9">
        <f ca="1">IFERROR(OFFSET(ITEM_RES!$A$5,MATCH(BUILDING!W231,ITEM_RES!$J$5:$J$226,0)-1,0),0)</f>
        <v>0</v>
      </c>
      <c r="AA231" s="9">
        <f ca="1">IFERROR(OFFSET(ITEM_RES!$A$5,MATCH(BUILDING!Z231,ITEM_RES!$J$5:$J$226,0)-1,0),0)</f>
        <v>0</v>
      </c>
      <c r="AC231" s="9" t="s">
        <v>518</v>
      </c>
      <c r="AD231" s="9">
        <v>7</v>
      </c>
      <c r="AF231" s="11">
        <f ca="1">IFERROR(OFFSET(MANOR_LEVEL!$B$1,MATCH(AG231-1,MANOR_LEVEL!$A:$A,0)-1,0),0)</f>
        <v>800</v>
      </c>
      <c r="AG231" s="56">
        <v>4</v>
      </c>
      <c r="AI231" s="56">
        <f t="shared" ca="1" si="95"/>
        <v>200</v>
      </c>
      <c r="AJ231" s="10">
        <f ca="1">AO231+AQ231+(IFERROR(OFFSET(ITEM_RES!$S$1,MATCH(AU231,ITEM_RES!$A:$A,0)-1,0),0)*AW231+IFERROR(OFFSET(ITEM_RES!$S$1,MATCH(AZ231,ITEM_RES!$A:$A,0)-1,0),0)*BB231+IFERROR(OFFSET(ITEM_RES!$S$1,MATCH(BE231,ITEM_RES!$A:$A,0)-1,0),0)*BG231+IFERROR(OFFSET(ITEM_RES!$S$1,MATCH(BJ231,ITEM_RES!$A:$A,0)-1,0),0)*BL231+IFERROR(OFFSET(ITEM_RES!$S$1,MATCH(BO231,ITEM_RES!$A:$A,0)-1,0),0)*BQ231)/1000</f>
        <v>200.11</v>
      </c>
      <c r="AK231" s="183">
        <f t="shared" ca="1" si="96"/>
        <v>300</v>
      </c>
      <c r="AM231" s="11">
        <f t="shared" si="67"/>
        <v>35</v>
      </c>
      <c r="AN231" s="10">
        <v>35</v>
      </c>
      <c r="AO231" s="11">
        <f t="shared" si="75"/>
        <v>100</v>
      </c>
      <c r="AP231" s="10">
        <v>100</v>
      </c>
      <c r="AQ231" s="11">
        <f t="shared" si="75"/>
        <v>100</v>
      </c>
      <c r="AR231" s="10">
        <v>100</v>
      </c>
      <c r="AS231" s="56">
        <f t="shared" si="68"/>
        <v>2</v>
      </c>
      <c r="AU231" s="11">
        <f ca="1">IFERROR(OFFSET(ITEM_RES!$A$1,MATCH(AV231,ITEM_RES!$J:$J,0)-1,0),0)</f>
        <v>211020801</v>
      </c>
      <c r="AV231" s="10" t="s">
        <v>435</v>
      </c>
      <c r="AW231" s="11">
        <v>1</v>
      </c>
      <c r="AZ231" s="11">
        <f ca="1">IFERROR(OFFSET(ITEM_RES!$A$1,MATCH(BA231,ITEM_RES!$J:$J,0)-1,0),0)</f>
        <v>211020401</v>
      </c>
      <c r="BA231" s="10" t="s">
        <v>423</v>
      </c>
      <c r="BB231" s="11">
        <v>1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O231" s="11">
        <f ca="1">IFERROR(OFFSET(ITEM_RES!$A$1,MATCH(BP231,ITEM_RES!$J:$J,0)-1,0),0)</f>
        <v>0</v>
      </c>
      <c r="BQ231" s="11">
        <f t="shared" si="73"/>
        <v>0</v>
      </c>
    </row>
    <row r="232" spans="1:70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371</v>
      </c>
      <c r="L232" s="56"/>
      <c r="M232" s="56" t="s">
        <v>952</v>
      </c>
      <c r="N232" s="56"/>
      <c r="O232" s="9">
        <v>1</v>
      </c>
      <c r="P232" s="9">
        <v>15</v>
      </c>
      <c r="Q232" s="9" t="s">
        <v>785</v>
      </c>
      <c r="U232" s="9" t="s">
        <v>708</v>
      </c>
      <c r="X232" s="9">
        <f ca="1">IFERROR(OFFSET(ITEM_RES!$A$5,MATCH(BUILDING!W232,ITEM_RES!$J$5:$J$226,0)-1,0),0)</f>
        <v>0</v>
      </c>
      <c r="AA232" s="9">
        <f ca="1">IFERROR(OFFSET(ITEM_RES!$A$5,MATCH(BUILDING!Z232,ITEM_RES!$J$5:$J$226,0)-1,0),0)</f>
        <v>0</v>
      </c>
      <c r="AC232" s="9" t="s">
        <v>518</v>
      </c>
      <c r="AD232" s="9">
        <v>8</v>
      </c>
      <c r="AF232" s="11">
        <f ca="1">IFERROR(OFFSET(MANOR_LEVEL!$B$1,MATCH(AG232-1,MANOR_LEVEL!$A:$A,0)-1,0),0)</f>
        <v>1500</v>
      </c>
      <c r="AG232" s="56">
        <v>5</v>
      </c>
      <c r="AI232" s="56">
        <f t="shared" ca="1" si="95"/>
        <v>200</v>
      </c>
      <c r="AJ232" s="10">
        <f ca="1">AO232+AQ232+(IFERROR(OFFSET(ITEM_RES!$S$1,MATCH(AU232,ITEM_RES!$A:$A,0)-1,0),0)*AW232+IFERROR(OFFSET(ITEM_RES!$S$1,MATCH(AZ232,ITEM_RES!$A:$A,0)-1,0),0)*BB232+IFERROR(OFFSET(ITEM_RES!$S$1,MATCH(BE232,ITEM_RES!$A:$A,0)-1,0),0)*BG232+IFERROR(OFFSET(ITEM_RES!$S$1,MATCH(BJ232,ITEM_RES!$A:$A,0)-1,0),0)*BL232+IFERROR(OFFSET(ITEM_RES!$S$1,MATCH(BO232,ITEM_RES!$A:$A,0)-1,0),0)*BQ232)/1000</f>
        <v>200.11</v>
      </c>
      <c r="AK232" s="183">
        <f t="shared" ca="1" si="96"/>
        <v>400</v>
      </c>
      <c r="AM232" s="11">
        <f t="shared" si="67"/>
        <v>40</v>
      </c>
      <c r="AN232" s="10">
        <v>40</v>
      </c>
      <c r="AO232" s="11">
        <f t="shared" si="75"/>
        <v>100</v>
      </c>
      <c r="AP232" s="10">
        <v>100</v>
      </c>
      <c r="AQ232" s="11">
        <f t="shared" si="75"/>
        <v>100</v>
      </c>
      <c r="AR232" s="10">
        <v>100</v>
      </c>
      <c r="AS232" s="56">
        <f t="shared" si="68"/>
        <v>2</v>
      </c>
      <c r="AU232" s="11">
        <f ca="1">IFERROR(OFFSET(ITEM_RES!$A$1,MATCH(AV232,ITEM_RES!$J:$J,0)-1,0),0)</f>
        <v>211020801</v>
      </c>
      <c r="AV232" s="10" t="s">
        <v>435</v>
      </c>
      <c r="AW232" s="11">
        <v>1</v>
      </c>
      <c r="AZ232" s="11">
        <f ca="1">IFERROR(OFFSET(ITEM_RES!$A$1,MATCH(BA232,ITEM_RES!$J:$J,0)-1,0),0)</f>
        <v>211020401</v>
      </c>
      <c r="BA232" s="10" t="s">
        <v>423</v>
      </c>
      <c r="BB232" s="11">
        <v>1</v>
      </c>
      <c r="BE232" s="11">
        <f ca="1">IFERROR(OFFSET(ITEM_RES!$A$1,MATCH(BF232,ITEM_RES!$J:$J,0)-1,0),0)</f>
        <v>0</v>
      </c>
      <c r="BJ232" s="11">
        <f ca="1">IFERROR(OFFSET(ITEM_RES!$A$1,MATCH(BK232,ITEM_RES!$J:$J,0)-1,0),0)</f>
        <v>0</v>
      </c>
      <c r="BO232" s="11">
        <f ca="1">IFERROR(OFFSET(ITEM_RES!$A$1,MATCH(BP232,ITEM_RES!$J:$J,0)-1,0),0)</f>
        <v>0</v>
      </c>
      <c r="BQ232" s="11">
        <f t="shared" si="73"/>
        <v>0</v>
      </c>
    </row>
    <row r="233" spans="1:70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371</v>
      </c>
      <c r="L233" s="56"/>
      <c r="M233" s="56" t="s">
        <v>952</v>
      </c>
      <c r="N233" s="56"/>
      <c r="O233" s="9">
        <v>1</v>
      </c>
      <c r="P233" s="9">
        <v>15</v>
      </c>
      <c r="Q233" s="9" t="s">
        <v>785</v>
      </c>
      <c r="U233" s="9" t="s">
        <v>708</v>
      </c>
      <c r="X233" s="9">
        <f ca="1">IFERROR(OFFSET(ITEM_RES!$A$5,MATCH(BUILDING!W233,ITEM_RES!$J$5:$J$226,0)-1,0),0)</f>
        <v>0</v>
      </c>
      <c r="AA233" s="9">
        <f ca="1">IFERROR(OFFSET(ITEM_RES!$A$5,MATCH(BUILDING!Z233,ITEM_RES!$J$5:$J$226,0)-1,0),0)</f>
        <v>0</v>
      </c>
      <c r="AC233" s="9" t="s">
        <v>518</v>
      </c>
      <c r="AD233" s="9">
        <v>9</v>
      </c>
      <c r="AF233" s="11">
        <f ca="1">IFERROR(OFFSET(MANOR_LEVEL!$B$1,MATCH(AG233-1,MANOR_LEVEL!$A:$A,0)-1,0),0)</f>
        <v>3872</v>
      </c>
      <c r="AG233" s="56">
        <v>6</v>
      </c>
      <c r="AI233" s="56">
        <f t="shared" ca="1" si="95"/>
        <v>300</v>
      </c>
      <c r="AJ233" s="10">
        <f ca="1">AO233+AQ233+(IFERROR(OFFSET(ITEM_RES!$S$1,MATCH(AU233,ITEM_RES!$A:$A,0)-1,0),0)*AW233+IFERROR(OFFSET(ITEM_RES!$S$1,MATCH(AZ233,ITEM_RES!$A:$A,0)-1,0),0)*BB233+IFERROR(OFFSET(ITEM_RES!$S$1,MATCH(BE233,ITEM_RES!$A:$A,0)-1,0),0)*BG233+IFERROR(OFFSET(ITEM_RES!$S$1,MATCH(BJ233,ITEM_RES!$A:$A,0)-1,0),0)*BL233+IFERROR(OFFSET(ITEM_RES!$S$1,MATCH(BO233,ITEM_RES!$A:$A,0)-1,0),0)*BQ233)/1000</f>
        <v>300.11</v>
      </c>
      <c r="AK233" s="183">
        <f t="shared" ca="1" si="96"/>
        <v>500</v>
      </c>
      <c r="AM233" s="11">
        <f t="shared" si="67"/>
        <v>45</v>
      </c>
      <c r="AN233" s="10">
        <v>45</v>
      </c>
      <c r="AO233" s="11">
        <f t="shared" si="75"/>
        <v>150</v>
      </c>
      <c r="AP233" s="10">
        <v>150</v>
      </c>
      <c r="AQ233" s="11">
        <f t="shared" si="75"/>
        <v>150</v>
      </c>
      <c r="AR233" s="10">
        <v>150</v>
      </c>
      <c r="AS233" s="56">
        <f t="shared" si="68"/>
        <v>2</v>
      </c>
      <c r="AU233" s="11">
        <f ca="1">IFERROR(OFFSET(ITEM_RES!$A$1,MATCH(AV233,ITEM_RES!$J:$J,0)-1,0),0)</f>
        <v>211020801</v>
      </c>
      <c r="AV233" s="10" t="s">
        <v>435</v>
      </c>
      <c r="AW233" s="11">
        <v>1</v>
      </c>
      <c r="AZ233" s="11">
        <f ca="1">IFERROR(OFFSET(ITEM_RES!$A$1,MATCH(BA233,ITEM_RES!$J:$J,0)-1,0),0)</f>
        <v>211020401</v>
      </c>
      <c r="BA233" s="10" t="s">
        <v>423</v>
      </c>
      <c r="BB233" s="11">
        <v>1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O233" s="11">
        <f ca="1">IFERROR(OFFSET(ITEM_RES!$A$1,MATCH(BP233,ITEM_RES!$J:$J,0)-1,0),0)</f>
        <v>0</v>
      </c>
      <c r="BQ233" s="11">
        <f t="shared" si="73"/>
        <v>0</v>
      </c>
    </row>
    <row r="234" spans="1:70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371</v>
      </c>
      <c r="L234" s="56"/>
      <c r="M234" s="56" t="s">
        <v>952</v>
      </c>
      <c r="N234" s="56"/>
      <c r="O234" s="9">
        <v>1</v>
      </c>
      <c r="P234" s="9">
        <v>15</v>
      </c>
      <c r="Q234" s="9" t="s">
        <v>785</v>
      </c>
      <c r="U234" s="9" t="s">
        <v>708</v>
      </c>
      <c r="X234" s="9">
        <f ca="1">IFERROR(OFFSET(ITEM_RES!$A$5,MATCH(BUILDING!W234,ITEM_RES!$J$5:$J$226,0)-1,0),0)</f>
        <v>0</v>
      </c>
      <c r="AA234" s="9">
        <f ca="1">IFERROR(OFFSET(ITEM_RES!$A$5,MATCH(BUILDING!Z234,ITEM_RES!$J$5:$J$226,0)-1,0),0)</f>
        <v>0</v>
      </c>
      <c r="AC234" s="9" t="s">
        <v>518</v>
      </c>
      <c r="AD234" s="9">
        <v>10</v>
      </c>
      <c r="AF234" s="11">
        <f ca="1">IFERROR(OFFSET(MANOR_LEVEL!$B$1,MATCH(AG234-1,MANOR_LEVEL!$A:$A,0)-1,0),0)</f>
        <v>32640</v>
      </c>
      <c r="AG234" s="56">
        <v>7</v>
      </c>
      <c r="AI234" s="56">
        <f t="shared" ca="1" si="95"/>
        <v>500</v>
      </c>
      <c r="AJ234" s="10">
        <f ca="1">AO234+AQ234+(IFERROR(OFFSET(ITEM_RES!$S$1,MATCH(AU234,ITEM_RES!$A:$A,0)-1,0),0)*AW234+IFERROR(OFFSET(ITEM_RES!$S$1,MATCH(AZ234,ITEM_RES!$A:$A,0)-1,0),0)*BB234+IFERROR(OFFSET(ITEM_RES!$S$1,MATCH(BE234,ITEM_RES!$A:$A,0)-1,0),0)*BG234+IFERROR(OFFSET(ITEM_RES!$S$1,MATCH(BJ234,ITEM_RES!$A:$A,0)-1,0),0)*BL234+IFERROR(OFFSET(ITEM_RES!$S$1,MATCH(BO234,ITEM_RES!$A:$A,0)-1,0),0)*BQ234)/1000</f>
        <v>500.11</v>
      </c>
      <c r="AK234" s="183">
        <f t="shared" ca="1" si="96"/>
        <v>800</v>
      </c>
      <c r="AM234" s="11">
        <f t="shared" si="67"/>
        <v>50</v>
      </c>
      <c r="AN234" s="10">
        <v>50</v>
      </c>
      <c r="AO234" s="11">
        <f t="shared" si="75"/>
        <v>200</v>
      </c>
      <c r="AP234" s="10">
        <v>200</v>
      </c>
      <c r="AQ234" s="11">
        <f t="shared" si="75"/>
        <v>200</v>
      </c>
      <c r="AR234" s="10">
        <v>200</v>
      </c>
      <c r="AS234" s="56">
        <f t="shared" si="68"/>
        <v>3</v>
      </c>
      <c r="AU234" s="11">
        <f ca="1">IFERROR(OFFSET(ITEM_RES!$A$1,MATCH(AV234,ITEM_RES!$J:$J,0)-1,0),0)</f>
        <v>211020801</v>
      </c>
      <c r="AV234" s="10" t="s">
        <v>435</v>
      </c>
      <c r="AW234" s="11">
        <v>1</v>
      </c>
      <c r="AZ234" s="11">
        <f ca="1">IFERROR(OFFSET(ITEM_RES!$A$1,MATCH(BA234,ITEM_RES!$J:$J,0)-1,0),0)</f>
        <v>211020401</v>
      </c>
      <c r="BA234" s="10" t="s">
        <v>423</v>
      </c>
      <c r="BB234" s="11">
        <v>1</v>
      </c>
      <c r="BE234" s="11">
        <f ca="1">IFERROR(OFFSET(ITEM_RES!$A$1,MATCH(BF234,ITEM_RES!$J:$J,0)-1,0),0)</f>
        <v>0</v>
      </c>
      <c r="BJ234" s="11">
        <f ca="1">IFERROR(OFFSET(ITEM_RES!$A$1,MATCH(BK234,ITEM_RES!$J:$J,0)-1,0),0)</f>
        <v>213010901</v>
      </c>
      <c r="BK234" s="10" t="s">
        <v>505</v>
      </c>
      <c r="BL234" s="11">
        <v>1</v>
      </c>
      <c r="BO234" s="11">
        <f ca="1">IFERROR(OFFSET(ITEM_RES!$A$1,MATCH(BP234,ITEM_RES!$J:$J,0)-1,0),0)</f>
        <v>0</v>
      </c>
      <c r="BQ234" s="11">
        <f t="shared" si="73"/>
        <v>0</v>
      </c>
    </row>
    <row r="235" spans="1:70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371</v>
      </c>
      <c r="L235" s="56"/>
      <c r="M235" s="56" t="s">
        <v>952</v>
      </c>
      <c r="N235" s="56"/>
      <c r="O235" s="9">
        <v>1</v>
      </c>
      <c r="P235" s="9">
        <v>15</v>
      </c>
      <c r="Q235" s="9" t="s">
        <v>785</v>
      </c>
      <c r="U235" s="9" t="s">
        <v>708</v>
      </c>
      <c r="X235" s="9">
        <f ca="1">IFERROR(OFFSET(ITEM_RES!$A$5,MATCH(BUILDING!W235,ITEM_RES!$J$5:$J$226,0)-1,0),0)</f>
        <v>0</v>
      </c>
      <c r="AA235" s="9">
        <f ca="1">IFERROR(OFFSET(ITEM_RES!$A$5,MATCH(BUILDING!Z235,ITEM_RES!$J$5:$J$226,0)-1,0),0)</f>
        <v>0</v>
      </c>
      <c r="AC235" s="9" t="s">
        <v>518</v>
      </c>
      <c r="AD235" s="9">
        <v>11</v>
      </c>
      <c r="AF235" s="11">
        <f ca="1">IFERROR(OFFSET(MANOR_LEVEL!$B$1,MATCH(AG235-1,MANOR_LEVEL!$A:$A,0)-1,0),0)</f>
        <v>94800</v>
      </c>
      <c r="AG235" s="56">
        <v>8</v>
      </c>
      <c r="AI235" s="56">
        <f t="shared" ca="1" si="95"/>
        <v>500</v>
      </c>
      <c r="AJ235" s="10">
        <f ca="1">AO235+AQ235+(IFERROR(OFFSET(ITEM_RES!$S$1,MATCH(AU235,ITEM_RES!$A:$A,0)-1,0),0)*AW235+IFERROR(OFFSET(ITEM_RES!$S$1,MATCH(AZ235,ITEM_RES!$A:$A,0)-1,0),0)*BB235+IFERROR(OFFSET(ITEM_RES!$S$1,MATCH(BE235,ITEM_RES!$A:$A,0)-1,0),0)*BG235+IFERROR(OFFSET(ITEM_RES!$S$1,MATCH(BJ235,ITEM_RES!$A:$A,0)-1,0),0)*BL235+IFERROR(OFFSET(ITEM_RES!$S$1,MATCH(BO235,ITEM_RES!$A:$A,0)-1,0),0)*BQ235)/1000</f>
        <v>500.21</v>
      </c>
      <c r="AK235" s="183">
        <f t="shared" ca="1" si="96"/>
        <v>1000</v>
      </c>
      <c r="AM235" s="11">
        <f t="shared" si="67"/>
        <v>55</v>
      </c>
      <c r="AN235" s="10">
        <v>55</v>
      </c>
      <c r="AO235" s="11">
        <f t="shared" si="75"/>
        <v>250</v>
      </c>
      <c r="AP235" s="10">
        <v>250</v>
      </c>
      <c r="AQ235" s="11">
        <f t="shared" si="75"/>
        <v>250</v>
      </c>
      <c r="AR235" s="10">
        <v>250</v>
      </c>
      <c r="AS235" s="56">
        <f t="shared" si="68"/>
        <v>2</v>
      </c>
      <c r="AU235" s="11">
        <f ca="1">IFERROR(OFFSET(ITEM_RES!$A$1,MATCH(AV235,ITEM_RES!$J:$J,0)-1,0),0)</f>
        <v>211020901</v>
      </c>
      <c r="AV235" s="10" t="s">
        <v>445</v>
      </c>
      <c r="AW235" s="11">
        <v>1</v>
      </c>
      <c r="AZ235" s="11">
        <f ca="1">IFERROR(OFFSET(ITEM_RES!$A$1,MATCH(BA235,ITEM_RES!$J:$J,0)-1,0),0)</f>
        <v>211020401</v>
      </c>
      <c r="BA235" s="10" t="s">
        <v>423</v>
      </c>
      <c r="BB235" s="11">
        <v>1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O235" s="11">
        <f ca="1">IFERROR(OFFSET(ITEM_RES!$A$1,MATCH(BP235,ITEM_RES!$J:$J,0)-1,0),0)</f>
        <v>0</v>
      </c>
      <c r="BQ235" s="11">
        <f t="shared" si="73"/>
        <v>0</v>
      </c>
    </row>
    <row r="236" spans="1:70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371</v>
      </c>
      <c r="L236" s="56"/>
      <c r="M236" s="56" t="s">
        <v>952</v>
      </c>
      <c r="N236" s="56"/>
      <c r="O236" s="9">
        <v>1</v>
      </c>
      <c r="P236" s="9">
        <v>15</v>
      </c>
      <c r="Q236" s="9" t="s">
        <v>785</v>
      </c>
      <c r="U236" s="9" t="s">
        <v>709</v>
      </c>
      <c r="X236" s="9">
        <f ca="1">IFERROR(OFFSET(ITEM_RES!$A$5,MATCH(BUILDING!W236,ITEM_RES!$J$5:$J$226,0)-1,0),0)</f>
        <v>0</v>
      </c>
      <c r="AA236" s="9">
        <f ca="1">IFERROR(OFFSET(ITEM_RES!$A$5,MATCH(BUILDING!Z236,ITEM_RES!$J$5:$J$226,0)-1,0),0)</f>
        <v>0</v>
      </c>
      <c r="AC236" s="9" t="s">
        <v>518</v>
      </c>
      <c r="AD236" s="9">
        <v>12</v>
      </c>
      <c r="AF236" s="11">
        <f ca="1">IFERROR(OFFSET(MANOR_LEVEL!$B$1,MATCH(AG236-1,MANOR_LEVEL!$A:$A,0)-1,0),0)</f>
        <v>186400</v>
      </c>
      <c r="AG236" s="56">
        <v>9</v>
      </c>
      <c r="AI236" s="56">
        <f t="shared" ca="1" si="95"/>
        <v>600</v>
      </c>
      <c r="AJ236" s="10">
        <f ca="1">AO236+AQ236+(IFERROR(OFFSET(ITEM_RES!$S$1,MATCH(AU236,ITEM_RES!$A:$A,0)-1,0),0)*AW236+IFERROR(OFFSET(ITEM_RES!$S$1,MATCH(AZ236,ITEM_RES!$A:$A,0)-1,0),0)*BB236+IFERROR(OFFSET(ITEM_RES!$S$1,MATCH(BE236,ITEM_RES!$A:$A,0)-1,0),0)*BG236+IFERROR(OFFSET(ITEM_RES!$S$1,MATCH(BJ236,ITEM_RES!$A:$A,0)-1,0),0)*BL236+IFERROR(OFFSET(ITEM_RES!$S$1,MATCH(BO236,ITEM_RES!$A:$A,0)-1,0),0)*BQ236)/1000</f>
        <v>600.21</v>
      </c>
      <c r="AK236" s="183">
        <f t="shared" ca="1" si="96"/>
        <v>1100</v>
      </c>
      <c r="AM236" s="11">
        <f t="shared" si="67"/>
        <v>60</v>
      </c>
      <c r="AN236" s="10">
        <v>60</v>
      </c>
      <c r="AO236" s="11">
        <f t="shared" si="75"/>
        <v>300</v>
      </c>
      <c r="AP236" s="10">
        <v>300</v>
      </c>
      <c r="AQ236" s="11">
        <f t="shared" si="75"/>
        <v>300</v>
      </c>
      <c r="AR236" s="10">
        <v>300</v>
      </c>
      <c r="AS236" s="56">
        <f t="shared" si="68"/>
        <v>2</v>
      </c>
      <c r="AU236" s="11">
        <f ca="1">IFERROR(OFFSET(ITEM_RES!$A$1,MATCH(AV236,ITEM_RES!$J:$J,0)-1,0),0)</f>
        <v>211020901</v>
      </c>
      <c r="AV236" s="10" t="s">
        <v>445</v>
      </c>
      <c r="AW236" s="11">
        <v>1</v>
      </c>
      <c r="AZ236" s="11">
        <f ca="1">IFERROR(OFFSET(ITEM_RES!$A$1,MATCH(BA236,ITEM_RES!$J:$J,0)-1,0),0)</f>
        <v>211020401</v>
      </c>
      <c r="BA236" s="10" t="s">
        <v>423</v>
      </c>
      <c r="BB236" s="11">
        <v>1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O236" s="11">
        <f ca="1">IFERROR(OFFSET(ITEM_RES!$A$1,MATCH(BP236,ITEM_RES!$J:$J,0)-1,0),0)</f>
        <v>0</v>
      </c>
      <c r="BQ236" s="11">
        <f t="shared" si="73"/>
        <v>0</v>
      </c>
    </row>
    <row r="237" spans="1:70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371</v>
      </c>
      <c r="L237" s="56"/>
      <c r="M237" s="56" t="s">
        <v>952</v>
      </c>
      <c r="N237" s="56"/>
      <c r="O237" s="9">
        <v>1</v>
      </c>
      <c r="P237" s="9">
        <v>15</v>
      </c>
      <c r="Q237" s="9" t="s">
        <v>785</v>
      </c>
      <c r="U237" s="9" t="s">
        <v>709</v>
      </c>
      <c r="X237" s="9">
        <f ca="1">IFERROR(OFFSET(ITEM_RES!$A$5,MATCH(BUILDING!W237,ITEM_RES!$J$5:$J$226,0)-1,0),0)</f>
        <v>0</v>
      </c>
      <c r="AA237" s="9">
        <f ca="1">IFERROR(OFFSET(ITEM_RES!$A$5,MATCH(BUILDING!Z237,ITEM_RES!$J$5:$J$226,0)-1,0),0)</f>
        <v>0</v>
      </c>
      <c r="AC237" s="9" t="s">
        <v>518</v>
      </c>
      <c r="AD237" s="9">
        <v>13</v>
      </c>
      <c r="AF237" s="11">
        <f ca="1">IFERROR(OFFSET(MANOR_LEVEL!$B$1,MATCH(AG237-1,MANOR_LEVEL!$A:$A,0)-1,0),0)</f>
        <v>311600</v>
      </c>
      <c r="AG237" s="56">
        <v>10</v>
      </c>
      <c r="AI237" s="56">
        <f t="shared" ca="1" si="95"/>
        <v>700</v>
      </c>
      <c r="AJ237" s="10">
        <f ca="1">AO237+AQ237+(IFERROR(OFFSET(ITEM_RES!$S$1,MATCH(AU237,ITEM_RES!$A:$A,0)-1,0),0)*AW237+IFERROR(OFFSET(ITEM_RES!$S$1,MATCH(AZ237,ITEM_RES!$A:$A,0)-1,0),0)*BB237+IFERROR(OFFSET(ITEM_RES!$S$1,MATCH(BE237,ITEM_RES!$A:$A,0)-1,0),0)*BG237+IFERROR(OFFSET(ITEM_RES!$S$1,MATCH(BJ237,ITEM_RES!$A:$A,0)-1,0),0)*BL237+IFERROR(OFFSET(ITEM_RES!$S$1,MATCH(BO237,ITEM_RES!$A:$A,0)-1,0),0)*BQ237)/1000</f>
        <v>700.21</v>
      </c>
      <c r="AK237" s="183">
        <f t="shared" ca="1" si="96"/>
        <v>1300</v>
      </c>
      <c r="AM237" s="11">
        <f t="shared" ref="AM237:AM320" si="97">ROUND(AN237,0)</f>
        <v>65</v>
      </c>
      <c r="AN237" s="10">
        <v>65</v>
      </c>
      <c r="AO237" s="11">
        <f t="shared" si="75"/>
        <v>350</v>
      </c>
      <c r="AP237" s="10">
        <v>350</v>
      </c>
      <c r="AQ237" s="11">
        <f t="shared" si="75"/>
        <v>350</v>
      </c>
      <c r="AR237" s="10">
        <v>350</v>
      </c>
      <c r="AS237" s="56">
        <f t="shared" si="68"/>
        <v>2</v>
      </c>
      <c r="AU237" s="11">
        <f ca="1">IFERROR(OFFSET(ITEM_RES!$A$1,MATCH(AV237,ITEM_RES!$J:$J,0)-1,0),0)</f>
        <v>211020901</v>
      </c>
      <c r="AV237" s="10" t="s">
        <v>445</v>
      </c>
      <c r="AW237" s="11">
        <v>1</v>
      </c>
      <c r="AZ237" s="11">
        <f ca="1">IFERROR(OFFSET(ITEM_RES!$A$1,MATCH(BA237,ITEM_RES!$J:$J,0)-1,0),0)</f>
        <v>211020401</v>
      </c>
      <c r="BA237" s="10" t="s">
        <v>423</v>
      </c>
      <c r="BB237" s="11">
        <v>1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O237" s="11">
        <f ca="1">IFERROR(OFFSET(ITEM_RES!$A$1,MATCH(BP237,ITEM_RES!$J:$J,0)-1,0),0)</f>
        <v>0</v>
      </c>
      <c r="BQ237" s="11">
        <f t="shared" si="73"/>
        <v>0</v>
      </c>
    </row>
    <row r="238" spans="1:70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371</v>
      </c>
      <c r="L238" s="56"/>
      <c r="M238" s="56" t="s">
        <v>952</v>
      </c>
      <c r="N238" s="56"/>
      <c r="O238" s="9">
        <v>1</v>
      </c>
      <c r="P238" s="9">
        <v>15</v>
      </c>
      <c r="Q238" s="9" t="s">
        <v>785</v>
      </c>
      <c r="U238" s="9" t="s">
        <v>709</v>
      </c>
      <c r="X238" s="9">
        <f ca="1">IFERROR(OFFSET(ITEM_RES!$A$5,MATCH(BUILDING!W238,ITEM_RES!$J$5:$J$226,0)-1,0),0)</f>
        <v>0</v>
      </c>
      <c r="AA238" s="9">
        <f ca="1">IFERROR(OFFSET(ITEM_RES!$A$5,MATCH(BUILDING!Z238,ITEM_RES!$J$5:$J$226,0)-1,0),0)</f>
        <v>0</v>
      </c>
      <c r="AC238" s="9" t="s">
        <v>518</v>
      </c>
      <c r="AD238" s="9">
        <v>14</v>
      </c>
      <c r="AF238" s="11">
        <f ca="1">IFERROR(OFFSET(MANOR_LEVEL!$B$1,MATCH(AG238-1,MANOR_LEVEL!$A:$A,0)-1,0),0)</f>
        <v>456800</v>
      </c>
      <c r="AG238" s="56">
        <v>11</v>
      </c>
      <c r="AI238" s="56">
        <f t="shared" ca="1" si="95"/>
        <v>900</v>
      </c>
      <c r="AJ238" s="10">
        <f ca="1">AO238+AQ238+(IFERROR(OFFSET(ITEM_RES!$S$1,MATCH(AU238,ITEM_RES!$A:$A,0)-1,0),0)*AW238+IFERROR(OFFSET(ITEM_RES!$S$1,MATCH(AZ238,ITEM_RES!$A:$A,0)-1,0),0)*BB238+IFERROR(OFFSET(ITEM_RES!$S$1,MATCH(BE238,ITEM_RES!$A:$A,0)-1,0),0)*BG238+IFERROR(OFFSET(ITEM_RES!$S$1,MATCH(BJ238,ITEM_RES!$A:$A,0)-1,0),0)*BL238+IFERROR(OFFSET(ITEM_RES!$S$1,MATCH(BO238,ITEM_RES!$A:$A,0)-1,0),0)*BQ238)/1000</f>
        <v>900.21</v>
      </c>
      <c r="AK238" s="183">
        <f t="shared" ca="1" si="96"/>
        <v>1600</v>
      </c>
      <c r="AM238" s="11">
        <f t="shared" si="97"/>
        <v>70</v>
      </c>
      <c r="AN238" s="10">
        <v>70</v>
      </c>
      <c r="AO238" s="11">
        <f t="shared" si="75"/>
        <v>450</v>
      </c>
      <c r="AP238" s="10">
        <v>450</v>
      </c>
      <c r="AQ238" s="11">
        <f t="shared" si="75"/>
        <v>450</v>
      </c>
      <c r="AR238" s="10">
        <v>450</v>
      </c>
      <c r="AS238" s="56">
        <f t="shared" ref="AS238:AS321" si="98">(AW238&gt;0)*1+(BB238&gt;0)*1+(BG238&gt;0)*1+(BL238&gt;0)*1+(BQ238&gt;0)*1</f>
        <v>2</v>
      </c>
      <c r="AU238" s="11">
        <f ca="1">IFERROR(OFFSET(ITEM_RES!$A$1,MATCH(AV238,ITEM_RES!$J:$J,0)-1,0),0)</f>
        <v>211020901</v>
      </c>
      <c r="AV238" s="10" t="s">
        <v>445</v>
      </c>
      <c r="AW238" s="11">
        <v>1</v>
      </c>
      <c r="AZ238" s="11">
        <f ca="1">IFERROR(OFFSET(ITEM_RES!$A$1,MATCH(BA238,ITEM_RES!$J:$J,0)-1,0),0)</f>
        <v>211020401</v>
      </c>
      <c r="BA238" s="10" t="s">
        <v>423</v>
      </c>
      <c r="BB238" s="11">
        <v>1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O238" s="11">
        <f ca="1">IFERROR(OFFSET(ITEM_RES!$A$1,MATCH(BP238,ITEM_RES!$J:$J,0)-1,0),0)</f>
        <v>0</v>
      </c>
      <c r="BQ238" s="11">
        <f t="shared" si="73"/>
        <v>0</v>
      </c>
    </row>
    <row r="239" spans="1:70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371</v>
      </c>
      <c r="L239" s="56"/>
      <c r="M239" s="56" t="s">
        <v>952</v>
      </c>
      <c r="N239" s="56"/>
      <c r="O239" s="9">
        <v>1</v>
      </c>
      <c r="P239" s="9">
        <v>15</v>
      </c>
      <c r="Q239" s="9" t="s">
        <v>785</v>
      </c>
      <c r="U239" s="9" t="s">
        <v>709</v>
      </c>
      <c r="X239" s="9">
        <f ca="1">IFERROR(OFFSET(ITEM_RES!$A$5,MATCH(BUILDING!W239,ITEM_RES!$J$5:$J$226,0)-1,0),0)</f>
        <v>0</v>
      </c>
      <c r="AA239" s="9">
        <f ca="1">IFERROR(OFFSET(ITEM_RES!$A$5,MATCH(BUILDING!Z239,ITEM_RES!$J$5:$J$226,0)-1,0),0)</f>
        <v>0</v>
      </c>
      <c r="AC239" s="9" t="s">
        <v>518</v>
      </c>
      <c r="AD239" s="9">
        <v>15</v>
      </c>
      <c r="AF239" s="11">
        <f ca="1">IFERROR(OFFSET(MANOR_LEVEL!$B$1,MATCH(AG239-1,MANOR_LEVEL!$A:$A,0)-1,0),0)</f>
        <v>796000</v>
      </c>
      <c r="AG239" s="56">
        <v>12</v>
      </c>
      <c r="AI239" s="56">
        <f t="shared" ca="1" si="95"/>
        <v>1100</v>
      </c>
      <c r="AJ239" s="10">
        <f ca="1">AO239+AQ239+(IFERROR(OFFSET(ITEM_RES!$S$1,MATCH(AU239,ITEM_RES!$A:$A,0)-1,0),0)*AW239+IFERROR(OFFSET(ITEM_RES!$S$1,MATCH(AZ239,ITEM_RES!$A:$A,0)-1,0),0)*BB239+IFERROR(OFFSET(ITEM_RES!$S$1,MATCH(BE239,ITEM_RES!$A:$A,0)-1,0),0)*BG239+IFERROR(OFFSET(ITEM_RES!$S$1,MATCH(BJ239,ITEM_RES!$A:$A,0)-1,0),0)*BL239+IFERROR(OFFSET(ITEM_RES!$S$1,MATCH(BO239,ITEM_RES!$A:$A,0)-1,0),0)*BQ239)/1000</f>
        <v>1100.21</v>
      </c>
      <c r="AK239" s="183">
        <f t="shared" ca="1" si="96"/>
        <v>2000</v>
      </c>
      <c r="AM239" s="11">
        <f t="shared" si="97"/>
        <v>75</v>
      </c>
      <c r="AN239" s="10">
        <v>75</v>
      </c>
      <c r="AO239" s="11">
        <f t="shared" si="75"/>
        <v>550</v>
      </c>
      <c r="AP239" s="10">
        <v>550</v>
      </c>
      <c r="AQ239" s="11">
        <f t="shared" si="75"/>
        <v>550</v>
      </c>
      <c r="AR239" s="10">
        <v>550</v>
      </c>
      <c r="AS239" s="56">
        <f t="shared" si="98"/>
        <v>2</v>
      </c>
      <c r="AU239" s="11">
        <f ca="1">IFERROR(OFFSET(ITEM_RES!$A$1,MATCH(AV239,ITEM_RES!$J:$J,0)-1,0),0)</f>
        <v>211020901</v>
      </c>
      <c r="AV239" s="10" t="s">
        <v>445</v>
      </c>
      <c r="AW239" s="11">
        <v>1</v>
      </c>
      <c r="AZ239" s="11">
        <f ca="1">IFERROR(OFFSET(ITEM_RES!$A$1,MATCH(BA239,ITEM_RES!$J:$J,0)-1,0),0)</f>
        <v>211020401</v>
      </c>
      <c r="BA239" s="10" t="s">
        <v>436</v>
      </c>
      <c r="BB239" s="11">
        <v>1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O239" s="11">
        <f ca="1">IFERROR(OFFSET(ITEM_RES!$A$1,MATCH(BP239,ITEM_RES!$J:$J,0)-1,0),0)</f>
        <v>0</v>
      </c>
      <c r="BQ239" s="11">
        <f t="shared" si="73"/>
        <v>0</v>
      </c>
    </row>
    <row r="240" spans="1:70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371</v>
      </c>
      <c r="L240" s="56"/>
      <c r="M240" s="56" t="s">
        <v>952</v>
      </c>
      <c r="N240" s="56"/>
      <c r="O240" s="9">
        <v>0</v>
      </c>
      <c r="P240" s="9">
        <v>15</v>
      </c>
      <c r="Q240" s="9" t="s">
        <v>785</v>
      </c>
      <c r="U240" s="9" t="s">
        <v>709</v>
      </c>
      <c r="X240" s="9">
        <f ca="1">IFERROR(OFFSET(ITEM_RES!$A$5,MATCH(BUILDING!W240,ITEM_RES!$J$5:$J$226,0)-1,0),0)</f>
        <v>0</v>
      </c>
      <c r="AA240" s="9">
        <f ca="1">IFERROR(OFFSET(ITEM_RES!$A$5,MATCH(BUILDING!Z240,ITEM_RES!$J$5:$J$226,0)-1,0),0)</f>
        <v>0</v>
      </c>
      <c r="AC240" s="9" t="s">
        <v>518</v>
      </c>
      <c r="AD240" s="9">
        <v>16</v>
      </c>
      <c r="AF240" s="11">
        <f ca="1">IFERROR(OFFSET(MANOR_LEVEL!$B$1,MATCH(AG240-1,MANOR_LEVEL!$A:$A,0)-1,0),0)</f>
        <v>1156400</v>
      </c>
      <c r="AG240" s="56">
        <v>13</v>
      </c>
      <c r="AI240" s="56">
        <f t="shared" ca="1" si="95"/>
        <v>1400</v>
      </c>
      <c r="AJ240" s="10">
        <f ca="1">AO240+AQ240+(IFERROR(OFFSET(ITEM_RES!$S$1,MATCH(AU240,ITEM_RES!$A:$A,0)-1,0),0)*AW240+IFERROR(OFFSET(ITEM_RES!$S$1,MATCH(AZ240,ITEM_RES!$A:$A,0)-1,0),0)*BB240+IFERROR(OFFSET(ITEM_RES!$S$1,MATCH(BE240,ITEM_RES!$A:$A,0)-1,0),0)*BG240+IFERROR(OFFSET(ITEM_RES!$S$1,MATCH(BJ240,ITEM_RES!$A:$A,0)-1,0),0)*BL240+IFERROR(OFFSET(ITEM_RES!$S$1,MATCH(BO240,ITEM_RES!$A:$A,0)-1,0),0)*BQ240)/1000</f>
        <v>1400.4</v>
      </c>
      <c r="AK240" s="183">
        <f t="shared" ca="1" si="96"/>
        <v>2500</v>
      </c>
      <c r="AM240" s="11">
        <f t="shared" si="97"/>
        <v>80</v>
      </c>
      <c r="AN240" s="10">
        <v>80</v>
      </c>
      <c r="AO240" s="11">
        <f t="shared" si="75"/>
        <v>700</v>
      </c>
      <c r="AP240" s="10">
        <v>700</v>
      </c>
      <c r="AQ240" s="11">
        <f t="shared" si="75"/>
        <v>700</v>
      </c>
      <c r="AR240" s="10">
        <v>700</v>
      </c>
      <c r="AS240" s="56">
        <f t="shared" si="98"/>
        <v>2</v>
      </c>
      <c r="AU240" s="11">
        <f ca="1">IFERROR(OFFSET(ITEM_RES!$A$1,MATCH(AV240,ITEM_RES!$J:$J,0)-1,0),0)</f>
        <v>211020901</v>
      </c>
      <c r="AV240" s="10" t="s">
        <v>445</v>
      </c>
      <c r="AW240" s="11">
        <v>1</v>
      </c>
      <c r="AZ240" s="11">
        <f ca="1">IFERROR(OFFSET(ITEM_RES!$A$1,MATCH(BA240,ITEM_RES!$J:$J,0)-1,0),0)</f>
        <v>211020501</v>
      </c>
      <c r="BA240" s="10" t="s">
        <v>433</v>
      </c>
      <c r="BB240" s="11">
        <v>1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O240" s="11">
        <f ca="1">IFERROR(OFFSET(ITEM_RES!$A$1,MATCH(BP240,ITEM_RES!$J:$J,0)-1,0),0)</f>
        <v>0</v>
      </c>
      <c r="BQ240" s="11">
        <f t="shared" si="73"/>
        <v>0</v>
      </c>
    </row>
    <row r="241" spans="1:70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371</v>
      </c>
      <c r="L241" s="56"/>
      <c r="M241" s="56" t="s">
        <v>952</v>
      </c>
      <c r="N241" s="56"/>
      <c r="O241" s="9">
        <v>0</v>
      </c>
      <c r="P241" s="9">
        <v>15</v>
      </c>
      <c r="Q241" s="9" t="s">
        <v>785</v>
      </c>
      <c r="U241" s="9" t="s">
        <v>709</v>
      </c>
      <c r="X241" s="9">
        <f ca="1">IFERROR(OFFSET(ITEM_RES!$A$5,MATCH(BUILDING!W241,ITEM_RES!$J$5:$J$226,0)-1,0),0)</f>
        <v>0</v>
      </c>
      <c r="AA241" s="9">
        <f ca="1">IFERROR(OFFSET(ITEM_RES!$A$5,MATCH(BUILDING!Z241,ITEM_RES!$J$5:$J$226,0)-1,0),0)</f>
        <v>0</v>
      </c>
      <c r="AC241" s="9" t="s">
        <v>518</v>
      </c>
      <c r="AD241" s="9">
        <v>17</v>
      </c>
      <c r="AF241" s="11">
        <f ca="1">IFERROR(OFFSET(MANOR_LEVEL!$B$1,MATCH(AG241-1,MANOR_LEVEL!$A:$A,0)-1,0),0)</f>
        <v>1661200</v>
      </c>
      <c r="AG241" s="56">
        <v>14</v>
      </c>
      <c r="AI241" s="56">
        <f t="shared" ca="1" si="95"/>
        <v>1700</v>
      </c>
      <c r="AJ241" s="10">
        <f ca="1">AO241+AQ241+(IFERROR(OFFSET(ITEM_RES!$S$1,MATCH(AU241,ITEM_RES!$A:$A,0)-1,0),0)*AW241+IFERROR(OFFSET(ITEM_RES!$S$1,MATCH(AZ241,ITEM_RES!$A:$A,0)-1,0),0)*BB241+IFERROR(OFFSET(ITEM_RES!$S$1,MATCH(BE241,ITEM_RES!$A:$A,0)-1,0),0)*BG241+IFERROR(OFFSET(ITEM_RES!$S$1,MATCH(BJ241,ITEM_RES!$A:$A,0)-1,0),0)*BL241+IFERROR(OFFSET(ITEM_RES!$S$1,MATCH(BO241,ITEM_RES!$A:$A,0)-1,0),0)*BQ241)/1000</f>
        <v>1700.4</v>
      </c>
      <c r="AK241" s="183">
        <f t="shared" ca="1" si="96"/>
        <v>3100</v>
      </c>
      <c r="AM241" s="11">
        <f t="shared" si="97"/>
        <v>85</v>
      </c>
      <c r="AN241" s="10">
        <v>85</v>
      </c>
      <c r="AO241" s="11">
        <f t="shared" si="75"/>
        <v>850</v>
      </c>
      <c r="AP241" s="10">
        <v>850</v>
      </c>
      <c r="AQ241" s="11">
        <f t="shared" si="75"/>
        <v>850</v>
      </c>
      <c r="AR241" s="10">
        <v>850</v>
      </c>
      <c r="AS241" s="56">
        <f t="shared" si="98"/>
        <v>2</v>
      </c>
      <c r="AU241" s="11">
        <f ca="1">IFERROR(OFFSET(ITEM_RES!$A$1,MATCH(AV241,ITEM_RES!$J:$J,0)-1,0),0)</f>
        <v>211020901</v>
      </c>
      <c r="AV241" s="10" t="s">
        <v>445</v>
      </c>
      <c r="AW241" s="11">
        <v>1</v>
      </c>
      <c r="AZ241" s="11">
        <f ca="1">IFERROR(OFFSET(ITEM_RES!$A$1,MATCH(BA241,ITEM_RES!$J:$J,0)-1,0),0)</f>
        <v>211020501</v>
      </c>
      <c r="BA241" s="10" t="s">
        <v>424</v>
      </c>
      <c r="BB241" s="11">
        <v>1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O241" s="11">
        <f ca="1">IFERROR(OFFSET(ITEM_RES!$A$1,MATCH(BP241,ITEM_RES!$J:$J,0)-1,0),0)</f>
        <v>0</v>
      </c>
      <c r="BQ241" s="11">
        <f t="shared" si="73"/>
        <v>0</v>
      </c>
    </row>
    <row r="242" spans="1:70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371</v>
      </c>
      <c r="L242" s="56"/>
      <c r="M242" s="56" t="s">
        <v>952</v>
      </c>
      <c r="N242" s="56"/>
      <c r="O242" s="9">
        <v>0</v>
      </c>
      <c r="P242" s="9">
        <v>15</v>
      </c>
      <c r="Q242" s="9" t="s">
        <v>785</v>
      </c>
      <c r="U242" s="9" t="s">
        <v>709</v>
      </c>
      <c r="X242" s="9">
        <f ca="1">IFERROR(OFFSET(ITEM_RES!$A$5,MATCH(BUILDING!W242,ITEM_RES!$J$5:$J$226,0)-1,0),0)</f>
        <v>0</v>
      </c>
      <c r="AA242" s="9">
        <f ca="1">IFERROR(OFFSET(ITEM_RES!$A$5,MATCH(BUILDING!Z242,ITEM_RES!$J$5:$J$226,0)-1,0),0)</f>
        <v>0</v>
      </c>
      <c r="AC242" s="9" t="s">
        <v>518</v>
      </c>
      <c r="AD242" s="9">
        <v>18</v>
      </c>
      <c r="AF242" s="11">
        <f ca="1">IFERROR(OFFSET(MANOR_LEVEL!$B$1,MATCH(AG242-1,MANOR_LEVEL!$A:$A,0)-1,0),0)</f>
        <v>2622400</v>
      </c>
      <c r="AG242" s="56">
        <v>15</v>
      </c>
      <c r="AI242" s="56">
        <f t="shared" ca="1" si="95"/>
        <v>2100</v>
      </c>
      <c r="AJ242" s="10">
        <f ca="1">AO242+AQ242+(IFERROR(OFFSET(ITEM_RES!$S$1,MATCH(AU242,ITEM_RES!$A:$A,0)-1,0),0)*AW242+IFERROR(OFFSET(ITEM_RES!$S$1,MATCH(AZ242,ITEM_RES!$A:$A,0)-1,0),0)*BB242+IFERROR(OFFSET(ITEM_RES!$S$1,MATCH(BE242,ITEM_RES!$A:$A,0)-1,0),0)*BG242+IFERROR(OFFSET(ITEM_RES!$S$1,MATCH(BJ242,ITEM_RES!$A:$A,0)-1,0),0)*BL242+IFERROR(OFFSET(ITEM_RES!$S$1,MATCH(BO242,ITEM_RES!$A:$A,0)-1,0),0)*BQ242)/1000</f>
        <v>2100.4</v>
      </c>
      <c r="AK242" s="183">
        <f t="shared" ca="1" si="96"/>
        <v>3800</v>
      </c>
      <c r="AM242" s="11">
        <f t="shared" si="97"/>
        <v>90</v>
      </c>
      <c r="AN242" s="10">
        <v>90</v>
      </c>
      <c r="AO242" s="11">
        <f t="shared" si="75"/>
        <v>1050</v>
      </c>
      <c r="AP242" s="10">
        <v>1050</v>
      </c>
      <c r="AQ242" s="11">
        <f t="shared" si="75"/>
        <v>1050</v>
      </c>
      <c r="AR242" s="10">
        <v>1050</v>
      </c>
      <c r="AS242" s="56">
        <f t="shared" si="98"/>
        <v>2</v>
      </c>
      <c r="AU242" s="11">
        <f ca="1">IFERROR(OFFSET(ITEM_RES!$A$1,MATCH(AV242,ITEM_RES!$J:$J,0)-1,0),0)</f>
        <v>211020901</v>
      </c>
      <c r="AV242" s="10" t="s">
        <v>445</v>
      </c>
      <c r="AW242" s="11">
        <v>1</v>
      </c>
      <c r="AZ242" s="11">
        <f ca="1">IFERROR(OFFSET(ITEM_RES!$A$1,MATCH(BA242,ITEM_RES!$J:$J,0)-1,0),0)</f>
        <v>211020501</v>
      </c>
      <c r="BA242" s="10" t="s">
        <v>424</v>
      </c>
      <c r="BB242" s="11">
        <v>1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O242" s="11">
        <f ca="1">IFERROR(OFFSET(ITEM_RES!$A$1,MATCH(BP242,ITEM_RES!$J:$J,0)-1,0),0)</f>
        <v>0</v>
      </c>
      <c r="BQ242" s="11">
        <f t="shared" si="73"/>
        <v>0</v>
      </c>
    </row>
    <row r="243" spans="1:70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371</v>
      </c>
      <c r="L243" s="56"/>
      <c r="M243" s="56" t="s">
        <v>952</v>
      </c>
      <c r="N243" s="56"/>
      <c r="O243" s="9">
        <v>0</v>
      </c>
      <c r="P243" s="9">
        <v>15</v>
      </c>
      <c r="Q243" s="9" t="s">
        <v>785</v>
      </c>
      <c r="U243" s="9" t="s">
        <v>709</v>
      </c>
      <c r="X243" s="9">
        <f ca="1">IFERROR(OFFSET(ITEM_RES!$A$5,MATCH(BUILDING!W243,ITEM_RES!$J$5:$J$226,0)-1,0),0)</f>
        <v>0</v>
      </c>
      <c r="AA243" s="9">
        <f ca="1">IFERROR(OFFSET(ITEM_RES!$A$5,MATCH(BUILDING!Z243,ITEM_RES!$J$5:$J$226,0)-1,0),0)</f>
        <v>0</v>
      </c>
      <c r="AC243" s="9" t="s">
        <v>518</v>
      </c>
      <c r="AD243" s="9">
        <v>19</v>
      </c>
      <c r="AF243" s="11">
        <f ca="1">IFERROR(OFFSET(MANOR_LEVEL!$B$1,MATCH(AG243-1,MANOR_LEVEL!$A:$A,0)-1,0),0)</f>
        <v>4232000</v>
      </c>
      <c r="AG243" s="56">
        <v>16</v>
      </c>
      <c r="AI243" s="56">
        <f t="shared" ca="1" si="95"/>
        <v>2500</v>
      </c>
      <c r="AJ243" s="10">
        <f ca="1">AO243+AQ243+(IFERROR(OFFSET(ITEM_RES!$S$1,MATCH(AU243,ITEM_RES!$A:$A,0)-1,0),0)*AW243+IFERROR(OFFSET(ITEM_RES!$S$1,MATCH(AZ243,ITEM_RES!$A:$A,0)-1,0),0)*BB243+IFERROR(OFFSET(ITEM_RES!$S$1,MATCH(BE243,ITEM_RES!$A:$A,0)-1,0),0)*BG243+IFERROR(OFFSET(ITEM_RES!$S$1,MATCH(BJ243,ITEM_RES!$A:$A,0)-1,0),0)*BL243+IFERROR(OFFSET(ITEM_RES!$S$1,MATCH(BO243,ITEM_RES!$A:$A,0)-1,0),0)*BQ243)/1000</f>
        <v>2500.4</v>
      </c>
      <c r="AK243" s="183">
        <f t="shared" ca="1" si="96"/>
        <v>4600</v>
      </c>
      <c r="AM243" s="11">
        <f t="shared" si="97"/>
        <v>95</v>
      </c>
      <c r="AN243" s="10">
        <v>95</v>
      </c>
      <c r="AO243" s="11">
        <f t="shared" si="75"/>
        <v>1250</v>
      </c>
      <c r="AP243" s="10">
        <v>1250</v>
      </c>
      <c r="AQ243" s="11">
        <f t="shared" si="75"/>
        <v>1250</v>
      </c>
      <c r="AR243" s="10">
        <v>1250</v>
      </c>
      <c r="AS243" s="56">
        <f t="shared" si="98"/>
        <v>2</v>
      </c>
      <c r="AU243" s="11">
        <f ca="1">IFERROR(OFFSET(ITEM_RES!$A$1,MATCH(AV243,ITEM_RES!$J:$J,0)-1,0),0)</f>
        <v>211020901</v>
      </c>
      <c r="AV243" s="10" t="s">
        <v>445</v>
      </c>
      <c r="AW243" s="11">
        <v>1</v>
      </c>
      <c r="AZ243" s="11">
        <f ca="1">IFERROR(OFFSET(ITEM_RES!$A$1,MATCH(BA243,ITEM_RES!$J:$J,0)-1,0),0)</f>
        <v>211020501</v>
      </c>
      <c r="BA243" s="10" t="s">
        <v>424</v>
      </c>
      <c r="BB243" s="11">
        <v>1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O243" s="11">
        <f ca="1">IFERROR(OFFSET(ITEM_RES!$A$1,MATCH(BP243,ITEM_RES!$J:$J,0)-1,0),0)</f>
        <v>0</v>
      </c>
      <c r="BQ243" s="11">
        <f t="shared" si="73"/>
        <v>0</v>
      </c>
    </row>
    <row r="244" spans="1:70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371</v>
      </c>
      <c r="L244" s="56"/>
      <c r="M244" s="56" t="s">
        <v>952</v>
      </c>
      <c r="N244" s="56"/>
      <c r="O244" s="9">
        <v>0</v>
      </c>
      <c r="P244" s="9">
        <v>15</v>
      </c>
      <c r="Q244" s="9" t="s">
        <v>785</v>
      </c>
      <c r="U244" s="9" t="s">
        <v>709</v>
      </c>
      <c r="X244" s="9">
        <f ca="1">IFERROR(OFFSET(ITEM_RES!$A$5,MATCH(BUILDING!W244,ITEM_RES!$J$5:$J$226,0)-1,0),0)</f>
        <v>0</v>
      </c>
      <c r="AA244" s="9">
        <f ca="1">IFERROR(OFFSET(ITEM_RES!$A$5,MATCH(BUILDING!Z244,ITEM_RES!$J$5:$J$226,0)-1,0),0)</f>
        <v>0</v>
      </c>
      <c r="AC244" s="9" t="s">
        <v>518</v>
      </c>
      <c r="AD244" s="9">
        <v>20</v>
      </c>
      <c r="AF244" s="11">
        <f ca="1">IFERROR(OFFSET(MANOR_LEVEL!$B$1,MATCH(AG244-1,MANOR_LEVEL!$A:$A,0)-1,0),0)</f>
        <v>7450000</v>
      </c>
      <c r="AG244" s="56">
        <v>17</v>
      </c>
      <c r="AI244" s="56">
        <f t="shared" ca="1" si="95"/>
        <v>3000</v>
      </c>
      <c r="AJ244" s="10">
        <f ca="1">AO244+AQ244+(IFERROR(OFFSET(ITEM_RES!$S$1,MATCH(AU244,ITEM_RES!$A:$A,0)-1,0),0)*AW244+IFERROR(OFFSET(ITEM_RES!$S$1,MATCH(AZ244,ITEM_RES!$A:$A,0)-1,0),0)*BB244+IFERROR(OFFSET(ITEM_RES!$S$1,MATCH(BE244,ITEM_RES!$A:$A,0)-1,0),0)*BG244+IFERROR(OFFSET(ITEM_RES!$S$1,MATCH(BJ244,ITEM_RES!$A:$A,0)-1,0),0)*BL244+IFERROR(OFFSET(ITEM_RES!$S$1,MATCH(BO244,ITEM_RES!$A:$A,0)-1,0),0)*BQ244)/1000</f>
        <v>3000.4</v>
      </c>
      <c r="AK244" s="183">
        <f t="shared" ca="1" si="96"/>
        <v>5500</v>
      </c>
      <c r="AM244" s="11">
        <f t="shared" si="97"/>
        <v>100</v>
      </c>
      <c r="AN244" s="10">
        <v>100</v>
      </c>
      <c r="AO244" s="11">
        <f t="shared" si="75"/>
        <v>1500</v>
      </c>
      <c r="AP244" s="10">
        <v>1500</v>
      </c>
      <c r="AQ244" s="11">
        <f t="shared" si="75"/>
        <v>1500</v>
      </c>
      <c r="AR244" s="10">
        <v>1500</v>
      </c>
      <c r="AS244" s="56">
        <f t="shared" si="98"/>
        <v>2</v>
      </c>
      <c r="AU244" s="11">
        <f ca="1">IFERROR(OFFSET(ITEM_RES!$A$1,MATCH(AV244,ITEM_RES!$J:$J,0)-1,0),0)</f>
        <v>211020901</v>
      </c>
      <c r="AV244" s="10" t="s">
        <v>445</v>
      </c>
      <c r="AW244" s="11">
        <v>1</v>
      </c>
      <c r="AZ244" s="11">
        <f ca="1">IFERROR(OFFSET(ITEM_RES!$A$1,MATCH(BA244,ITEM_RES!$J:$J,0)-1,0),0)</f>
        <v>211020501</v>
      </c>
      <c r="BA244" s="10" t="s">
        <v>424</v>
      </c>
      <c r="BB244" s="11">
        <v>1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O244" s="11">
        <f ca="1">IFERROR(OFFSET(ITEM_RES!$A$1,MATCH(BP244,ITEM_RES!$J:$J,0)-1,0),0)</f>
        <v>0</v>
      </c>
      <c r="BQ244" s="11">
        <f t="shared" si="73"/>
        <v>0</v>
      </c>
    </row>
    <row r="245" spans="1:70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79"/>
      <c r="H245" s="16">
        <v>3</v>
      </c>
      <c r="I245" s="16">
        <v>1</v>
      </c>
      <c r="J245" s="79"/>
      <c r="K245" s="64" t="s">
        <v>376</v>
      </c>
      <c r="L245" s="64">
        <v>6</v>
      </c>
      <c r="M245" s="64" t="s">
        <v>953</v>
      </c>
      <c r="N245" s="64"/>
      <c r="O245" s="16">
        <v>1</v>
      </c>
      <c r="P245" s="16">
        <v>15</v>
      </c>
      <c r="Q245" s="16" t="s">
        <v>774</v>
      </c>
      <c r="R245" s="17"/>
      <c r="S245" s="17"/>
      <c r="T245" s="18"/>
      <c r="U245" s="16" t="s">
        <v>710</v>
      </c>
      <c r="V245" s="79"/>
      <c r="W245" s="87"/>
      <c r="X245" s="16">
        <f ca="1">IFERROR(OFFSET(ITEM_RES!$A$5,MATCH(BUILDING!W245,ITEM_RES!$J$5:$J$226,0)-1,0),0)</f>
        <v>0</v>
      </c>
      <c r="Y245" s="18"/>
      <c r="Z245" s="87"/>
      <c r="AA245" s="16">
        <f ca="1">IFERROR(OFFSET(ITEM_RES!$A$5,MATCH(BUILDING!Z245,ITEM_RES!$J$5:$J$226,0)-1,0),0)</f>
        <v>0</v>
      </c>
      <c r="AB245" s="79"/>
      <c r="AC245" s="16" t="s">
        <v>519</v>
      </c>
      <c r="AD245" s="16">
        <v>1</v>
      </c>
      <c r="AE245" s="79"/>
      <c r="AF245" s="18">
        <f ca="1">IFERROR(OFFSET(MANOR_LEVEL!$B$1,MATCH(AG245-1,MANOR_LEVEL!$A:$A,0)-1,0),0)</f>
        <v>32640</v>
      </c>
      <c r="AG245" s="57">
        <v>7</v>
      </c>
      <c r="AH245" s="79"/>
      <c r="AI245" s="57">
        <f t="shared" ca="1" si="95"/>
        <v>110</v>
      </c>
      <c r="AJ245" s="17">
        <f ca="1">AO245+AQ245+(IFERROR(OFFSET(ITEM_RES!$S$1,MATCH(AU245,ITEM_RES!$A:$A,0)-1,0),0)*AW245+IFERROR(OFFSET(ITEM_RES!$S$1,MATCH(AZ245,ITEM_RES!$A:$A,0)-1,0),0)*BB245+IFERROR(OFFSET(ITEM_RES!$S$1,MATCH(BE245,ITEM_RES!$A:$A,0)-1,0),0)*BG245+IFERROR(OFFSET(ITEM_RES!$S$1,MATCH(BJ245,ITEM_RES!$A:$A,0)-1,0),0)*BL245+IFERROR(OFFSET(ITEM_RES!$S$1,MATCH(BO245,ITEM_RES!$A:$A,0)-1,0),0)*BQ245)/1000</f>
        <v>110.1</v>
      </c>
      <c r="AK245" s="185">
        <f ca="1">AI245</f>
        <v>110</v>
      </c>
      <c r="AL245" s="79"/>
      <c r="AM245" s="18">
        <f t="shared" si="97"/>
        <v>5</v>
      </c>
      <c r="AN245" s="17">
        <v>5</v>
      </c>
      <c r="AO245" s="18">
        <f t="shared" si="75"/>
        <v>5</v>
      </c>
      <c r="AP245" s="17">
        <v>5</v>
      </c>
      <c r="AQ245" s="18">
        <f t="shared" si="75"/>
        <v>5</v>
      </c>
      <c r="AR245" s="17">
        <v>5</v>
      </c>
      <c r="AS245" s="57">
        <f t="shared" si="98"/>
        <v>2</v>
      </c>
      <c r="AT245" s="18"/>
      <c r="AU245" s="18">
        <f ca="1">IFERROR(OFFSET(ITEM_RES!$A$1,MATCH(AV245,ITEM_RES!$J:$J,0)-1,0),0)</f>
        <v>211020801</v>
      </c>
      <c r="AV245" s="17" t="s">
        <v>435</v>
      </c>
      <c r="AW245" s="18">
        <v>1</v>
      </c>
      <c r="AX245" s="17"/>
      <c r="AY245" s="18"/>
      <c r="AZ245" s="18">
        <f ca="1">IFERROR(OFFSET(ITEM_RES!$A$1,MATCH(BA245,ITEM_RES!$J:$J,0)-1,0),0)</f>
        <v>0</v>
      </c>
      <c r="BA245" s="17"/>
      <c r="BB245" s="18"/>
      <c r="BC245" s="17"/>
      <c r="BD245" s="18"/>
      <c r="BE245" s="18">
        <f ca="1">IFERROR(OFFSET(ITEM_RES!$A$1,MATCH(BF245,ITEM_RES!$J:$J,0)-1,0),0)</f>
        <v>213010101</v>
      </c>
      <c r="BF245" s="17" t="s">
        <v>452</v>
      </c>
      <c r="BG245" s="18">
        <v>1</v>
      </c>
      <c r="BH245" s="17"/>
      <c r="BI245" s="18"/>
      <c r="BJ245" s="18">
        <f ca="1">IFERROR(OFFSET(ITEM_RES!$A$1,MATCH(BK245,ITEM_RES!$J:$J,0)-1,0),0)</f>
        <v>0</v>
      </c>
      <c r="BK245" s="17"/>
      <c r="BL245" s="18"/>
      <c r="BM245" s="17"/>
      <c r="BN245" s="18"/>
      <c r="BO245" s="18">
        <f ca="1">IFERROR(OFFSET(ITEM_RES!$A$1,MATCH(BP245,ITEM_RES!$J:$J,0)-1,0),0)</f>
        <v>0</v>
      </c>
      <c r="BP245" s="17"/>
      <c r="BQ245" s="18">
        <f t="shared" si="73"/>
        <v>0</v>
      </c>
      <c r="BR245" s="17"/>
    </row>
    <row r="246" spans="1:70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376</v>
      </c>
      <c r="L246" s="56"/>
      <c r="M246" s="56" t="s">
        <v>953</v>
      </c>
      <c r="N246" s="56"/>
      <c r="O246" s="9">
        <v>1</v>
      </c>
      <c r="P246" s="9">
        <v>15</v>
      </c>
      <c r="Q246" s="140" t="s">
        <v>775</v>
      </c>
      <c r="U246" s="9" t="s">
        <v>710</v>
      </c>
      <c r="X246" s="9">
        <f ca="1">IFERROR(OFFSET(ITEM_RES!$A$5,MATCH(BUILDING!W246,ITEM_RES!$J$5:$J$226,0)-1,0),0)</f>
        <v>0</v>
      </c>
      <c r="AA246" s="9">
        <f ca="1">IFERROR(OFFSET(ITEM_RES!$A$5,MATCH(BUILDING!Z246,ITEM_RES!$J$5:$J$226,0)-1,0),0)</f>
        <v>0</v>
      </c>
      <c r="AC246" s="9" t="s">
        <v>519</v>
      </c>
      <c r="AD246" s="9">
        <v>2</v>
      </c>
      <c r="AF246" s="11">
        <f ca="1">IFERROR(OFFSET(MANOR_LEVEL!$B$1,MATCH(AG246-1,MANOR_LEVEL!$A:$A,0)-1,0),0)</f>
        <v>94800</v>
      </c>
      <c r="AG246" s="56">
        <v>8</v>
      </c>
      <c r="AI246" s="56">
        <f t="shared" ca="1" si="95"/>
        <v>20</v>
      </c>
      <c r="AJ246" s="10">
        <f ca="1">AO246+AQ246+(IFERROR(OFFSET(ITEM_RES!$S$1,MATCH(AU246,ITEM_RES!$A:$A,0)-1,0),0)*AW246+IFERROR(OFFSET(ITEM_RES!$S$1,MATCH(AZ246,ITEM_RES!$A:$A,0)-1,0),0)*BB246+IFERROR(OFFSET(ITEM_RES!$S$1,MATCH(BE246,ITEM_RES!$A:$A,0)-1,0),0)*BG246+IFERROR(OFFSET(ITEM_RES!$S$1,MATCH(BJ246,ITEM_RES!$A:$A,0)-1,0),0)*BL246+IFERROR(OFFSET(ITEM_RES!$S$1,MATCH(BO246,ITEM_RES!$A:$A,0)-1,0),0)*BQ246)/1000</f>
        <v>20.100000000000001</v>
      </c>
      <c r="AK246" s="183">
        <f ca="1">AI245+AI246</f>
        <v>130</v>
      </c>
      <c r="AM246" s="11">
        <f t="shared" si="97"/>
        <v>10</v>
      </c>
      <c r="AN246" s="10">
        <v>10</v>
      </c>
      <c r="AO246" s="11">
        <f t="shared" si="75"/>
        <v>10</v>
      </c>
      <c r="AP246" s="10">
        <v>10</v>
      </c>
      <c r="AQ246" s="11">
        <f t="shared" si="75"/>
        <v>10</v>
      </c>
      <c r="AR246" s="10">
        <v>10</v>
      </c>
      <c r="AS246" s="56">
        <f t="shared" si="98"/>
        <v>1</v>
      </c>
      <c r="AU246" s="11">
        <f ca="1">IFERROR(OFFSET(ITEM_RES!$A$1,MATCH(AV246,ITEM_RES!$J:$J,0)-1,0),0)</f>
        <v>211020801</v>
      </c>
      <c r="AV246" s="10" t="s">
        <v>435</v>
      </c>
      <c r="AW246" s="11">
        <v>1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  <c r="BO246" s="11">
        <f ca="1">IFERROR(OFFSET(ITEM_RES!$A$1,MATCH(BP246,ITEM_RES!$J:$J,0)-1,0),0)</f>
        <v>0</v>
      </c>
      <c r="BQ246" s="11">
        <f t="shared" si="73"/>
        <v>0</v>
      </c>
    </row>
    <row r="247" spans="1:70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376</v>
      </c>
      <c r="L247" s="56"/>
      <c r="M247" s="56" t="s">
        <v>953</v>
      </c>
      <c r="N247" s="56"/>
      <c r="O247" s="9">
        <v>1</v>
      </c>
      <c r="P247" s="9">
        <v>15</v>
      </c>
      <c r="Q247" s="9" t="s">
        <v>774</v>
      </c>
      <c r="U247" s="9" t="s">
        <v>710</v>
      </c>
      <c r="X247" s="9">
        <f ca="1">IFERROR(OFFSET(ITEM_RES!$A$5,MATCH(BUILDING!W247,ITEM_RES!$J$5:$J$226,0)-1,0),0)</f>
        <v>0</v>
      </c>
      <c r="AA247" s="9">
        <f ca="1">IFERROR(OFFSET(ITEM_RES!$A$5,MATCH(BUILDING!Z247,ITEM_RES!$J$5:$J$226,0)-1,0),0)</f>
        <v>0</v>
      </c>
      <c r="AC247" s="9" t="s">
        <v>519</v>
      </c>
      <c r="AD247" s="9">
        <v>3</v>
      </c>
      <c r="AF247" s="11">
        <f ca="1">IFERROR(OFFSET(MANOR_LEVEL!$B$1,MATCH(AG247-1,MANOR_LEVEL!$A:$A,0)-1,0),0)</f>
        <v>186400</v>
      </c>
      <c r="AG247" s="56">
        <v>9</v>
      </c>
      <c r="AI247" s="56">
        <f t="shared" ca="1" si="95"/>
        <v>30</v>
      </c>
      <c r="AJ247" s="10">
        <f ca="1">AO247+AQ247+(IFERROR(OFFSET(ITEM_RES!$S$1,MATCH(AU247,ITEM_RES!$A:$A,0)-1,0),0)*AW247+IFERROR(OFFSET(ITEM_RES!$S$1,MATCH(AZ247,ITEM_RES!$A:$A,0)-1,0),0)*BB247+IFERROR(OFFSET(ITEM_RES!$S$1,MATCH(BE247,ITEM_RES!$A:$A,0)-1,0),0)*BG247+IFERROR(OFFSET(ITEM_RES!$S$1,MATCH(BJ247,ITEM_RES!$A:$A,0)-1,0),0)*BL247+IFERROR(OFFSET(ITEM_RES!$S$1,MATCH(BO247,ITEM_RES!$A:$A,0)-1,0),0)*BQ247)/1000</f>
        <v>30.1</v>
      </c>
      <c r="AK247" s="183">
        <f t="shared" ref="AK247:AK264" ca="1" si="99">AI246+AI247</f>
        <v>50</v>
      </c>
      <c r="AM247" s="11">
        <f t="shared" si="97"/>
        <v>15</v>
      </c>
      <c r="AN247" s="10">
        <v>15</v>
      </c>
      <c r="AO247" s="11">
        <f t="shared" si="75"/>
        <v>15</v>
      </c>
      <c r="AP247" s="10">
        <v>15</v>
      </c>
      <c r="AQ247" s="11">
        <f t="shared" si="75"/>
        <v>15</v>
      </c>
      <c r="AR247" s="10">
        <v>15</v>
      </c>
      <c r="AS247" s="56">
        <f t="shared" si="98"/>
        <v>1</v>
      </c>
      <c r="AU247" s="11">
        <f ca="1">IFERROR(OFFSET(ITEM_RES!$A$1,MATCH(AV247,ITEM_RES!$J:$J,0)-1,0),0)</f>
        <v>211020801</v>
      </c>
      <c r="AV247" s="10" t="s">
        <v>435</v>
      </c>
      <c r="AW247" s="11">
        <v>1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  <c r="BO247" s="11">
        <f ca="1">IFERROR(OFFSET(ITEM_RES!$A$1,MATCH(BP247,ITEM_RES!$J:$J,0)-1,0),0)</f>
        <v>0</v>
      </c>
      <c r="BQ247" s="11">
        <f t="shared" si="73"/>
        <v>0</v>
      </c>
    </row>
    <row r="248" spans="1:70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376</v>
      </c>
      <c r="L248" s="56"/>
      <c r="M248" s="56" t="s">
        <v>953</v>
      </c>
      <c r="N248" s="56"/>
      <c r="O248" s="9">
        <v>1</v>
      </c>
      <c r="P248" s="9">
        <v>15</v>
      </c>
      <c r="Q248" s="9" t="s">
        <v>774</v>
      </c>
      <c r="U248" s="9" t="s">
        <v>710</v>
      </c>
      <c r="X248" s="9">
        <f ca="1">IFERROR(OFFSET(ITEM_RES!$A$5,MATCH(BUILDING!W248,ITEM_RES!$J$5:$J$226,0)-1,0),0)</f>
        <v>0</v>
      </c>
      <c r="AA248" s="9">
        <f ca="1">IFERROR(OFFSET(ITEM_RES!$A$5,MATCH(BUILDING!Z248,ITEM_RES!$J$5:$J$226,0)-1,0),0)</f>
        <v>0</v>
      </c>
      <c r="AC248" s="9" t="s">
        <v>519</v>
      </c>
      <c r="AD248" s="9">
        <v>4</v>
      </c>
      <c r="AF248" s="11">
        <f ca="1">IFERROR(OFFSET(MANOR_LEVEL!$B$1,MATCH(AG248-1,MANOR_LEVEL!$A:$A,0)-1,0),0)</f>
        <v>186400</v>
      </c>
      <c r="AG248" s="56">
        <v>9</v>
      </c>
      <c r="AI248" s="56">
        <f t="shared" ca="1" si="95"/>
        <v>50</v>
      </c>
      <c r="AJ248" s="10">
        <f ca="1">AO248+AQ248+(IFERROR(OFFSET(ITEM_RES!$S$1,MATCH(AU248,ITEM_RES!$A:$A,0)-1,0),0)*AW248+IFERROR(OFFSET(ITEM_RES!$S$1,MATCH(AZ248,ITEM_RES!$A:$A,0)-1,0),0)*BB248+IFERROR(OFFSET(ITEM_RES!$S$1,MATCH(BE248,ITEM_RES!$A:$A,0)-1,0),0)*BG248+IFERROR(OFFSET(ITEM_RES!$S$1,MATCH(BJ248,ITEM_RES!$A:$A,0)-1,0),0)*BL248+IFERROR(OFFSET(ITEM_RES!$S$1,MATCH(BO248,ITEM_RES!$A:$A,0)-1,0),0)*BQ248)/1000</f>
        <v>50.1</v>
      </c>
      <c r="AK248" s="183">
        <f t="shared" ca="1" si="99"/>
        <v>80</v>
      </c>
      <c r="AM248" s="11">
        <f t="shared" si="97"/>
        <v>20</v>
      </c>
      <c r="AN248" s="10">
        <v>20</v>
      </c>
      <c r="AO248" s="11">
        <f t="shared" si="75"/>
        <v>25</v>
      </c>
      <c r="AP248" s="10">
        <v>25</v>
      </c>
      <c r="AQ248" s="11">
        <f t="shared" si="75"/>
        <v>25</v>
      </c>
      <c r="AR248" s="10">
        <v>25</v>
      </c>
      <c r="AS248" s="56">
        <f t="shared" si="98"/>
        <v>1</v>
      </c>
      <c r="AU248" s="11">
        <f ca="1">IFERROR(OFFSET(ITEM_RES!$A$1,MATCH(AV248,ITEM_RES!$J:$J,0)-1,0),0)</f>
        <v>211020801</v>
      </c>
      <c r="AV248" s="10" t="s">
        <v>435</v>
      </c>
      <c r="AW248" s="11">
        <v>1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  <c r="BO248" s="11">
        <f ca="1">IFERROR(OFFSET(ITEM_RES!$A$1,MATCH(BP248,ITEM_RES!$J:$J,0)-1,0),0)</f>
        <v>0</v>
      </c>
      <c r="BQ248" s="11">
        <f t="shared" si="73"/>
        <v>0</v>
      </c>
    </row>
    <row r="249" spans="1:70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376</v>
      </c>
      <c r="L249" s="56"/>
      <c r="M249" s="56" t="s">
        <v>953</v>
      </c>
      <c r="N249" s="56"/>
      <c r="O249" s="9">
        <v>1</v>
      </c>
      <c r="P249" s="9">
        <v>15</v>
      </c>
      <c r="Q249" s="9" t="s">
        <v>774</v>
      </c>
      <c r="U249" s="9" t="s">
        <v>710</v>
      </c>
      <c r="X249" s="9">
        <f ca="1">IFERROR(OFFSET(ITEM_RES!$A$5,MATCH(BUILDING!W249,ITEM_RES!$J$5:$J$226,0)-1,0),0)</f>
        <v>0</v>
      </c>
      <c r="AA249" s="9">
        <f ca="1">IFERROR(OFFSET(ITEM_RES!$A$5,MATCH(BUILDING!Z249,ITEM_RES!$J$5:$J$226,0)-1,0),0)</f>
        <v>0</v>
      </c>
      <c r="AC249" s="9" t="s">
        <v>519</v>
      </c>
      <c r="AD249" s="9">
        <v>5</v>
      </c>
      <c r="AF249" s="11">
        <f ca="1">IFERROR(OFFSET(MANOR_LEVEL!$B$1,MATCH(AG249-1,MANOR_LEVEL!$A:$A,0)-1,0),0)</f>
        <v>311600</v>
      </c>
      <c r="AG249" s="56">
        <v>10</v>
      </c>
      <c r="AI249" s="56">
        <f t="shared" ca="1" si="95"/>
        <v>80</v>
      </c>
      <c r="AJ249" s="10">
        <f ca="1">AO249+AQ249+(IFERROR(OFFSET(ITEM_RES!$S$1,MATCH(AU249,ITEM_RES!$A:$A,0)-1,0),0)*AW249+IFERROR(OFFSET(ITEM_RES!$S$1,MATCH(AZ249,ITEM_RES!$A:$A,0)-1,0),0)*BB249+IFERROR(OFFSET(ITEM_RES!$S$1,MATCH(BE249,ITEM_RES!$A:$A,0)-1,0),0)*BG249+IFERROR(OFFSET(ITEM_RES!$S$1,MATCH(BJ249,ITEM_RES!$A:$A,0)-1,0),0)*BL249+IFERROR(OFFSET(ITEM_RES!$S$1,MATCH(BO249,ITEM_RES!$A:$A,0)-1,0),0)*BQ249)/1000</f>
        <v>80.099999999999994</v>
      </c>
      <c r="AK249" s="183">
        <f t="shared" ca="1" si="99"/>
        <v>130</v>
      </c>
      <c r="AM249" s="11">
        <f t="shared" si="97"/>
        <v>25</v>
      </c>
      <c r="AN249" s="10">
        <v>25</v>
      </c>
      <c r="AO249" s="11">
        <f t="shared" si="75"/>
        <v>40</v>
      </c>
      <c r="AP249" s="10">
        <v>40</v>
      </c>
      <c r="AQ249" s="11">
        <f t="shared" si="75"/>
        <v>40</v>
      </c>
      <c r="AR249" s="10">
        <v>40</v>
      </c>
      <c r="AS249" s="56">
        <f t="shared" si="98"/>
        <v>1</v>
      </c>
      <c r="AU249" s="11">
        <f ca="1">IFERROR(OFFSET(ITEM_RES!$A$1,MATCH(AV249,ITEM_RES!$J:$J,0)-1,0),0)</f>
        <v>211020801</v>
      </c>
      <c r="AV249" s="10" t="s">
        <v>435</v>
      </c>
      <c r="AW249" s="11">
        <v>1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  <c r="BO249" s="11">
        <f ca="1">IFERROR(OFFSET(ITEM_RES!$A$1,MATCH(BP249,ITEM_RES!$J:$J,0)-1,0),0)</f>
        <v>0</v>
      </c>
      <c r="BQ249" s="11">
        <f t="shared" si="73"/>
        <v>0</v>
      </c>
    </row>
    <row r="250" spans="1:70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376</v>
      </c>
      <c r="L250" s="56"/>
      <c r="M250" s="56" t="s">
        <v>953</v>
      </c>
      <c r="N250" s="56"/>
      <c r="O250" s="9">
        <v>1</v>
      </c>
      <c r="P250" s="9">
        <v>15</v>
      </c>
      <c r="Q250" s="9" t="s">
        <v>774</v>
      </c>
      <c r="U250" s="9" t="s">
        <v>710</v>
      </c>
      <c r="X250" s="9">
        <f ca="1">IFERROR(OFFSET(ITEM_RES!$A$5,MATCH(BUILDING!W250,ITEM_RES!$J$5:$J$226,0)-1,0),0)</f>
        <v>0</v>
      </c>
      <c r="AA250" s="9">
        <f ca="1">IFERROR(OFFSET(ITEM_RES!$A$5,MATCH(BUILDING!Z250,ITEM_RES!$J$5:$J$226,0)-1,0),0)</f>
        <v>0</v>
      </c>
      <c r="AC250" s="9" t="s">
        <v>519</v>
      </c>
      <c r="AD250" s="9">
        <v>6</v>
      </c>
      <c r="AF250" s="11">
        <f ca="1">IFERROR(OFFSET(MANOR_LEVEL!$B$1,MATCH(AG250-1,MANOR_LEVEL!$A:$A,0)-1,0),0)</f>
        <v>311600</v>
      </c>
      <c r="AG250" s="56">
        <v>10</v>
      </c>
      <c r="AI250" s="56">
        <f t="shared" ca="1" si="95"/>
        <v>100</v>
      </c>
      <c r="AJ250" s="10">
        <f ca="1">AO250+AQ250+(IFERROR(OFFSET(ITEM_RES!$S$1,MATCH(AU250,ITEM_RES!$A:$A,0)-1,0),0)*AW250+IFERROR(OFFSET(ITEM_RES!$S$1,MATCH(AZ250,ITEM_RES!$A:$A,0)-1,0),0)*BB250+IFERROR(OFFSET(ITEM_RES!$S$1,MATCH(BE250,ITEM_RES!$A:$A,0)-1,0),0)*BG250+IFERROR(OFFSET(ITEM_RES!$S$1,MATCH(BJ250,ITEM_RES!$A:$A,0)-1,0),0)*BL250+IFERROR(OFFSET(ITEM_RES!$S$1,MATCH(BO250,ITEM_RES!$A:$A,0)-1,0),0)*BQ250)/1000</f>
        <v>100.1</v>
      </c>
      <c r="AK250" s="183">
        <f t="shared" ca="1" si="99"/>
        <v>180</v>
      </c>
      <c r="AM250" s="11">
        <f t="shared" si="97"/>
        <v>30</v>
      </c>
      <c r="AN250" s="10">
        <v>30</v>
      </c>
      <c r="AO250" s="11">
        <f t="shared" si="75"/>
        <v>50</v>
      </c>
      <c r="AP250" s="10">
        <v>50</v>
      </c>
      <c r="AQ250" s="11">
        <f t="shared" si="75"/>
        <v>50</v>
      </c>
      <c r="AR250" s="10">
        <v>50</v>
      </c>
      <c r="AS250" s="56">
        <f t="shared" si="98"/>
        <v>1</v>
      </c>
      <c r="AU250" s="11">
        <f ca="1">IFERROR(OFFSET(ITEM_RES!$A$1,MATCH(AV250,ITEM_RES!$J:$J,0)-1,0),0)</f>
        <v>211020801</v>
      </c>
      <c r="AV250" s="10" t="s">
        <v>435</v>
      </c>
      <c r="AW250" s="11">
        <v>1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  <c r="BO250" s="11">
        <f ca="1">IFERROR(OFFSET(ITEM_RES!$A$1,MATCH(BP250,ITEM_RES!$J:$J,0)-1,0),0)</f>
        <v>0</v>
      </c>
      <c r="BQ250" s="11">
        <f t="shared" si="73"/>
        <v>0</v>
      </c>
    </row>
    <row r="251" spans="1:70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376</v>
      </c>
      <c r="L251" s="56"/>
      <c r="M251" s="56" t="s">
        <v>953</v>
      </c>
      <c r="N251" s="56"/>
      <c r="O251" s="9">
        <v>1</v>
      </c>
      <c r="P251" s="9">
        <v>15</v>
      </c>
      <c r="Q251" s="9" t="s">
        <v>774</v>
      </c>
      <c r="U251" s="9" t="s">
        <v>710</v>
      </c>
      <c r="X251" s="9">
        <f ca="1">IFERROR(OFFSET(ITEM_RES!$A$5,MATCH(BUILDING!W251,ITEM_RES!$J$5:$J$226,0)-1,0),0)</f>
        <v>0</v>
      </c>
      <c r="AA251" s="9">
        <f ca="1">IFERROR(OFFSET(ITEM_RES!$A$5,MATCH(BUILDING!Z251,ITEM_RES!$J$5:$J$226,0)-1,0),0)</f>
        <v>0</v>
      </c>
      <c r="AC251" s="9" t="s">
        <v>519</v>
      </c>
      <c r="AD251" s="9">
        <v>7</v>
      </c>
      <c r="AF251" s="11">
        <f ca="1">IFERROR(OFFSET(MANOR_LEVEL!$B$1,MATCH(AG251-1,MANOR_LEVEL!$A:$A,0)-1,0),0)</f>
        <v>456800</v>
      </c>
      <c r="AG251" s="56">
        <v>11</v>
      </c>
      <c r="AI251" s="56">
        <f t="shared" ca="1" si="95"/>
        <v>200</v>
      </c>
      <c r="AJ251" s="10">
        <f ca="1">AO251+AQ251+(IFERROR(OFFSET(ITEM_RES!$S$1,MATCH(AU251,ITEM_RES!$A:$A,0)-1,0),0)*AW251+IFERROR(OFFSET(ITEM_RES!$S$1,MATCH(AZ251,ITEM_RES!$A:$A,0)-1,0),0)*BB251+IFERROR(OFFSET(ITEM_RES!$S$1,MATCH(BE251,ITEM_RES!$A:$A,0)-1,0),0)*BG251+IFERROR(OFFSET(ITEM_RES!$S$1,MATCH(BJ251,ITEM_RES!$A:$A,0)-1,0),0)*BL251+IFERROR(OFFSET(ITEM_RES!$S$1,MATCH(BO251,ITEM_RES!$A:$A,0)-1,0),0)*BQ251)/1000</f>
        <v>200.1</v>
      </c>
      <c r="AK251" s="183">
        <f t="shared" ca="1" si="99"/>
        <v>300</v>
      </c>
      <c r="AM251" s="11">
        <f t="shared" si="97"/>
        <v>35</v>
      </c>
      <c r="AN251" s="10">
        <v>35</v>
      </c>
      <c r="AO251" s="11">
        <f t="shared" si="75"/>
        <v>100</v>
      </c>
      <c r="AP251" s="10">
        <v>100</v>
      </c>
      <c r="AQ251" s="11">
        <f t="shared" si="75"/>
        <v>100</v>
      </c>
      <c r="AR251" s="10">
        <v>100</v>
      </c>
      <c r="AS251" s="56">
        <f t="shared" si="98"/>
        <v>1</v>
      </c>
      <c r="AU251" s="11">
        <f ca="1">IFERROR(OFFSET(ITEM_RES!$A$1,MATCH(AV251,ITEM_RES!$J:$J,0)-1,0),0)</f>
        <v>211020801</v>
      </c>
      <c r="AV251" s="10" t="s">
        <v>435</v>
      </c>
      <c r="AW251" s="11">
        <v>1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  <c r="BO251" s="11">
        <f ca="1">IFERROR(OFFSET(ITEM_RES!$A$1,MATCH(BP251,ITEM_RES!$J:$J,0)-1,0),0)</f>
        <v>0</v>
      </c>
      <c r="BQ251" s="11">
        <f t="shared" si="73"/>
        <v>0</v>
      </c>
    </row>
    <row r="252" spans="1:70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376</v>
      </c>
      <c r="L252" s="56"/>
      <c r="M252" s="56" t="s">
        <v>953</v>
      </c>
      <c r="N252" s="56"/>
      <c r="O252" s="9">
        <v>1</v>
      </c>
      <c r="P252" s="9">
        <v>15</v>
      </c>
      <c r="Q252" s="9" t="s">
        <v>774</v>
      </c>
      <c r="U252" s="9" t="s">
        <v>710</v>
      </c>
      <c r="X252" s="9">
        <f ca="1">IFERROR(OFFSET(ITEM_RES!$A$5,MATCH(BUILDING!W252,ITEM_RES!$J$5:$J$226,0)-1,0),0)</f>
        <v>0</v>
      </c>
      <c r="AA252" s="9">
        <f ca="1">IFERROR(OFFSET(ITEM_RES!$A$5,MATCH(BUILDING!Z252,ITEM_RES!$J$5:$J$226,0)-1,0),0)</f>
        <v>0</v>
      </c>
      <c r="AC252" s="9" t="s">
        <v>519</v>
      </c>
      <c r="AD252" s="9">
        <v>8</v>
      </c>
      <c r="AF252" s="11">
        <f ca="1">IFERROR(OFFSET(MANOR_LEVEL!$B$1,MATCH(AG252-1,MANOR_LEVEL!$A:$A,0)-1,0),0)</f>
        <v>796000</v>
      </c>
      <c r="AG252" s="56">
        <v>12</v>
      </c>
      <c r="AI252" s="56">
        <f t="shared" ca="1" si="95"/>
        <v>200</v>
      </c>
      <c r="AJ252" s="10">
        <f ca="1">AO252+AQ252+(IFERROR(OFFSET(ITEM_RES!$S$1,MATCH(AU252,ITEM_RES!$A:$A,0)-1,0),0)*AW252+IFERROR(OFFSET(ITEM_RES!$S$1,MATCH(AZ252,ITEM_RES!$A:$A,0)-1,0),0)*BB252+IFERROR(OFFSET(ITEM_RES!$S$1,MATCH(BE252,ITEM_RES!$A:$A,0)-1,0),0)*BG252+IFERROR(OFFSET(ITEM_RES!$S$1,MATCH(BJ252,ITEM_RES!$A:$A,0)-1,0),0)*BL252+IFERROR(OFFSET(ITEM_RES!$S$1,MATCH(BO252,ITEM_RES!$A:$A,0)-1,0),0)*BQ252)/1000</f>
        <v>200.1</v>
      </c>
      <c r="AK252" s="183">
        <f t="shared" ca="1" si="99"/>
        <v>400</v>
      </c>
      <c r="AM252" s="11">
        <f t="shared" si="97"/>
        <v>40</v>
      </c>
      <c r="AN252" s="10">
        <v>40</v>
      </c>
      <c r="AO252" s="11">
        <f t="shared" si="75"/>
        <v>100</v>
      </c>
      <c r="AP252" s="10">
        <v>100</v>
      </c>
      <c r="AQ252" s="11">
        <f t="shared" si="75"/>
        <v>100</v>
      </c>
      <c r="AR252" s="10">
        <v>100</v>
      </c>
      <c r="AS252" s="56">
        <f t="shared" si="98"/>
        <v>1</v>
      </c>
      <c r="AU252" s="11">
        <f ca="1">IFERROR(OFFSET(ITEM_RES!$A$1,MATCH(AV252,ITEM_RES!$J:$J,0)-1,0),0)</f>
        <v>211020801</v>
      </c>
      <c r="AV252" s="10" t="s">
        <v>435</v>
      </c>
      <c r="AW252" s="11">
        <v>1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0</v>
      </c>
      <c r="BJ252" s="11">
        <f ca="1">IFERROR(OFFSET(ITEM_RES!$A$1,MATCH(BK252,ITEM_RES!$J:$J,0)-1,0),0)</f>
        <v>0</v>
      </c>
      <c r="BO252" s="11">
        <f ca="1">IFERROR(OFFSET(ITEM_RES!$A$1,MATCH(BP252,ITEM_RES!$J:$J,0)-1,0),0)</f>
        <v>0</v>
      </c>
      <c r="BQ252" s="11">
        <f t="shared" si="73"/>
        <v>0</v>
      </c>
    </row>
    <row r="253" spans="1:70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376</v>
      </c>
      <c r="L253" s="56"/>
      <c r="M253" s="56" t="s">
        <v>953</v>
      </c>
      <c r="N253" s="56"/>
      <c r="O253" s="9">
        <v>1</v>
      </c>
      <c r="P253" s="9">
        <v>15</v>
      </c>
      <c r="Q253" s="9" t="s">
        <v>774</v>
      </c>
      <c r="U253" s="9" t="s">
        <v>710</v>
      </c>
      <c r="X253" s="9">
        <f ca="1">IFERROR(OFFSET(ITEM_RES!$A$5,MATCH(BUILDING!W253,ITEM_RES!$J$5:$J$226,0)-1,0),0)</f>
        <v>0</v>
      </c>
      <c r="AA253" s="9">
        <f ca="1">IFERROR(OFFSET(ITEM_RES!$A$5,MATCH(BUILDING!Z253,ITEM_RES!$J$5:$J$226,0)-1,0),0)</f>
        <v>0</v>
      </c>
      <c r="AC253" s="9" t="s">
        <v>519</v>
      </c>
      <c r="AD253" s="9">
        <v>9</v>
      </c>
      <c r="AF253" s="11">
        <f ca="1">IFERROR(OFFSET(MANOR_LEVEL!$B$1,MATCH(AG253-1,MANOR_LEVEL!$A:$A,0)-1,0),0)</f>
        <v>1156400</v>
      </c>
      <c r="AG253" s="56">
        <v>13</v>
      </c>
      <c r="AI253" s="56">
        <f t="shared" ca="1" si="95"/>
        <v>300</v>
      </c>
      <c r="AJ253" s="10">
        <f ca="1">AO253+AQ253+(IFERROR(OFFSET(ITEM_RES!$S$1,MATCH(AU253,ITEM_RES!$A:$A,0)-1,0),0)*AW253+IFERROR(OFFSET(ITEM_RES!$S$1,MATCH(AZ253,ITEM_RES!$A:$A,0)-1,0),0)*BB253+IFERROR(OFFSET(ITEM_RES!$S$1,MATCH(BE253,ITEM_RES!$A:$A,0)-1,0),0)*BG253+IFERROR(OFFSET(ITEM_RES!$S$1,MATCH(BJ253,ITEM_RES!$A:$A,0)-1,0),0)*BL253+IFERROR(OFFSET(ITEM_RES!$S$1,MATCH(BO253,ITEM_RES!$A:$A,0)-1,0),0)*BQ253)/1000</f>
        <v>300.10000000000002</v>
      </c>
      <c r="AK253" s="183">
        <f t="shared" ca="1" si="99"/>
        <v>500</v>
      </c>
      <c r="AM253" s="11">
        <f t="shared" si="97"/>
        <v>45</v>
      </c>
      <c r="AN253" s="10">
        <v>45</v>
      </c>
      <c r="AO253" s="11">
        <f t="shared" si="75"/>
        <v>150</v>
      </c>
      <c r="AP253" s="10">
        <v>150</v>
      </c>
      <c r="AQ253" s="11">
        <f t="shared" si="75"/>
        <v>150</v>
      </c>
      <c r="AR253" s="10">
        <v>150</v>
      </c>
      <c r="AS253" s="56">
        <f t="shared" si="98"/>
        <v>1</v>
      </c>
      <c r="AU253" s="11">
        <f ca="1">IFERROR(OFFSET(ITEM_RES!$A$1,MATCH(AV253,ITEM_RES!$J:$J,0)-1,0),0)</f>
        <v>211020801</v>
      </c>
      <c r="AV253" s="10" t="s">
        <v>435</v>
      </c>
      <c r="AW253" s="11">
        <v>1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  <c r="BO253" s="11">
        <f ca="1">IFERROR(OFFSET(ITEM_RES!$A$1,MATCH(BP253,ITEM_RES!$J:$J,0)-1,0),0)</f>
        <v>0</v>
      </c>
      <c r="BQ253" s="11">
        <f t="shared" si="73"/>
        <v>0</v>
      </c>
    </row>
    <row r="254" spans="1:70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376</v>
      </c>
      <c r="L254" s="56"/>
      <c r="M254" s="56" t="s">
        <v>953</v>
      </c>
      <c r="N254" s="56"/>
      <c r="O254" s="9">
        <v>1</v>
      </c>
      <c r="P254" s="9">
        <v>15</v>
      </c>
      <c r="Q254" s="9" t="s">
        <v>774</v>
      </c>
      <c r="U254" s="9" t="s">
        <v>710</v>
      </c>
      <c r="X254" s="9">
        <f ca="1">IFERROR(OFFSET(ITEM_RES!$A$5,MATCH(BUILDING!W254,ITEM_RES!$J$5:$J$226,0)-1,0),0)</f>
        <v>0</v>
      </c>
      <c r="AA254" s="9">
        <f ca="1">IFERROR(OFFSET(ITEM_RES!$A$5,MATCH(BUILDING!Z254,ITEM_RES!$J$5:$J$226,0)-1,0),0)</f>
        <v>0</v>
      </c>
      <c r="AC254" s="9" t="s">
        <v>519</v>
      </c>
      <c r="AD254" s="9">
        <v>10</v>
      </c>
      <c r="AF254" s="11">
        <f ca="1">IFERROR(OFFSET(MANOR_LEVEL!$B$1,MATCH(AG254-1,MANOR_LEVEL!$A:$A,0)-1,0),0)</f>
        <v>1156400</v>
      </c>
      <c r="AG254" s="56">
        <v>13</v>
      </c>
      <c r="AI254" s="56">
        <f t="shared" ca="1" si="95"/>
        <v>500</v>
      </c>
      <c r="AJ254" s="10">
        <f ca="1">AO254+AQ254+(IFERROR(OFFSET(ITEM_RES!$S$1,MATCH(AU254,ITEM_RES!$A:$A,0)-1,0),0)*AW254+IFERROR(OFFSET(ITEM_RES!$S$1,MATCH(AZ254,ITEM_RES!$A:$A,0)-1,0),0)*BB254+IFERROR(OFFSET(ITEM_RES!$S$1,MATCH(BE254,ITEM_RES!$A:$A,0)-1,0),0)*BG254+IFERROR(OFFSET(ITEM_RES!$S$1,MATCH(BJ254,ITEM_RES!$A:$A,0)-1,0),0)*BL254+IFERROR(OFFSET(ITEM_RES!$S$1,MATCH(BO254,ITEM_RES!$A:$A,0)-1,0),0)*BQ254)/1000</f>
        <v>500.1</v>
      </c>
      <c r="AK254" s="183">
        <f t="shared" ca="1" si="99"/>
        <v>800</v>
      </c>
      <c r="AM254" s="11">
        <f t="shared" si="97"/>
        <v>50</v>
      </c>
      <c r="AN254" s="10">
        <v>50</v>
      </c>
      <c r="AO254" s="11">
        <f t="shared" si="75"/>
        <v>200</v>
      </c>
      <c r="AP254" s="10">
        <v>200</v>
      </c>
      <c r="AQ254" s="11">
        <f t="shared" si="75"/>
        <v>200</v>
      </c>
      <c r="AR254" s="10">
        <v>200</v>
      </c>
      <c r="AS254" s="56">
        <f t="shared" si="98"/>
        <v>2</v>
      </c>
      <c r="AU254" s="11">
        <f ca="1">IFERROR(OFFSET(ITEM_RES!$A$1,MATCH(AV254,ITEM_RES!$J:$J,0)-1,0),0)</f>
        <v>211020801</v>
      </c>
      <c r="AV254" s="10" t="s">
        <v>435</v>
      </c>
      <c r="AW254" s="11">
        <v>1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0</v>
      </c>
      <c r="BJ254" s="11">
        <f ca="1">IFERROR(OFFSET(ITEM_RES!$A$1,MATCH(BK254,ITEM_RES!$J:$J,0)-1,0),0)</f>
        <v>213010901</v>
      </c>
      <c r="BK254" s="10" t="s">
        <v>464</v>
      </c>
      <c r="BL254" s="11">
        <v>1</v>
      </c>
      <c r="BO254" s="11">
        <f ca="1">IFERROR(OFFSET(ITEM_RES!$A$1,MATCH(BP254,ITEM_RES!$J:$J,0)-1,0),0)</f>
        <v>0</v>
      </c>
      <c r="BQ254" s="11">
        <f t="shared" si="73"/>
        <v>0</v>
      </c>
    </row>
    <row r="255" spans="1:70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376</v>
      </c>
      <c r="L255" s="56"/>
      <c r="M255" s="56" t="s">
        <v>953</v>
      </c>
      <c r="N255" s="56"/>
      <c r="O255" s="9">
        <v>1</v>
      </c>
      <c r="P255" s="9">
        <v>15</v>
      </c>
      <c r="Q255" s="9" t="s">
        <v>774</v>
      </c>
      <c r="U255" s="9" t="s">
        <v>710</v>
      </c>
      <c r="X255" s="9">
        <f ca="1">IFERROR(OFFSET(ITEM_RES!$A$5,MATCH(BUILDING!W255,ITEM_RES!$J$5:$J$226,0)-1,0),0)</f>
        <v>0</v>
      </c>
      <c r="AA255" s="9">
        <f ca="1">IFERROR(OFFSET(ITEM_RES!$A$5,MATCH(BUILDING!Z255,ITEM_RES!$J$5:$J$226,0)-1,0),0)</f>
        <v>0</v>
      </c>
      <c r="AC255" s="9" t="s">
        <v>519</v>
      </c>
      <c r="AD255" s="9">
        <v>11</v>
      </c>
      <c r="AF255" s="11">
        <f ca="1">IFERROR(OFFSET(MANOR_LEVEL!$B$1,MATCH(AG255-1,MANOR_LEVEL!$A:$A,0)-1,0),0)</f>
        <v>1661200</v>
      </c>
      <c r="AG255" s="56">
        <v>14</v>
      </c>
      <c r="AI255" s="56">
        <f t="shared" ca="1" si="95"/>
        <v>500</v>
      </c>
      <c r="AJ255" s="10">
        <f ca="1">AO255+AQ255+(IFERROR(OFFSET(ITEM_RES!$S$1,MATCH(AU255,ITEM_RES!$A:$A,0)-1,0),0)*AW255+IFERROR(OFFSET(ITEM_RES!$S$1,MATCH(AZ255,ITEM_RES!$A:$A,0)-1,0),0)*BB255+IFERROR(OFFSET(ITEM_RES!$S$1,MATCH(BE255,ITEM_RES!$A:$A,0)-1,0),0)*BG255+IFERROR(OFFSET(ITEM_RES!$S$1,MATCH(BJ255,ITEM_RES!$A:$A,0)-1,0),0)*BL255+IFERROR(OFFSET(ITEM_RES!$S$1,MATCH(BO255,ITEM_RES!$A:$A,0)-1,0),0)*BQ255)/1000</f>
        <v>500.1</v>
      </c>
      <c r="AK255" s="183">
        <f t="shared" ca="1" si="99"/>
        <v>1000</v>
      </c>
      <c r="AM255" s="11">
        <f t="shared" si="97"/>
        <v>55</v>
      </c>
      <c r="AN255" s="10">
        <v>55</v>
      </c>
      <c r="AO255" s="11">
        <f t="shared" si="75"/>
        <v>250</v>
      </c>
      <c r="AP255" s="10">
        <v>250</v>
      </c>
      <c r="AQ255" s="11">
        <f t="shared" si="75"/>
        <v>250</v>
      </c>
      <c r="AR255" s="10">
        <v>250</v>
      </c>
      <c r="AS255" s="56">
        <f t="shared" si="98"/>
        <v>1</v>
      </c>
      <c r="AU255" s="11">
        <f ca="1">IFERROR(OFFSET(ITEM_RES!$A$1,MATCH(AV255,ITEM_RES!$J:$J,0)-1,0),0)</f>
        <v>211020801</v>
      </c>
      <c r="AV255" s="10" t="s">
        <v>435</v>
      </c>
      <c r="AW255" s="11">
        <v>1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  <c r="BO255" s="11">
        <f ca="1">IFERROR(OFFSET(ITEM_RES!$A$1,MATCH(BP255,ITEM_RES!$J:$J,0)-1,0),0)</f>
        <v>0</v>
      </c>
      <c r="BQ255" s="11">
        <f t="shared" si="73"/>
        <v>0</v>
      </c>
    </row>
    <row r="256" spans="1:70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376</v>
      </c>
      <c r="L256" s="56"/>
      <c r="M256" s="56" t="s">
        <v>953</v>
      </c>
      <c r="N256" s="56"/>
      <c r="O256" s="9">
        <v>1</v>
      </c>
      <c r="P256" s="9">
        <v>15</v>
      </c>
      <c r="Q256" s="9" t="s">
        <v>774</v>
      </c>
      <c r="U256" s="9" t="s">
        <v>710</v>
      </c>
      <c r="X256" s="9">
        <f ca="1">IFERROR(OFFSET(ITEM_RES!$A$5,MATCH(BUILDING!W256,ITEM_RES!$J$5:$J$226,0)-1,0),0)</f>
        <v>0</v>
      </c>
      <c r="AA256" s="9">
        <f ca="1">IFERROR(OFFSET(ITEM_RES!$A$5,MATCH(BUILDING!Z256,ITEM_RES!$J$5:$J$226,0)-1,0),0)</f>
        <v>0</v>
      </c>
      <c r="AC256" s="9" t="s">
        <v>519</v>
      </c>
      <c r="AD256" s="9">
        <v>12</v>
      </c>
      <c r="AF256" s="11">
        <f ca="1">IFERROR(OFFSET(MANOR_LEVEL!$B$1,MATCH(AG256-1,MANOR_LEVEL!$A:$A,0)-1,0),0)</f>
        <v>2622400</v>
      </c>
      <c r="AG256" s="56">
        <v>15</v>
      </c>
      <c r="AI256" s="56">
        <f t="shared" ca="1" si="95"/>
        <v>600</v>
      </c>
      <c r="AJ256" s="10">
        <f ca="1">AO256+AQ256+(IFERROR(OFFSET(ITEM_RES!$S$1,MATCH(AU256,ITEM_RES!$A:$A,0)-1,0),0)*AW256+IFERROR(OFFSET(ITEM_RES!$S$1,MATCH(AZ256,ITEM_RES!$A:$A,0)-1,0),0)*BB256+IFERROR(OFFSET(ITEM_RES!$S$1,MATCH(BE256,ITEM_RES!$A:$A,0)-1,0),0)*BG256+IFERROR(OFFSET(ITEM_RES!$S$1,MATCH(BJ256,ITEM_RES!$A:$A,0)-1,0),0)*BL256+IFERROR(OFFSET(ITEM_RES!$S$1,MATCH(BO256,ITEM_RES!$A:$A,0)-1,0),0)*BQ256)/1000</f>
        <v>600.1</v>
      </c>
      <c r="AK256" s="183">
        <f t="shared" ca="1" si="99"/>
        <v>1100</v>
      </c>
      <c r="AM256" s="11">
        <f t="shared" si="97"/>
        <v>60</v>
      </c>
      <c r="AN256" s="10">
        <v>60</v>
      </c>
      <c r="AO256" s="11">
        <f t="shared" si="75"/>
        <v>300</v>
      </c>
      <c r="AP256" s="10">
        <v>300</v>
      </c>
      <c r="AQ256" s="11">
        <f t="shared" si="75"/>
        <v>300</v>
      </c>
      <c r="AR256" s="10">
        <v>300</v>
      </c>
      <c r="AS256" s="56">
        <f t="shared" si="98"/>
        <v>1</v>
      </c>
      <c r="AU256" s="11">
        <f ca="1">IFERROR(OFFSET(ITEM_RES!$A$1,MATCH(AV256,ITEM_RES!$J:$J,0)-1,0),0)</f>
        <v>211020801</v>
      </c>
      <c r="AV256" s="10" t="s">
        <v>435</v>
      </c>
      <c r="AW256" s="11">
        <v>1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  <c r="BO256" s="11">
        <f ca="1">IFERROR(OFFSET(ITEM_RES!$A$1,MATCH(BP256,ITEM_RES!$J:$J,0)-1,0),0)</f>
        <v>0</v>
      </c>
      <c r="BQ256" s="11">
        <f t="shared" si="73"/>
        <v>0</v>
      </c>
    </row>
    <row r="257" spans="1:70" x14ac:dyDescent="0.3">
      <c r="A257" s="14">
        <f t="shared" ref="A257:A340" si="100">B257*10000000+C257*1000000+D257*10000+E257*100+F257</f>
        <v>113040013</v>
      </c>
      <c r="B257" s="13">
        <v>11</v>
      </c>
      <c r="C257" s="12">
        <f t="shared" ref="C257:C340" si="101">H257</f>
        <v>3</v>
      </c>
      <c r="D257" s="13">
        <v>4</v>
      </c>
      <c r="E257" s="13">
        <v>0</v>
      </c>
      <c r="F257" s="12">
        <f t="shared" ref="F257:F340" si="102">I257</f>
        <v>13</v>
      </c>
      <c r="H257" s="9">
        <v>3</v>
      </c>
      <c r="I257" s="9">
        <v>13</v>
      </c>
      <c r="K257" s="56" t="s">
        <v>376</v>
      </c>
      <c r="L257" s="56"/>
      <c r="M257" s="56" t="s">
        <v>953</v>
      </c>
      <c r="N257" s="56"/>
      <c r="O257" s="9">
        <v>1</v>
      </c>
      <c r="P257" s="9">
        <v>15</v>
      </c>
      <c r="Q257" s="9" t="s">
        <v>774</v>
      </c>
      <c r="U257" s="9" t="s">
        <v>710</v>
      </c>
      <c r="X257" s="9">
        <f ca="1">IFERROR(OFFSET(ITEM_RES!$A$5,MATCH(BUILDING!W257,ITEM_RES!$J$5:$J$226,0)-1,0),0)</f>
        <v>0</v>
      </c>
      <c r="AA257" s="9">
        <f ca="1">IFERROR(OFFSET(ITEM_RES!$A$5,MATCH(BUILDING!Z257,ITEM_RES!$J$5:$J$226,0)-1,0),0)</f>
        <v>0</v>
      </c>
      <c r="AC257" s="9" t="s">
        <v>519</v>
      </c>
      <c r="AD257" s="9">
        <v>13</v>
      </c>
      <c r="AF257" s="11">
        <f ca="1">IFERROR(OFFSET(MANOR_LEVEL!$B$1,MATCH(AG257-1,MANOR_LEVEL!$A:$A,0)-1,0),0)</f>
        <v>4232000</v>
      </c>
      <c r="AG257" s="56">
        <v>16</v>
      </c>
      <c r="AI257" s="56">
        <f t="shared" ca="1" si="95"/>
        <v>700</v>
      </c>
      <c r="AJ257" s="10">
        <f ca="1">AO257+AQ257+(IFERROR(OFFSET(ITEM_RES!$S$1,MATCH(AU257,ITEM_RES!$A:$A,0)-1,0),0)*AW257+IFERROR(OFFSET(ITEM_RES!$S$1,MATCH(AZ257,ITEM_RES!$A:$A,0)-1,0),0)*BB257+IFERROR(OFFSET(ITEM_RES!$S$1,MATCH(BE257,ITEM_RES!$A:$A,0)-1,0),0)*BG257+IFERROR(OFFSET(ITEM_RES!$S$1,MATCH(BJ257,ITEM_RES!$A:$A,0)-1,0),0)*BL257+IFERROR(OFFSET(ITEM_RES!$S$1,MATCH(BO257,ITEM_RES!$A:$A,0)-1,0),0)*BQ257)/1000</f>
        <v>700.2</v>
      </c>
      <c r="AK257" s="183">
        <f t="shared" ca="1" si="99"/>
        <v>1300</v>
      </c>
      <c r="AM257" s="11">
        <f t="shared" si="97"/>
        <v>65</v>
      </c>
      <c r="AN257" s="10">
        <v>65</v>
      </c>
      <c r="AO257" s="11">
        <f t="shared" si="75"/>
        <v>350</v>
      </c>
      <c r="AP257" s="10">
        <v>350</v>
      </c>
      <c r="AQ257" s="11">
        <f t="shared" si="75"/>
        <v>350</v>
      </c>
      <c r="AR257" s="10">
        <v>350</v>
      </c>
      <c r="AS257" s="56">
        <f t="shared" si="98"/>
        <v>1</v>
      </c>
      <c r="AU257" s="11">
        <f ca="1">IFERROR(OFFSET(ITEM_RES!$A$1,MATCH(AV257,ITEM_RES!$J:$J,0)-1,0),0)</f>
        <v>211020901</v>
      </c>
      <c r="AV257" s="10" t="s">
        <v>445</v>
      </c>
      <c r="AW257" s="11">
        <v>1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  <c r="BO257" s="11">
        <f ca="1">IFERROR(OFFSET(ITEM_RES!$A$1,MATCH(BP257,ITEM_RES!$J:$J,0)-1,0),0)</f>
        <v>0</v>
      </c>
      <c r="BQ257" s="11">
        <f t="shared" ref="BQ257:BQ284" si="103">IF(BR257&lt;100,ROUND(BR257,1-LEN(ROUND(BR257,0))),ROUND(BR257,2-LEN(ROUND(BR257,0))))</f>
        <v>0</v>
      </c>
    </row>
    <row r="258" spans="1:70" x14ac:dyDescent="0.3">
      <c r="A258" s="14">
        <f t="shared" si="100"/>
        <v>113040014</v>
      </c>
      <c r="B258" s="13">
        <v>11</v>
      </c>
      <c r="C258" s="12">
        <f t="shared" si="101"/>
        <v>3</v>
      </c>
      <c r="D258" s="13">
        <v>4</v>
      </c>
      <c r="E258" s="13">
        <v>0</v>
      </c>
      <c r="F258" s="12">
        <f t="shared" si="102"/>
        <v>14</v>
      </c>
      <c r="H258" s="9">
        <v>3</v>
      </c>
      <c r="I258" s="9">
        <v>14</v>
      </c>
      <c r="K258" s="56" t="s">
        <v>376</v>
      </c>
      <c r="L258" s="56"/>
      <c r="M258" s="56" t="s">
        <v>953</v>
      </c>
      <c r="N258" s="56"/>
      <c r="O258" s="9">
        <v>1</v>
      </c>
      <c r="P258" s="9">
        <v>15</v>
      </c>
      <c r="Q258" s="9" t="s">
        <v>774</v>
      </c>
      <c r="U258" s="9" t="s">
        <v>710</v>
      </c>
      <c r="X258" s="9">
        <f ca="1">IFERROR(OFFSET(ITEM_RES!$A$5,MATCH(BUILDING!W258,ITEM_RES!$J$5:$J$226,0)-1,0),0)</f>
        <v>0</v>
      </c>
      <c r="AA258" s="9">
        <f ca="1">IFERROR(OFFSET(ITEM_RES!$A$5,MATCH(BUILDING!Z258,ITEM_RES!$J$5:$J$226,0)-1,0),0)</f>
        <v>0</v>
      </c>
      <c r="AC258" s="9" t="s">
        <v>519</v>
      </c>
      <c r="AD258" s="9">
        <v>14</v>
      </c>
      <c r="AF258" s="11">
        <f ca="1">IFERROR(OFFSET(MANOR_LEVEL!$B$1,MATCH(AG258-1,MANOR_LEVEL!$A:$A,0)-1,0),0)</f>
        <v>7450000</v>
      </c>
      <c r="AG258" s="56">
        <v>17</v>
      </c>
      <c r="AI258" s="56">
        <f t="shared" ca="1" si="95"/>
        <v>900</v>
      </c>
      <c r="AJ258" s="10">
        <f ca="1">AO258+AQ258+(IFERROR(OFFSET(ITEM_RES!$S$1,MATCH(AU258,ITEM_RES!$A:$A,0)-1,0),0)*AW258+IFERROR(OFFSET(ITEM_RES!$S$1,MATCH(AZ258,ITEM_RES!$A:$A,0)-1,0),0)*BB258+IFERROR(OFFSET(ITEM_RES!$S$1,MATCH(BE258,ITEM_RES!$A:$A,0)-1,0),0)*BG258+IFERROR(OFFSET(ITEM_RES!$S$1,MATCH(BJ258,ITEM_RES!$A:$A,0)-1,0),0)*BL258+IFERROR(OFFSET(ITEM_RES!$S$1,MATCH(BO258,ITEM_RES!$A:$A,0)-1,0),0)*BQ258)/1000</f>
        <v>900.2</v>
      </c>
      <c r="AK258" s="183">
        <f t="shared" ca="1" si="99"/>
        <v>1600</v>
      </c>
      <c r="AM258" s="11">
        <f t="shared" si="97"/>
        <v>70</v>
      </c>
      <c r="AN258" s="10">
        <v>70</v>
      </c>
      <c r="AO258" s="11">
        <f t="shared" ref="AO258:AQ341" si="104">ROUND(AP258,0)</f>
        <v>450</v>
      </c>
      <c r="AP258" s="10">
        <v>450</v>
      </c>
      <c r="AQ258" s="11">
        <f t="shared" si="104"/>
        <v>450</v>
      </c>
      <c r="AR258" s="10">
        <v>450</v>
      </c>
      <c r="AS258" s="56">
        <f t="shared" si="98"/>
        <v>1</v>
      </c>
      <c r="AU258" s="11">
        <f ca="1">IFERROR(OFFSET(ITEM_RES!$A$1,MATCH(AV258,ITEM_RES!$J:$J,0)-1,0),0)</f>
        <v>211020901</v>
      </c>
      <c r="AV258" s="10" t="s">
        <v>445</v>
      </c>
      <c r="AW258" s="11">
        <v>1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0</v>
      </c>
      <c r="BJ258" s="11">
        <f ca="1">IFERROR(OFFSET(ITEM_RES!$A$1,MATCH(BK258,ITEM_RES!$J:$J,0)-1,0),0)</f>
        <v>0</v>
      </c>
      <c r="BO258" s="11">
        <f ca="1">IFERROR(OFFSET(ITEM_RES!$A$1,MATCH(BP258,ITEM_RES!$J:$J,0)-1,0),0)</f>
        <v>0</v>
      </c>
      <c r="BQ258" s="11">
        <f t="shared" si="103"/>
        <v>0</v>
      </c>
    </row>
    <row r="259" spans="1:70" x14ac:dyDescent="0.3">
      <c r="A259" s="14">
        <f t="shared" si="100"/>
        <v>113040015</v>
      </c>
      <c r="B259" s="13">
        <v>11</v>
      </c>
      <c r="C259" s="12">
        <f t="shared" si="101"/>
        <v>3</v>
      </c>
      <c r="D259" s="13">
        <v>4</v>
      </c>
      <c r="E259" s="13">
        <v>0</v>
      </c>
      <c r="F259" s="12">
        <f t="shared" si="102"/>
        <v>15</v>
      </c>
      <c r="H259" s="9">
        <v>3</v>
      </c>
      <c r="I259" s="9">
        <v>15</v>
      </c>
      <c r="K259" s="56" t="s">
        <v>376</v>
      </c>
      <c r="L259" s="56"/>
      <c r="M259" s="56" t="s">
        <v>953</v>
      </c>
      <c r="N259" s="56"/>
      <c r="O259" s="9">
        <v>1</v>
      </c>
      <c r="P259" s="9">
        <v>15</v>
      </c>
      <c r="Q259" s="9" t="s">
        <v>774</v>
      </c>
      <c r="U259" s="9" t="s">
        <v>710</v>
      </c>
      <c r="X259" s="9">
        <f ca="1">IFERROR(OFFSET(ITEM_RES!$A$5,MATCH(BUILDING!W259,ITEM_RES!$J$5:$J$226,0)-1,0),0)</f>
        <v>0</v>
      </c>
      <c r="AA259" s="9">
        <f ca="1">IFERROR(OFFSET(ITEM_RES!$A$5,MATCH(BUILDING!Z259,ITEM_RES!$J$5:$J$226,0)-1,0),0)</f>
        <v>0</v>
      </c>
      <c r="AC259" s="9" t="s">
        <v>519</v>
      </c>
      <c r="AD259" s="9">
        <v>15</v>
      </c>
      <c r="AF259" s="11">
        <f ca="1">IFERROR(OFFSET(MANOR_LEVEL!$B$1,MATCH(AG259-1,MANOR_LEVEL!$A:$A,0)-1,0),0)</f>
        <v>12172400</v>
      </c>
      <c r="AG259" s="56">
        <v>18</v>
      </c>
      <c r="AI259" s="56">
        <f t="shared" ca="1" si="95"/>
        <v>1100</v>
      </c>
      <c r="AJ259" s="10">
        <f ca="1">AO259+AQ259+(IFERROR(OFFSET(ITEM_RES!$S$1,MATCH(AU259,ITEM_RES!$A:$A,0)-1,0),0)*AW259+IFERROR(OFFSET(ITEM_RES!$S$1,MATCH(AZ259,ITEM_RES!$A:$A,0)-1,0),0)*BB259+IFERROR(OFFSET(ITEM_RES!$S$1,MATCH(BE259,ITEM_RES!$A:$A,0)-1,0),0)*BG259+IFERROR(OFFSET(ITEM_RES!$S$1,MATCH(BJ259,ITEM_RES!$A:$A,0)-1,0),0)*BL259+IFERROR(OFFSET(ITEM_RES!$S$1,MATCH(BO259,ITEM_RES!$A:$A,0)-1,0),0)*BQ259)/1000</f>
        <v>1100.2</v>
      </c>
      <c r="AK259" s="183">
        <f t="shared" ca="1" si="99"/>
        <v>2000</v>
      </c>
      <c r="AM259" s="11">
        <f t="shared" si="97"/>
        <v>75</v>
      </c>
      <c r="AN259" s="10">
        <v>75</v>
      </c>
      <c r="AO259" s="11">
        <f t="shared" si="104"/>
        <v>550</v>
      </c>
      <c r="AP259" s="10">
        <v>550</v>
      </c>
      <c r="AQ259" s="11">
        <f t="shared" si="104"/>
        <v>550</v>
      </c>
      <c r="AR259" s="10">
        <v>550</v>
      </c>
      <c r="AS259" s="56">
        <f t="shared" si="98"/>
        <v>1</v>
      </c>
      <c r="AU259" s="11">
        <f ca="1">IFERROR(OFFSET(ITEM_RES!$A$1,MATCH(AV259,ITEM_RES!$J:$J,0)-1,0),0)</f>
        <v>211020901</v>
      </c>
      <c r="AV259" s="10" t="s">
        <v>445</v>
      </c>
      <c r="AW259" s="11">
        <v>1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  <c r="BO259" s="11">
        <f ca="1">IFERROR(OFFSET(ITEM_RES!$A$1,MATCH(BP259,ITEM_RES!$J:$J,0)-1,0),0)</f>
        <v>0</v>
      </c>
      <c r="BQ259" s="11">
        <f t="shared" si="103"/>
        <v>0</v>
      </c>
    </row>
    <row r="260" spans="1:70" x14ac:dyDescent="0.3">
      <c r="A260" s="14">
        <f t="shared" si="100"/>
        <v>113040016</v>
      </c>
      <c r="B260" s="13">
        <v>11</v>
      </c>
      <c r="C260" s="12">
        <f t="shared" si="101"/>
        <v>3</v>
      </c>
      <c r="D260" s="13">
        <v>4</v>
      </c>
      <c r="E260" s="13">
        <v>0</v>
      </c>
      <c r="F260" s="12">
        <f t="shared" si="102"/>
        <v>16</v>
      </c>
      <c r="H260" s="9">
        <v>3</v>
      </c>
      <c r="I260" s="9">
        <v>16</v>
      </c>
      <c r="K260" s="56" t="s">
        <v>376</v>
      </c>
      <c r="L260" s="56"/>
      <c r="M260" s="56" t="s">
        <v>953</v>
      </c>
      <c r="N260" s="56"/>
      <c r="O260" s="9">
        <v>0</v>
      </c>
      <c r="P260" s="9">
        <v>15</v>
      </c>
      <c r="Q260" s="9" t="s">
        <v>774</v>
      </c>
      <c r="U260" s="9" t="s">
        <v>710</v>
      </c>
      <c r="X260" s="9">
        <f ca="1">IFERROR(OFFSET(ITEM_RES!$A$5,MATCH(BUILDING!W260,ITEM_RES!$J$5:$J$226,0)-1,0),0)</f>
        <v>0</v>
      </c>
      <c r="AA260" s="9">
        <f ca="1">IFERROR(OFFSET(ITEM_RES!$A$5,MATCH(BUILDING!Z260,ITEM_RES!$J$5:$J$226,0)-1,0),0)</f>
        <v>0</v>
      </c>
      <c r="AC260" s="9" t="s">
        <v>519</v>
      </c>
      <c r="AD260" s="9">
        <v>16</v>
      </c>
      <c r="AF260" s="11">
        <f ca="1">IFERROR(OFFSET(MANOR_LEVEL!$B$1,MATCH(AG260-1,MANOR_LEVEL!$A:$A,0)-1,0),0)</f>
        <v>12172400</v>
      </c>
      <c r="AG260" s="56">
        <v>18</v>
      </c>
      <c r="AI260" s="56">
        <f t="shared" ca="1" si="95"/>
        <v>1400</v>
      </c>
      <c r="AJ260" s="10">
        <f ca="1">AO260+AQ260+(IFERROR(OFFSET(ITEM_RES!$S$1,MATCH(AU260,ITEM_RES!$A:$A,0)-1,0),0)*AW260+IFERROR(OFFSET(ITEM_RES!$S$1,MATCH(AZ260,ITEM_RES!$A:$A,0)-1,0),0)*BB260+IFERROR(OFFSET(ITEM_RES!$S$1,MATCH(BE260,ITEM_RES!$A:$A,0)-1,0),0)*BG260+IFERROR(OFFSET(ITEM_RES!$S$1,MATCH(BJ260,ITEM_RES!$A:$A,0)-1,0),0)*BL260+IFERROR(OFFSET(ITEM_RES!$S$1,MATCH(BO260,ITEM_RES!$A:$A,0)-1,0),0)*BQ260)/1000</f>
        <v>1400.2</v>
      </c>
      <c r="AK260" s="183">
        <f t="shared" ca="1" si="99"/>
        <v>2500</v>
      </c>
      <c r="AM260" s="11">
        <f t="shared" si="97"/>
        <v>80</v>
      </c>
      <c r="AN260" s="10">
        <v>80</v>
      </c>
      <c r="AO260" s="11">
        <f t="shared" si="104"/>
        <v>700</v>
      </c>
      <c r="AP260" s="10">
        <v>700</v>
      </c>
      <c r="AQ260" s="11">
        <f t="shared" si="104"/>
        <v>700</v>
      </c>
      <c r="AR260" s="10">
        <v>700</v>
      </c>
      <c r="AS260" s="56">
        <f t="shared" si="98"/>
        <v>1</v>
      </c>
      <c r="AU260" s="11">
        <f ca="1">IFERROR(OFFSET(ITEM_RES!$A$1,MATCH(AV260,ITEM_RES!$J:$J,0)-1,0),0)</f>
        <v>211020901</v>
      </c>
      <c r="AV260" s="10" t="s">
        <v>445</v>
      </c>
      <c r="AW260" s="11">
        <v>1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  <c r="BO260" s="11">
        <f ca="1">IFERROR(OFFSET(ITEM_RES!$A$1,MATCH(BP260,ITEM_RES!$J:$J,0)-1,0),0)</f>
        <v>0</v>
      </c>
      <c r="BQ260" s="11">
        <f t="shared" si="103"/>
        <v>0</v>
      </c>
    </row>
    <row r="261" spans="1:70" x14ac:dyDescent="0.3">
      <c r="A261" s="14">
        <f t="shared" si="100"/>
        <v>113040017</v>
      </c>
      <c r="B261" s="13">
        <v>11</v>
      </c>
      <c r="C261" s="12">
        <f t="shared" si="101"/>
        <v>3</v>
      </c>
      <c r="D261" s="13">
        <v>4</v>
      </c>
      <c r="E261" s="13">
        <v>0</v>
      </c>
      <c r="F261" s="12">
        <f t="shared" si="102"/>
        <v>17</v>
      </c>
      <c r="H261" s="9">
        <v>3</v>
      </c>
      <c r="I261" s="9">
        <v>17</v>
      </c>
      <c r="K261" s="56" t="s">
        <v>376</v>
      </c>
      <c r="L261" s="56"/>
      <c r="M261" s="56" t="s">
        <v>953</v>
      </c>
      <c r="N261" s="56"/>
      <c r="O261" s="9">
        <v>0</v>
      </c>
      <c r="P261" s="9">
        <v>15</v>
      </c>
      <c r="Q261" s="9" t="s">
        <v>774</v>
      </c>
      <c r="U261" s="9" t="s">
        <v>710</v>
      </c>
      <c r="X261" s="9">
        <f ca="1">IFERROR(OFFSET(ITEM_RES!$A$5,MATCH(BUILDING!W261,ITEM_RES!$J$5:$J$226,0)-1,0),0)</f>
        <v>0</v>
      </c>
      <c r="AA261" s="9">
        <f ca="1">IFERROR(OFFSET(ITEM_RES!$A$5,MATCH(BUILDING!Z261,ITEM_RES!$J$5:$J$226,0)-1,0),0)</f>
        <v>0</v>
      </c>
      <c r="AC261" s="9" t="s">
        <v>519</v>
      </c>
      <c r="AD261" s="9">
        <v>17</v>
      </c>
      <c r="AF261" s="11">
        <f ca="1">IFERROR(OFFSET(MANOR_LEVEL!$B$1,MATCH(AG261-1,MANOR_LEVEL!$A:$A,0)-1,0),0)</f>
        <v>12172400</v>
      </c>
      <c r="AG261" s="56">
        <v>18</v>
      </c>
      <c r="AI261" s="56">
        <f t="shared" ca="1" si="95"/>
        <v>1700</v>
      </c>
      <c r="AJ261" s="10">
        <f ca="1">AO261+AQ261+(IFERROR(OFFSET(ITEM_RES!$S$1,MATCH(AU261,ITEM_RES!$A:$A,0)-1,0),0)*AW261+IFERROR(OFFSET(ITEM_RES!$S$1,MATCH(AZ261,ITEM_RES!$A:$A,0)-1,0),0)*BB261+IFERROR(OFFSET(ITEM_RES!$S$1,MATCH(BE261,ITEM_RES!$A:$A,0)-1,0),0)*BG261+IFERROR(OFFSET(ITEM_RES!$S$1,MATCH(BJ261,ITEM_RES!$A:$A,0)-1,0),0)*BL261+IFERROR(OFFSET(ITEM_RES!$S$1,MATCH(BO261,ITEM_RES!$A:$A,0)-1,0),0)*BQ261)/1000</f>
        <v>1700.2</v>
      </c>
      <c r="AK261" s="183">
        <f t="shared" ca="1" si="99"/>
        <v>3100</v>
      </c>
      <c r="AM261" s="11">
        <f t="shared" si="97"/>
        <v>85</v>
      </c>
      <c r="AN261" s="10">
        <v>85</v>
      </c>
      <c r="AO261" s="11">
        <f t="shared" si="104"/>
        <v>850</v>
      </c>
      <c r="AP261" s="10">
        <v>850</v>
      </c>
      <c r="AQ261" s="11">
        <f t="shared" si="104"/>
        <v>850</v>
      </c>
      <c r="AR261" s="10">
        <v>850</v>
      </c>
      <c r="AS261" s="56">
        <f t="shared" si="98"/>
        <v>1</v>
      </c>
      <c r="AU261" s="11">
        <f ca="1">IFERROR(OFFSET(ITEM_RES!$A$1,MATCH(AV261,ITEM_RES!$J:$J,0)-1,0),0)</f>
        <v>211020901</v>
      </c>
      <c r="AV261" s="10" t="s">
        <v>445</v>
      </c>
      <c r="AW261" s="11">
        <v>1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  <c r="BO261" s="11">
        <f ca="1">IFERROR(OFFSET(ITEM_RES!$A$1,MATCH(BP261,ITEM_RES!$J:$J,0)-1,0),0)</f>
        <v>0</v>
      </c>
      <c r="BQ261" s="11">
        <f t="shared" si="103"/>
        <v>0</v>
      </c>
    </row>
    <row r="262" spans="1:70" x14ac:dyDescent="0.3">
      <c r="A262" s="14">
        <f t="shared" si="100"/>
        <v>113040018</v>
      </c>
      <c r="B262" s="13">
        <v>11</v>
      </c>
      <c r="C262" s="12">
        <f t="shared" si="101"/>
        <v>3</v>
      </c>
      <c r="D262" s="13">
        <v>4</v>
      </c>
      <c r="E262" s="13">
        <v>0</v>
      </c>
      <c r="F262" s="12">
        <f t="shared" si="102"/>
        <v>18</v>
      </c>
      <c r="H262" s="9">
        <v>3</v>
      </c>
      <c r="I262" s="9">
        <v>18</v>
      </c>
      <c r="K262" s="56" t="s">
        <v>376</v>
      </c>
      <c r="L262" s="56"/>
      <c r="M262" s="56" t="s">
        <v>953</v>
      </c>
      <c r="N262" s="56"/>
      <c r="O262" s="9">
        <v>0</v>
      </c>
      <c r="P262" s="9">
        <v>15</v>
      </c>
      <c r="Q262" s="9" t="s">
        <v>774</v>
      </c>
      <c r="U262" s="9" t="s">
        <v>710</v>
      </c>
      <c r="X262" s="9">
        <f ca="1">IFERROR(OFFSET(ITEM_RES!$A$5,MATCH(BUILDING!W262,ITEM_RES!$J$5:$J$226,0)-1,0),0)</f>
        <v>0</v>
      </c>
      <c r="AA262" s="9">
        <f ca="1">IFERROR(OFFSET(ITEM_RES!$A$5,MATCH(BUILDING!Z262,ITEM_RES!$J$5:$J$226,0)-1,0),0)</f>
        <v>0</v>
      </c>
      <c r="AC262" s="9" t="s">
        <v>519</v>
      </c>
      <c r="AD262" s="9">
        <v>18</v>
      </c>
      <c r="AF262" s="11">
        <f ca="1">IFERROR(OFFSET(MANOR_LEVEL!$B$1,MATCH(AG262-1,MANOR_LEVEL!$A:$A,0)-1,0),0)</f>
        <v>12172400</v>
      </c>
      <c r="AG262" s="56">
        <v>18</v>
      </c>
      <c r="AI262" s="56">
        <f t="shared" ca="1" si="95"/>
        <v>2100</v>
      </c>
      <c r="AJ262" s="10">
        <f ca="1">AO262+AQ262+(IFERROR(OFFSET(ITEM_RES!$S$1,MATCH(AU262,ITEM_RES!$A:$A,0)-1,0),0)*AW262+IFERROR(OFFSET(ITEM_RES!$S$1,MATCH(AZ262,ITEM_RES!$A:$A,0)-1,0),0)*BB262+IFERROR(OFFSET(ITEM_RES!$S$1,MATCH(BE262,ITEM_RES!$A:$A,0)-1,0),0)*BG262+IFERROR(OFFSET(ITEM_RES!$S$1,MATCH(BJ262,ITEM_RES!$A:$A,0)-1,0),0)*BL262+IFERROR(OFFSET(ITEM_RES!$S$1,MATCH(BO262,ITEM_RES!$A:$A,0)-1,0),0)*BQ262)/1000</f>
        <v>2100.1999999999998</v>
      </c>
      <c r="AK262" s="183">
        <f t="shared" ca="1" si="99"/>
        <v>3800</v>
      </c>
      <c r="AM262" s="11">
        <f t="shared" si="97"/>
        <v>90</v>
      </c>
      <c r="AN262" s="10">
        <v>90</v>
      </c>
      <c r="AO262" s="11">
        <f t="shared" si="104"/>
        <v>1050</v>
      </c>
      <c r="AP262" s="10">
        <v>1050</v>
      </c>
      <c r="AQ262" s="11">
        <f t="shared" si="104"/>
        <v>1050</v>
      </c>
      <c r="AR262" s="10">
        <v>1050</v>
      </c>
      <c r="AS262" s="56">
        <f t="shared" si="98"/>
        <v>1</v>
      </c>
      <c r="AU262" s="11">
        <f ca="1">IFERROR(OFFSET(ITEM_RES!$A$1,MATCH(AV262,ITEM_RES!$J:$J,0)-1,0),0)</f>
        <v>211020901</v>
      </c>
      <c r="AV262" s="10" t="s">
        <v>445</v>
      </c>
      <c r="AW262" s="11">
        <v>1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  <c r="BO262" s="11">
        <f ca="1">IFERROR(OFFSET(ITEM_RES!$A$1,MATCH(BP262,ITEM_RES!$J:$J,0)-1,0),0)</f>
        <v>0</v>
      </c>
      <c r="BQ262" s="11">
        <f t="shared" si="103"/>
        <v>0</v>
      </c>
    </row>
    <row r="263" spans="1:70" x14ac:dyDescent="0.3">
      <c r="A263" s="14">
        <f t="shared" si="100"/>
        <v>113040019</v>
      </c>
      <c r="B263" s="13">
        <v>11</v>
      </c>
      <c r="C263" s="12">
        <f t="shared" si="101"/>
        <v>3</v>
      </c>
      <c r="D263" s="13">
        <v>4</v>
      </c>
      <c r="E263" s="13">
        <v>0</v>
      </c>
      <c r="F263" s="12">
        <f t="shared" si="102"/>
        <v>19</v>
      </c>
      <c r="H263" s="9">
        <v>3</v>
      </c>
      <c r="I263" s="9">
        <v>19</v>
      </c>
      <c r="K263" s="56" t="s">
        <v>376</v>
      </c>
      <c r="L263" s="56"/>
      <c r="M263" s="56" t="s">
        <v>953</v>
      </c>
      <c r="N263" s="56"/>
      <c r="O263" s="9">
        <v>0</v>
      </c>
      <c r="P263" s="9">
        <v>15</v>
      </c>
      <c r="Q263" s="9" t="s">
        <v>774</v>
      </c>
      <c r="U263" s="9" t="s">
        <v>710</v>
      </c>
      <c r="X263" s="9">
        <f ca="1">IFERROR(OFFSET(ITEM_RES!$A$5,MATCH(BUILDING!W263,ITEM_RES!$J$5:$J$226,0)-1,0),0)</f>
        <v>0</v>
      </c>
      <c r="AA263" s="9">
        <f ca="1">IFERROR(OFFSET(ITEM_RES!$A$5,MATCH(BUILDING!Z263,ITEM_RES!$J$5:$J$226,0)-1,0),0)</f>
        <v>0</v>
      </c>
      <c r="AC263" s="9" t="s">
        <v>519</v>
      </c>
      <c r="AD263" s="9">
        <v>19</v>
      </c>
      <c r="AF263" s="11">
        <f ca="1">IFERROR(OFFSET(MANOR_LEVEL!$B$1,MATCH(AG263-1,MANOR_LEVEL!$A:$A,0)-1,0),0)</f>
        <v>12172400</v>
      </c>
      <c r="AG263" s="56">
        <v>18</v>
      </c>
      <c r="AI263" s="56">
        <f t="shared" ca="1" si="95"/>
        <v>2500</v>
      </c>
      <c r="AJ263" s="10">
        <f ca="1">AO263+AQ263+(IFERROR(OFFSET(ITEM_RES!$S$1,MATCH(AU263,ITEM_RES!$A:$A,0)-1,0),0)*AW263+IFERROR(OFFSET(ITEM_RES!$S$1,MATCH(AZ263,ITEM_RES!$A:$A,0)-1,0),0)*BB263+IFERROR(OFFSET(ITEM_RES!$S$1,MATCH(BE263,ITEM_RES!$A:$A,0)-1,0),0)*BG263+IFERROR(OFFSET(ITEM_RES!$S$1,MATCH(BJ263,ITEM_RES!$A:$A,0)-1,0),0)*BL263+IFERROR(OFFSET(ITEM_RES!$S$1,MATCH(BO263,ITEM_RES!$A:$A,0)-1,0),0)*BQ263)/1000</f>
        <v>2500.1999999999998</v>
      </c>
      <c r="AK263" s="183">
        <f t="shared" ca="1" si="99"/>
        <v>4600</v>
      </c>
      <c r="AM263" s="11">
        <f t="shared" si="97"/>
        <v>95</v>
      </c>
      <c r="AN263" s="10">
        <v>95</v>
      </c>
      <c r="AO263" s="11">
        <f t="shared" si="104"/>
        <v>1250</v>
      </c>
      <c r="AP263" s="10">
        <v>1250</v>
      </c>
      <c r="AQ263" s="11">
        <f t="shared" si="104"/>
        <v>1250</v>
      </c>
      <c r="AR263" s="10">
        <v>1250</v>
      </c>
      <c r="AS263" s="56">
        <f t="shared" si="98"/>
        <v>1</v>
      </c>
      <c r="AU263" s="11">
        <f ca="1">IFERROR(OFFSET(ITEM_RES!$A$1,MATCH(AV263,ITEM_RES!$J:$J,0)-1,0),0)</f>
        <v>211020901</v>
      </c>
      <c r="AV263" s="10" t="s">
        <v>445</v>
      </c>
      <c r="AW263" s="11">
        <v>1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  <c r="BO263" s="11">
        <f ca="1">IFERROR(OFFSET(ITEM_RES!$A$1,MATCH(BP263,ITEM_RES!$J:$J,0)-1,0),0)</f>
        <v>0</v>
      </c>
      <c r="BQ263" s="11">
        <f t="shared" si="103"/>
        <v>0</v>
      </c>
    </row>
    <row r="264" spans="1:70" ht="17.25" thickBot="1" x14ac:dyDescent="0.35">
      <c r="A264" s="14">
        <f t="shared" si="100"/>
        <v>113040020</v>
      </c>
      <c r="B264" s="13">
        <v>11</v>
      </c>
      <c r="C264" s="12">
        <f t="shared" si="101"/>
        <v>3</v>
      </c>
      <c r="D264" s="13">
        <v>4</v>
      </c>
      <c r="E264" s="13">
        <v>0</v>
      </c>
      <c r="F264" s="12">
        <f t="shared" si="102"/>
        <v>20</v>
      </c>
      <c r="H264" s="9">
        <v>3</v>
      </c>
      <c r="I264" s="9">
        <v>20</v>
      </c>
      <c r="K264" s="56" t="s">
        <v>376</v>
      </c>
      <c r="L264" s="56"/>
      <c r="M264" s="56" t="s">
        <v>953</v>
      </c>
      <c r="N264" s="56"/>
      <c r="O264" s="9">
        <v>0</v>
      </c>
      <c r="P264" s="9">
        <v>15</v>
      </c>
      <c r="Q264" s="9" t="s">
        <v>774</v>
      </c>
      <c r="U264" s="9" t="s">
        <v>710</v>
      </c>
      <c r="X264" s="9">
        <f ca="1">IFERROR(OFFSET(ITEM_RES!$A$5,MATCH(BUILDING!W264,ITEM_RES!$J$5:$J$226,0)-1,0),0)</f>
        <v>0</v>
      </c>
      <c r="AA264" s="9">
        <f ca="1">IFERROR(OFFSET(ITEM_RES!$A$5,MATCH(BUILDING!Z264,ITEM_RES!$J$5:$J$226,0)-1,0),0)</f>
        <v>0</v>
      </c>
      <c r="AC264" s="9" t="s">
        <v>519</v>
      </c>
      <c r="AD264" s="9">
        <v>20</v>
      </c>
      <c r="AF264" s="11">
        <f ca="1">IFERROR(OFFSET(MANOR_LEVEL!$B$1,MATCH(AG264-1,MANOR_LEVEL!$A:$A,0)-1,0),0)</f>
        <v>12172400</v>
      </c>
      <c r="AG264" s="56">
        <v>18</v>
      </c>
      <c r="AI264" s="56">
        <f t="shared" ca="1" si="95"/>
        <v>3000</v>
      </c>
      <c r="AJ264" s="10">
        <f ca="1">AO264+AQ264+(IFERROR(OFFSET(ITEM_RES!$S$1,MATCH(AU264,ITEM_RES!$A:$A,0)-1,0),0)*AW264+IFERROR(OFFSET(ITEM_RES!$S$1,MATCH(AZ264,ITEM_RES!$A:$A,0)-1,0),0)*BB264+IFERROR(OFFSET(ITEM_RES!$S$1,MATCH(BE264,ITEM_RES!$A:$A,0)-1,0),0)*BG264+IFERROR(OFFSET(ITEM_RES!$S$1,MATCH(BJ264,ITEM_RES!$A:$A,0)-1,0),0)*BL264+IFERROR(OFFSET(ITEM_RES!$S$1,MATCH(BO264,ITEM_RES!$A:$A,0)-1,0),0)*BQ264)/1000</f>
        <v>3000.2</v>
      </c>
      <c r="AK264" s="183">
        <f t="shared" ca="1" si="99"/>
        <v>5500</v>
      </c>
      <c r="AM264" s="11">
        <f t="shared" si="97"/>
        <v>100</v>
      </c>
      <c r="AN264" s="10">
        <v>100</v>
      </c>
      <c r="AO264" s="11">
        <f t="shared" si="104"/>
        <v>1500</v>
      </c>
      <c r="AP264" s="10">
        <v>1500</v>
      </c>
      <c r="AQ264" s="11">
        <f t="shared" si="104"/>
        <v>1500</v>
      </c>
      <c r="AR264" s="10">
        <v>1500</v>
      </c>
      <c r="AS264" s="56">
        <f t="shared" si="98"/>
        <v>1</v>
      </c>
      <c r="AU264" s="11">
        <f ca="1">IFERROR(OFFSET(ITEM_RES!$A$1,MATCH(AV264,ITEM_RES!$J:$J,0)-1,0),0)</f>
        <v>211020901</v>
      </c>
      <c r="AV264" s="10" t="s">
        <v>445</v>
      </c>
      <c r="AW264" s="11">
        <v>1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  <c r="BO264" s="11">
        <f ca="1">IFERROR(OFFSET(ITEM_RES!$A$1,MATCH(BP264,ITEM_RES!$J:$J,0)-1,0),0)</f>
        <v>0</v>
      </c>
      <c r="BQ264" s="11">
        <f t="shared" si="103"/>
        <v>0</v>
      </c>
    </row>
    <row r="265" spans="1:70" s="15" customFormat="1" x14ac:dyDescent="0.3">
      <c r="A265" s="21">
        <f t="shared" si="100"/>
        <v>113050001</v>
      </c>
      <c r="B265" s="20">
        <v>11</v>
      </c>
      <c r="C265" s="19">
        <f t="shared" si="101"/>
        <v>3</v>
      </c>
      <c r="D265" s="20">
        <v>5</v>
      </c>
      <c r="E265" s="20">
        <v>0</v>
      </c>
      <c r="F265" s="19">
        <f t="shared" si="102"/>
        <v>1</v>
      </c>
      <c r="G265" s="79"/>
      <c r="H265" s="16">
        <v>3</v>
      </c>
      <c r="I265" s="16">
        <v>1</v>
      </c>
      <c r="J265" s="79"/>
      <c r="K265" s="16" t="s">
        <v>362</v>
      </c>
      <c r="L265" s="16">
        <v>12</v>
      </c>
      <c r="M265" s="16" t="s">
        <v>954</v>
      </c>
      <c r="N265" s="16" t="s">
        <v>972</v>
      </c>
      <c r="O265" s="16">
        <v>1</v>
      </c>
      <c r="P265" s="16">
        <v>15</v>
      </c>
      <c r="Q265" s="141"/>
      <c r="R265" s="17"/>
      <c r="S265" s="17"/>
      <c r="T265" s="18"/>
      <c r="U265" s="16" t="s">
        <v>711</v>
      </c>
      <c r="V265" s="79"/>
      <c r="W265" s="87"/>
      <c r="X265" s="16">
        <f ca="1">IFERROR(OFFSET(ITEM_RES!$A$5,MATCH(BUILDING!W265,ITEM_RES!$J$5:$J$226,0)-1,0),0)</f>
        <v>0</v>
      </c>
      <c r="Y265" s="18"/>
      <c r="Z265" s="87"/>
      <c r="AA265" s="16">
        <f ca="1">IFERROR(OFFSET(ITEM_RES!$A$5,MATCH(BUILDING!Z265,ITEM_RES!$J$5:$J$226,0)-1,0),0)</f>
        <v>0</v>
      </c>
      <c r="AB265" s="79"/>
      <c r="AC265" s="16" t="s">
        <v>520</v>
      </c>
      <c r="AD265" s="16">
        <v>1</v>
      </c>
      <c r="AE265" s="79"/>
      <c r="AF265" s="18">
        <f ca="1">IFERROR(OFFSET(MANOR_LEVEL!$B$1,MATCH(AG265-1,MANOR_LEVEL!$A:$A,0)-1,0),0)</f>
        <v>2622400</v>
      </c>
      <c r="AG265" s="57">
        <v>15</v>
      </c>
      <c r="AH265" s="79"/>
      <c r="AI265" s="57">
        <f t="shared" ca="1" si="95"/>
        <v>110</v>
      </c>
      <c r="AJ265" s="17">
        <f ca="1">AO265+AQ265+(IFERROR(OFFSET(ITEM_RES!$S$1,MATCH(AU265,ITEM_RES!$A:$A,0)-1,0),0)*AW265+IFERROR(OFFSET(ITEM_RES!$S$1,MATCH(AZ265,ITEM_RES!$A:$A,0)-1,0),0)*BB265+IFERROR(OFFSET(ITEM_RES!$S$1,MATCH(BE265,ITEM_RES!$A:$A,0)-1,0),0)*BG265+IFERROR(OFFSET(ITEM_RES!$S$1,MATCH(BJ265,ITEM_RES!$A:$A,0)-1,0),0)*BL265+IFERROR(OFFSET(ITEM_RES!$S$1,MATCH(BO265,ITEM_RES!$A:$A,0)-1,0),0)*BQ265)/1000</f>
        <v>110.11</v>
      </c>
      <c r="AK265" s="185">
        <f ca="1">AI265</f>
        <v>110</v>
      </c>
      <c r="AL265" s="79"/>
      <c r="AM265" s="18">
        <f t="shared" si="97"/>
        <v>5</v>
      </c>
      <c r="AN265" s="17">
        <v>5</v>
      </c>
      <c r="AO265" s="18">
        <f t="shared" si="104"/>
        <v>5</v>
      </c>
      <c r="AP265" s="17">
        <v>5</v>
      </c>
      <c r="AQ265" s="18">
        <f t="shared" si="104"/>
        <v>5</v>
      </c>
      <c r="AR265" s="17">
        <v>5</v>
      </c>
      <c r="AS265" s="57">
        <f t="shared" si="98"/>
        <v>3</v>
      </c>
      <c r="AT265" s="18"/>
      <c r="AU265" s="18">
        <f ca="1">IFERROR(OFFSET(ITEM_RES!$A$1,MATCH(AV265,ITEM_RES!$J:$J,0)-1,0),0)</f>
        <v>211020801</v>
      </c>
      <c r="AV265" s="17" t="s">
        <v>435</v>
      </c>
      <c r="AW265" s="18">
        <v>1</v>
      </c>
      <c r="AX265" s="17"/>
      <c r="AY265" s="18"/>
      <c r="AZ265" s="18">
        <f ca="1">IFERROR(OFFSET(ITEM_RES!$A$1,MATCH(BA265,ITEM_RES!$J:$J,0)-1,0),0)</f>
        <v>211020401</v>
      </c>
      <c r="BA265" s="17" t="s">
        <v>423</v>
      </c>
      <c r="BB265" s="18">
        <v>1</v>
      </c>
      <c r="BC265" s="17"/>
      <c r="BD265" s="18"/>
      <c r="BE265" s="18">
        <f ca="1">IFERROR(OFFSET(ITEM_RES!$A$1,MATCH(BF265,ITEM_RES!$J:$J,0)-1,0),0)</f>
        <v>213010101</v>
      </c>
      <c r="BF265" s="17" t="s">
        <v>452</v>
      </c>
      <c r="BG265" s="18">
        <v>1</v>
      </c>
      <c r="BH265" s="17"/>
      <c r="BI265" s="18"/>
      <c r="BJ265" s="18">
        <f ca="1">IFERROR(OFFSET(ITEM_RES!$A$1,MATCH(BK265,ITEM_RES!$J:$J,0)-1,0),0)</f>
        <v>0</v>
      </c>
      <c r="BK265" s="17"/>
      <c r="BL265" s="18"/>
      <c r="BM265" s="17"/>
      <c r="BN265" s="18"/>
      <c r="BO265" s="18">
        <f ca="1">IFERROR(OFFSET(ITEM_RES!$A$1,MATCH(BP265,ITEM_RES!$J:$J,0)-1,0),0)</f>
        <v>0</v>
      </c>
      <c r="BP265" s="17"/>
      <c r="BQ265" s="18">
        <f t="shared" si="103"/>
        <v>0</v>
      </c>
      <c r="BR265" s="17"/>
    </row>
    <row r="266" spans="1:70" x14ac:dyDescent="0.3">
      <c r="A266" s="14">
        <f t="shared" si="100"/>
        <v>113050002</v>
      </c>
      <c r="B266" s="13">
        <v>11</v>
      </c>
      <c r="C266" s="12">
        <f t="shared" si="101"/>
        <v>3</v>
      </c>
      <c r="D266" s="13">
        <v>5</v>
      </c>
      <c r="E266" s="13">
        <v>0</v>
      </c>
      <c r="F266" s="12">
        <f t="shared" si="102"/>
        <v>2</v>
      </c>
      <c r="H266" s="9">
        <v>3</v>
      </c>
      <c r="I266" s="9">
        <v>2</v>
      </c>
      <c r="K266" s="9" t="s">
        <v>362</v>
      </c>
      <c r="M266" s="9" t="s">
        <v>954</v>
      </c>
      <c r="N266" s="9" t="s">
        <v>972</v>
      </c>
      <c r="O266" s="9">
        <v>1</v>
      </c>
      <c r="P266" s="9">
        <v>15</v>
      </c>
      <c r="Q266" s="142"/>
      <c r="U266" s="9" t="s">
        <v>711</v>
      </c>
      <c r="X266" s="9">
        <f ca="1">IFERROR(OFFSET(ITEM_RES!$A$5,MATCH(BUILDING!W266,ITEM_RES!$J$5:$J$226,0)-1,0),0)</f>
        <v>0</v>
      </c>
      <c r="AA266" s="9">
        <f ca="1">IFERROR(OFFSET(ITEM_RES!$A$5,MATCH(BUILDING!Z266,ITEM_RES!$J$5:$J$226,0)-1,0),0)</f>
        <v>0</v>
      </c>
      <c r="AC266" s="9" t="s">
        <v>520</v>
      </c>
      <c r="AD266" s="9">
        <v>2</v>
      </c>
      <c r="AF266" s="11">
        <f ca="1">IFERROR(OFFSET(MANOR_LEVEL!$B$1,MATCH(AG266-1,MANOR_LEVEL!$A:$A,0)-1,0),0)</f>
        <v>4232000</v>
      </c>
      <c r="AG266" s="56">
        <v>16</v>
      </c>
      <c r="AI266" s="56">
        <f t="shared" ca="1" si="95"/>
        <v>20</v>
      </c>
      <c r="AJ266" s="10">
        <f ca="1">AO266+AQ266+(IFERROR(OFFSET(ITEM_RES!$S$1,MATCH(AU266,ITEM_RES!$A:$A,0)-1,0),0)*AW266+IFERROR(OFFSET(ITEM_RES!$S$1,MATCH(AZ266,ITEM_RES!$A:$A,0)-1,0),0)*BB266+IFERROR(OFFSET(ITEM_RES!$S$1,MATCH(BE266,ITEM_RES!$A:$A,0)-1,0),0)*BG266+IFERROR(OFFSET(ITEM_RES!$S$1,MATCH(BJ266,ITEM_RES!$A:$A,0)-1,0),0)*BL266+IFERROR(OFFSET(ITEM_RES!$S$1,MATCH(BO266,ITEM_RES!$A:$A,0)-1,0),0)*BQ266)/1000</f>
        <v>20.11</v>
      </c>
      <c r="AK266" s="183">
        <f ca="1">AI265+AI266</f>
        <v>130</v>
      </c>
      <c r="AM266" s="11">
        <f t="shared" si="97"/>
        <v>10</v>
      </c>
      <c r="AN266" s="10">
        <v>10</v>
      </c>
      <c r="AO266" s="11">
        <f t="shared" si="104"/>
        <v>10</v>
      </c>
      <c r="AP266" s="10">
        <v>10</v>
      </c>
      <c r="AQ266" s="11">
        <f t="shared" si="104"/>
        <v>10</v>
      </c>
      <c r="AR266" s="10">
        <v>10</v>
      </c>
      <c r="AS266" s="56">
        <f t="shared" si="98"/>
        <v>2</v>
      </c>
      <c r="AU266" s="11">
        <f ca="1">IFERROR(OFFSET(ITEM_RES!$A$1,MATCH(AV266,ITEM_RES!$J:$J,0)-1,0),0)</f>
        <v>211020801</v>
      </c>
      <c r="AV266" s="10" t="s">
        <v>435</v>
      </c>
      <c r="AW266" s="11">
        <v>1</v>
      </c>
      <c r="AZ266" s="11">
        <f ca="1">IFERROR(OFFSET(ITEM_RES!$A$1,MATCH(BA266,ITEM_RES!$J:$J,0)-1,0),0)</f>
        <v>211020401</v>
      </c>
      <c r="BA266" s="10" t="s">
        <v>423</v>
      </c>
      <c r="BB266" s="11">
        <v>1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  <c r="BO266" s="11">
        <f ca="1">IFERROR(OFFSET(ITEM_RES!$A$1,MATCH(BP266,ITEM_RES!$J:$J,0)-1,0),0)</f>
        <v>0</v>
      </c>
      <c r="BQ266" s="11">
        <f t="shared" si="103"/>
        <v>0</v>
      </c>
    </row>
    <row r="267" spans="1:70" x14ac:dyDescent="0.3">
      <c r="A267" s="14">
        <f t="shared" si="100"/>
        <v>113050003</v>
      </c>
      <c r="B267" s="13">
        <v>11</v>
      </c>
      <c r="C267" s="12">
        <f t="shared" si="101"/>
        <v>3</v>
      </c>
      <c r="D267" s="13">
        <v>5</v>
      </c>
      <c r="E267" s="13">
        <v>0</v>
      </c>
      <c r="F267" s="12">
        <f t="shared" si="102"/>
        <v>3</v>
      </c>
      <c r="H267" s="9">
        <v>3</v>
      </c>
      <c r="I267" s="9">
        <v>3</v>
      </c>
      <c r="K267" s="9" t="s">
        <v>362</v>
      </c>
      <c r="M267" s="9" t="s">
        <v>954</v>
      </c>
      <c r="N267" s="9" t="s">
        <v>972</v>
      </c>
      <c r="O267" s="9">
        <v>1</v>
      </c>
      <c r="P267" s="9">
        <v>15</v>
      </c>
      <c r="Q267" s="142"/>
      <c r="U267" s="9" t="s">
        <v>711</v>
      </c>
      <c r="X267" s="9">
        <f ca="1">IFERROR(OFFSET(ITEM_RES!$A$5,MATCH(BUILDING!W267,ITEM_RES!$J$5:$J$226,0)-1,0),0)</f>
        <v>0</v>
      </c>
      <c r="AA267" s="9">
        <f ca="1">IFERROR(OFFSET(ITEM_RES!$A$5,MATCH(BUILDING!Z267,ITEM_RES!$J$5:$J$226,0)-1,0),0)</f>
        <v>0</v>
      </c>
      <c r="AC267" s="9" t="s">
        <v>520</v>
      </c>
      <c r="AD267" s="9">
        <v>3</v>
      </c>
      <c r="AF267" s="11">
        <f ca="1">IFERROR(OFFSET(MANOR_LEVEL!$B$1,MATCH(AG267-1,MANOR_LEVEL!$A:$A,0)-1,0),0)</f>
        <v>4232000</v>
      </c>
      <c r="AG267" s="56">
        <v>16</v>
      </c>
      <c r="AI267" s="56">
        <f t="shared" ca="1" si="95"/>
        <v>30</v>
      </c>
      <c r="AJ267" s="10">
        <f ca="1">AO267+AQ267+(IFERROR(OFFSET(ITEM_RES!$S$1,MATCH(AU267,ITEM_RES!$A:$A,0)-1,0),0)*AW267+IFERROR(OFFSET(ITEM_RES!$S$1,MATCH(AZ267,ITEM_RES!$A:$A,0)-1,0),0)*BB267+IFERROR(OFFSET(ITEM_RES!$S$1,MATCH(BE267,ITEM_RES!$A:$A,0)-1,0),0)*BG267+IFERROR(OFFSET(ITEM_RES!$S$1,MATCH(BJ267,ITEM_RES!$A:$A,0)-1,0),0)*BL267+IFERROR(OFFSET(ITEM_RES!$S$1,MATCH(BO267,ITEM_RES!$A:$A,0)-1,0),0)*BQ267)/1000</f>
        <v>30.11</v>
      </c>
      <c r="AK267" s="183">
        <f t="shared" ref="AK267:AK284" ca="1" si="105">AI266+AI267</f>
        <v>50</v>
      </c>
      <c r="AM267" s="11">
        <f t="shared" si="97"/>
        <v>15</v>
      </c>
      <c r="AN267" s="10">
        <v>15</v>
      </c>
      <c r="AO267" s="11">
        <f t="shared" si="104"/>
        <v>15</v>
      </c>
      <c r="AP267" s="10">
        <v>15</v>
      </c>
      <c r="AQ267" s="11">
        <f t="shared" si="104"/>
        <v>15</v>
      </c>
      <c r="AR267" s="10">
        <v>15</v>
      </c>
      <c r="AS267" s="56">
        <f t="shared" si="98"/>
        <v>2</v>
      </c>
      <c r="AU267" s="11">
        <f ca="1">IFERROR(OFFSET(ITEM_RES!$A$1,MATCH(AV267,ITEM_RES!$J:$J,0)-1,0),0)</f>
        <v>211020801</v>
      </c>
      <c r="AV267" s="10" t="s">
        <v>435</v>
      </c>
      <c r="AW267" s="11">
        <v>1</v>
      </c>
      <c r="AZ267" s="11">
        <f ca="1">IFERROR(OFFSET(ITEM_RES!$A$1,MATCH(BA267,ITEM_RES!$J:$J,0)-1,0),0)</f>
        <v>211020401</v>
      </c>
      <c r="BA267" s="10" t="s">
        <v>423</v>
      </c>
      <c r="BB267" s="11">
        <v>1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  <c r="BO267" s="11">
        <f ca="1">IFERROR(OFFSET(ITEM_RES!$A$1,MATCH(BP267,ITEM_RES!$J:$J,0)-1,0),0)</f>
        <v>0</v>
      </c>
      <c r="BQ267" s="11">
        <f t="shared" si="103"/>
        <v>0</v>
      </c>
    </row>
    <row r="268" spans="1:70" x14ac:dyDescent="0.3">
      <c r="A268" s="14">
        <f t="shared" si="100"/>
        <v>113050004</v>
      </c>
      <c r="B268" s="13">
        <v>11</v>
      </c>
      <c r="C268" s="12">
        <f t="shared" si="101"/>
        <v>3</v>
      </c>
      <c r="D268" s="13">
        <v>5</v>
      </c>
      <c r="E268" s="13">
        <v>0</v>
      </c>
      <c r="F268" s="12">
        <f t="shared" si="102"/>
        <v>4</v>
      </c>
      <c r="H268" s="9">
        <v>3</v>
      </c>
      <c r="I268" s="9">
        <v>4</v>
      </c>
      <c r="K268" s="9" t="s">
        <v>362</v>
      </c>
      <c r="M268" s="9" t="s">
        <v>954</v>
      </c>
      <c r="N268" s="9" t="s">
        <v>972</v>
      </c>
      <c r="O268" s="9">
        <v>1</v>
      </c>
      <c r="P268" s="9">
        <v>15</v>
      </c>
      <c r="Q268" s="142"/>
      <c r="U268" s="9" t="s">
        <v>711</v>
      </c>
      <c r="X268" s="9">
        <f ca="1">IFERROR(OFFSET(ITEM_RES!$A$5,MATCH(BUILDING!W268,ITEM_RES!$J$5:$J$226,0)-1,0),0)</f>
        <v>0</v>
      </c>
      <c r="AA268" s="9">
        <f ca="1">IFERROR(OFFSET(ITEM_RES!$A$5,MATCH(BUILDING!Z268,ITEM_RES!$J$5:$J$226,0)-1,0),0)</f>
        <v>0</v>
      </c>
      <c r="AC268" s="9" t="s">
        <v>520</v>
      </c>
      <c r="AD268" s="9">
        <v>4</v>
      </c>
      <c r="AF268" s="11">
        <f ca="1">IFERROR(OFFSET(MANOR_LEVEL!$B$1,MATCH(AG268-1,MANOR_LEVEL!$A:$A,0)-1,0),0)</f>
        <v>4232000</v>
      </c>
      <c r="AG268" s="56">
        <v>16</v>
      </c>
      <c r="AI268" s="56">
        <f t="shared" ca="1" si="95"/>
        <v>50</v>
      </c>
      <c r="AJ268" s="10">
        <f ca="1">AO268+AQ268+(IFERROR(OFFSET(ITEM_RES!$S$1,MATCH(AU268,ITEM_RES!$A:$A,0)-1,0),0)*AW268+IFERROR(OFFSET(ITEM_RES!$S$1,MATCH(AZ268,ITEM_RES!$A:$A,0)-1,0),0)*BB268+IFERROR(OFFSET(ITEM_RES!$S$1,MATCH(BE268,ITEM_RES!$A:$A,0)-1,0),0)*BG268+IFERROR(OFFSET(ITEM_RES!$S$1,MATCH(BJ268,ITEM_RES!$A:$A,0)-1,0),0)*BL268+IFERROR(OFFSET(ITEM_RES!$S$1,MATCH(BO268,ITEM_RES!$A:$A,0)-1,0),0)*BQ268)/1000</f>
        <v>50.11</v>
      </c>
      <c r="AK268" s="183">
        <f t="shared" ca="1" si="105"/>
        <v>80</v>
      </c>
      <c r="AM268" s="11">
        <f t="shared" si="97"/>
        <v>20</v>
      </c>
      <c r="AN268" s="10">
        <v>20</v>
      </c>
      <c r="AO268" s="11">
        <f t="shared" si="104"/>
        <v>25</v>
      </c>
      <c r="AP268" s="10">
        <v>25</v>
      </c>
      <c r="AQ268" s="11">
        <f t="shared" si="104"/>
        <v>25</v>
      </c>
      <c r="AR268" s="10">
        <v>25</v>
      </c>
      <c r="AS268" s="56">
        <f t="shared" si="98"/>
        <v>2</v>
      </c>
      <c r="AU268" s="11">
        <f ca="1">IFERROR(OFFSET(ITEM_RES!$A$1,MATCH(AV268,ITEM_RES!$J:$J,0)-1,0),0)</f>
        <v>211020801</v>
      </c>
      <c r="AV268" s="10" t="s">
        <v>435</v>
      </c>
      <c r="AW268" s="11">
        <v>1</v>
      </c>
      <c r="AZ268" s="11">
        <f ca="1">IFERROR(OFFSET(ITEM_RES!$A$1,MATCH(BA268,ITEM_RES!$J:$J,0)-1,0),0)</f>
        <v>211020401</v>
      </c>
      <c r="BA268" s="10" t="s">
        <v>423</v>
      </c>
      <c r="BB268" s="11">
        <v>1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  <c r="BO268" s="11">
        <f ca="1">IFERROR(OFFSET(ITEM_RES!$A$1,MATCH(BP268,ITEM_RES!$J:$J,0)-1,0),0)</f>
        <v>0</v>
      </c>
      <c r="BQ268" s="11">
        <f t="shared" si="103"/>
        <v>0</v>
      </c>
    </row>
    <row r="269" spans="1:70" x14ac:dyDescent="0.3">
      <c r="A269" s="14">
        <f t="shared" si="100"/>
        <v>113050005</v>
      </c>
      <c r="B269" s="13">
        <v>11</v>
      </c>
      <c r="C269" s="12">
        <f t="shared" si="101"/>
        <v>3</v>
      </c>
      <c r="D269" s="13">
        <v>5</v>
      </c>
      <c r="E269" s="13">
        <v>0</v>
      </c>
      <c r="F269" s="12">
        <f t="shared" si="102"/>
        <v>5</v>
      </c>
      <c r="H269" s="9">
        <v>3</v>
      </c>
      <c r="I269" s="9">
        <v>5</v>
      </c>
      <c r="K269" s="9" t="s">
        <v>362</v>
      </c>
      <c r="M269" s="9" t="s">
        <v>954</v>
      </c>
      <c r="N269" s="9" t="s">
        <v>972</v>
      </c>
      <c r="O269" s="9">
        <v>1</v>
      </c>
      <c r="P269" s="9">
        <v>15</v>
      </c>
      <c r="Q269" s="142"/>
      <c r="U269" s="9" t="s">
        <v>711</v>
      </c>
      <c r="X269" s="9">
        <f ca="1">IFERROR(OFFSET(ITEM_RES!$A$5,MATCH(BUILDING!W269,ITEM_RES!$J$5:$J$226,0)-1,0),0)</f>
        <v>0</v>
      </c>
      <c r="AA269" s="9">
        <f ca="1">IFERROR(OFFSET(ITEM_RES!$A$5,MATCH(BUILDING!Z269,ITEM_RES!$J$5:$J$226,0)-1,0),0)</f>
        <v>0</v>
      </c>
      <c r="AC269" s="9" t="s">
        <v>520</v>
      </c>
      <c r="AD269" s="9">
        <v>5</v>
      </c>
      <c r="AF269" s="11">
        <f ca="1">IFERROR(OFFSET(MANOR_LEVEL!$B$1,MATCH(AG269-1,MANOR_LEVEL!$A:$A,0)-1,0),0)</f>
        <v>4232000</v>
      </c>
      <c r="AG269" s="56">
        <v>16</v>
      </c>
      <c r="AI269" s="56">
        <f t="shared" ca="1" si="95"/>
        <v>80</v>
      </c>
      <c r="AJ269" s="10">
        <f ca="1">AO269+AQ269+(IFERROR(OFFSET(ITEM_RES!$S$1,MATCH(AU269,ITEM_RES!$A:$A,0)-1,0),0)*AW269+IFERROR(OFFSET(ITEM_RES!$S$1,MATCH(AZ269,ITEM_RES!$A:$A,0)-1,0),0)*BB269+IFERROR(OFFSET(ITEM_RES!$S$1,MATCH(BE269,ITEM_RES!$A:$A,0)-1,0),0)*BG269+IFERROR(OFFSET(ITEM_RES!$S$1,MATCH(BJ269,ITEM_RES!$A:$A,0)-1,0),0)*BL269+IFERROR(OFFSET(ITEM_RES!$S$1,MATCH(BO269,ITEM_RES!$A:$A,0)-1,0),0)*BQ269)/1000</f>
        <v>80.11</v>
      </c>
      <c r="AK269" s="183">
        <f t="shared" ca="1" si="105"/>
        <v>130</v>
      </c>
      <c r="AM269" s="11">
        <f t="shared" si="97"/>
        <v>25</v>
      </c>
      <c r="AN269" s="10">
        <v>25</v>
      </c>
      <c r="AO269" s="11">
        <f t="shared" si="104"/>
        <v>40</v>
      </c>
      <c r="AP269" s="10">
        <v>40</v>
      </c>
      <c r="AQ269" s="11">
        <f t="shared" si="104"/>
        <v>40</v>
      </c>
      <c r="AR269" s="10">
        <v>40</v>
      </c>
      <c r="AS269" s="56">
        <f t="shared" si="98"/>
        <v>2</v>
      </c>
      <c r="AU269" s="11">
        <f ca="1">IFERROR(OFFSET(ITEM_RES!$A$1,MATCH(AV269,ITEM_RES!$J:$J,0)-1,0),0)</f>
        <v>211020801</v>
      </c>
      <c r="AV269" s="10" t="s">
        <v>435</v>
      </c>
      <c r="AW269" s="11">
        <v>1</v>
      </c>
      <c r="AZ269" s="11">
        <f ca="1">IFERROR(OFFSET(ITEM_RES!$A$1,MATCH(BA269,ITEM_RES!$J:$J,0)-1,0),0)</f>
        <v>211020401</v>
      </c>
      <c r="BA269" s="10" t="s">
        <v>423</v>
      </c>
      <c r="BB269" s="11">
        <v>1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  <c r="BO269" s="11">
        <f ca="1">IFERROR(OFFSET(ITEM_RES!$A$1,MATCH(BP269,ITEM_RES!$J:$J,0)-1,0),0)</f>
        <v>0</v>
      </c>
      <c r="BQ269" s="11">
        <f t="shared" si="103"/>
        <v>0</v>
      </c>
    </row>
    <row r="270" spans="1:70" x14ac:dyDescent="0.3">
      <c r="A270" s="14">
        <f t="shared" si="100"/>
        <v>113050006</v>
      </c>
      <c r="B270" s="13">
        <v>11</v>
      </c>
      <c r="C270" s="12">
        <f t="shared" si="101"/>
        <v>3</v>
      </c>
      <c r="D270" s="13">
        <v>5</v>
      </c>
      <c r="E270" s="13">
        <v>0</v>
      </c>
      <c r="F270" s="12">
        <f t="shared" si="102"/>
        <v>6</v>
      </c>
      <c r="H270" s="9">
        <v>3</v>
      </c>
      <c r="I270" s="9">
        <v>6</v>
      </c>
      <c r="K270" s="9" t="s">
        <v>362</v>
      </c>
      <c r="M270" s="9" t="s">
        <v>954</v>
      </c>
      <c r="N270" s="9" t="s">
        <v>972</v>
      </c>
      <c r="O270" s="9">
        <v>1</v>
      </c>
      <c r="P270" s="9">
        <v>15</v>
      </c>
      <c r="Q270" s="142"/>
      <c r="U270" s="9" t="s">
        <v>711</v>
      </c>
      <c r="X270" s="9">
        <f ca="1">IFERROR(OFFSET(ITEM_RES!$A$5,MATCH(BUILDING!W270,ITEM_RES!$J$5:$J$226,0)-1,0),0)</f>
        <v>0</v>
      </c>
      <c r="AA270" s="9">
        <f ca="1">IFERROR(OFFSET(ITEM_RES!$A$5,MATCH(BUILDING!Z270,ITEM_RES!$J$5:$J$226,0)-1,0),0)</f>
        <v>0</v>
      </c>
      <c r="AC270" s="9" t="s">
        <v>520</v>
      </c>
      <c r="AD270" s="9">
        <v>6</v>
      </c>
      <c r="AF270" s="11">
        <f ca="1">IFERROR(OFFSET(MANOR_LEVEL!$B$1,MATCH(AG270-1,MANOR_LEVEL!$A:$A,0)-1,0),0)</f>
        <v>4232000</v>
      </c>
      <c r="AG270" s="56">
        <v>16</v>
      </c>
      <c r="AI270" s="56">
        <f t="shared" ca="1" si="95"/>
        <v>100</v>
      </c>
      <c r="AJ270" s="10">
        <f ca="1">AO270+AQ270+(IFERROR(OFFSET(ITEM_RES!$S$1,MATCH(AU270,ITEM_RES!$A:$A,0)-1,0),0)*AW270+IFERROR(OFFSET(ITEM_RES!$S$1,MATCH(AZ270,ITEM_RES!$A:$A,0)-1,0),0)*BB270+IFERROR(OFFSET(ITEM_RES!$S$1,MATCH(BE270,ITEM_RES!$A:$A,0)-1,0),0)*BG270+IFERROR(OFFSET(ITEM_RES!$S$1,MATCH(BJ270,ITEM_RES!$A:$A,0)-1,0),0)*BL270+IFERROR(OFFSET(ITEM_RES!$S$1,MATCH(BO270,ITEM_RES!$A:$A,0)-1,0),0)*BQ270)/1000</f>
        <v>100.11</v>
      </c>
      <c r="AK270" s="183">
        <f t="shared" ca="1" si="105"/>
        <v>180</v>
      </c>
      <c r="AM270" s="11">
        <f t="shared" si="97"/>
        <v>30</v>
      </c>
      <c r="AN270" s="10">
        <v>30</v>
      </c>
      <c r="AO270" s="11">
        <f t="shared" si="104"/>
        <v>50</v>
      </c>
      <c r="AP270" s="10">
        <v>50</v>
      </c>
      <c r="AQ270" s="11">
        <f t="shared" si="104"/>
        <v>50</v>
      </c>
      <c r="AR270" s="10">
        <v>50</v>
      </c>
      <c r="AS270" s="56">
        <f t="shared" si="98"/>
        <v>2</v>
      </c>
      <c r="AU270" s="11">
        <f ca="1">IFERROR(OFFSET(ITEM_RES!$A$1,MATCH(AV270,ITEM_RES!$J:$J,0)-1,0),0)</f>
        <v>211020801</v>
      </c>
      <c r="AV270" s="10" t="s">
        <v>435</v>
      </c>
      <c r="AW270" s="11">
        <v>1</v>
      </c>
      <c r="AZ270" s="11">
        <f ca="1">IFERROR(OFFSET(ITEM_RES!$A$1,MATCH(BA270,ITEM_RES!$J:$J,0)-1,0),0)</f>
        <v>211020401</v>
      </c>
      <c r="BA270" s="10" t="s">
        <v>423</v>
      </c>
      <c r="BB270" s="11">
        <v>1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  <c r="BO270" s="11">
        <f ca="1">IFERROR(OFFSET(ITEM_RES!$A$1,MATCH(BP270,ITEM_RES!$J:$J,0)-1,0),0)</f>
        <v>0</v>
      </c>
      <c r="BQ270" s="11">
        <f t="shared" si="103"/>
        <v>0</v>
      </c>
    </row>
    <row r="271" spans="1:70" x14ac:dyDescent="0.3">
      <c r="A271" s="14">
        <f t="shared" si="100"/>
        <v>113050007</v>
      </c>
      <c r="B271" s="13">
        <v>11</v>
      </c>
      <c r="C271" s="12">
        <f t="shared" si="101"/>
        <v>3</v>
      </c>
      <c r="D271" s="13">
        <v>5</v>
      </c>
      <c r="E271" s="13">
        <v>0</v>
      </c>
      <c r="F271" s="12">
        <f t="shared" si="102"/>
        <v>7</v>
      </c>
      <c r="H271" s="9">
        <v>3</v>
      </c>
      <c r="I271" s="9">
        <v>7</v>
      </c>
      <c r="K271" s="9" t="s">
        <v>362</v>
      </c>
      <c r="M271" s="9" t="s">
        <v>954</v>
      </c>
      <c r="N271" s="9" t="s">
        <v>972</v>
      </c>
      <c r="O271" s="9">
        <v>1</v>
      </c>
      <c r="P271" s="9">
        <v>15</v>
      </c>
      <c r="Q271" s="142"/>
      <c r="U271" s="9" t="s">
        <v>711</v>
      </c>
      <c r="X271" s="9">
        <f ca="1">IFERROR(OFFSET(ITEM_RES!$A$5,MATCH(BUILDING!W271,ITEM_RES!$J$5:$J$226,0)-1,0),0)</f>
        <v>0</v>
      </c>
      <c r="AA271" s="9">
        <f ca="1">IFERROR(OFFSET(ITEM_RES!$A$5,MATCH(BUILDING!Z271,ITEM_RES!$J$5:$J$226,0)-1,0),0)</f>
        <v>0</v>
      </c>
      <c r="AC271" s="9" t="s">
        <v>520</v>
      </c>
      <c r="AD271" s="9">
        <v>7</v>
      </c>
      <c r="AF271" s="11">
        <f ca="1">IFERROR(OFFSET(MANOR_LEVEL!$B$1,MATCH(AG271-1,MANOR_LEVEL!$A:$A,0)-1,0),0)</f>
        <v>4232000</v>
      </c>
      <c r="AG271" s="56">
        <v>16</v>
      </c>
      <c r="AI271" s="56">
        <f t="shared" ca="1" si="95"/>
        <v>200</v>
      </c>
      <c r="AJ271" s="10">
        <f ca="1">AO271+AQ271+(IFERROR(OFFSET(ITEM_RES!$S$1,MATCH(AU271,ITEM_RES!$A:$A,0)-1,0),0)*AW271+IFERROR(OFFSET(ITEM_RES!$S$1,MATCH(AZ271,ITEM_RES!$A:$A,0)-1,0),0)*BB271+IFERROR(OFFSET(ITEM_RES!$S$1,MATCH(BE271,ITEM_RES!$A:$A,0)-1,0),0)*BG271+IFERROR(OFFSET(ITEM_RES!$S$1,MATCH(BJ271,ITEM_RES!$A:$A,0)-1,0),0)*BL271+IFERROR(OFFSET(ITEM_RES!$S$1,MATCH(BO271,ITEM_RES!$A:$A,0)-1,0),0)*BQ271)/1000</f>
        <v>200.11</v>
      </c>
      <c r="AK271" s="183">
        <f t="shared" ca="1" si="105"/>
        <v>300</v>
      </c>
      <c r="AM271" s="11">
        <f t="shared" si="97"/>
        <v>35</v>
      </c>
      <c r="AN271" s="10">
        <v>35</v>
      </c>
      <c r="AO271" s="11">
        <f t="shared" si="104"/>
        <v>100</v>
      </c>
      <c r="AP271" s="10">
        <v>100</v>
      </c>
      <c r="AQ271" s="11">
        <f t="shared" si="104"/>
        <v>100</v>
      </c>
      <c r="AR271" s="10">
        <v>100</v>
      </c>
      <c r="AS271" s="56">
        <f t="shared" si="98"/>
        <v>2</v>
      </c>
      <c r="AU271" s="11">
        <f ca="1">IFERROR(OFFSET(ITEM_RES!$A$1,MATCH(AV271,ITEM_RES!$J:$J,0)-1,0),0)</f>
        <v>211020801</v>
      </c>
      <c r="AV271" s="10" t="s">
        <v>435</v>
      </c>
      <c r="AW271" s="11">
        <v>1</v>
      </c>
      <c r="AZ271" s="11">
        <f ca="1">IFERROR(OFFSET(ITEM_RES!$A$1,MATCH(BA271,ITEM_RES!$J:$J,0)-1,0),0)</f>
        <v>211020401</v>
      </c>
      <c r="BA271" s="10" t="s">
        <v>423</v>
      </c>
      <c r="BB271" s="11">
        <v>1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  <c r="BO271" s="11">
        <f ca="1">IFERROR(OFFSET(ITEM_RES!$A$1,MATCH(BP271,ITEM_RES!$J:$J,0)-1,0),0)</f>
        <v>0</v>
      </c>
      <c r="BQ271" s="11">
        <f t="shared" si="103"/>
        <v>0</v>
      </c>
    </row>
    <row r="272" spans="1:70" x14ac:dyDescent="0.3">
      <c r="A272" s="14">
        <f t="shared" si="100"/>
        <v>113050008</v>
      </c>
      <c r="B272" s="13">
        <v>11</v>
      </c>
      <c r="C272" s="12">
        <f t="shared" si="101"/>
        <v>3</v>
      </c>
      <c r="D272" s="13">
        <v>5</v>
      </c>
      <c r="E272" s="13">
        <v>0</v>
      </c>
      <c r="F272" s="12">
        <f t="shared" si="102"/>
        <v>8</v>
      </c>
      <c r="H272" s="9">
        <v>3</v>
      </c>
      <c r="I272" s="9">
        <v>8</v>
      </c>
      <c r="K272" s="9" t="s">
        <v>362</v>
      </c>
      <c r="M272" s="9" t="s">
        <v>954</v>
      </c>
      <c r="N272" s="9" t="s">
        <v>972</v>
      </c>
      <c r="O272" s="9">
        <v>1</v>
      </c>
      <c r="P272" s="9">
        <v>15</v>
      </c>
      <c r="Q272" s="142"/>
      <c r="U272" s="9" t="s">
        <v>711</v>
      </c>
      <c r="X272" s="9">
        <f ca="1">IFERROR(OFFSET(ITEM_RES!$A$5,MATCH(BUILDING!W272,ITEM_RES!$J$5:$J$226,0)-1,0),0)</f>
        <v>0</v>
      </c>
      <c r="AA272" s="9">
        <f ca="1">IFERROR(OFFSET(ITEM_RES!$A$5,MATCH(BUILDING!Z272,ITEM_RES!$J$5:$J$226,0)-1,0),0)</f>
        <v>0</v>
      </c>
      <c r="AC272" s="9" t="s">
        <v>520</v>
      </c>
      <c r="AD272" s="9">
        <v>8</v>
      </c>
      <c r="AF272" s="11">
        <f ca="1">IFERROR(OFFSET(MANOR_LEVEL!$B$1,MATCH(AG272-1,MANOR_LEVEL!$A:$A,0)-1,0),0)</f>
        <v>4232000</v>
      </c>
      <c r="AG272" s="56">
        <v>16</v>
      </c>
      <c r="AI272" s="56">
        <f t="shared" ca="1" si="95"/>
        <v>300</v>
      </c>
      <c r="AJ272" s="10">
        <f ca="1">AO272+AQ272+(IFERROR(OFFSET(ITEM_RES!$S$1,MATCH(AU272,ITEM_RES!$A:$A,0)-1,0),0)*AW272+IFERROR(OFFSET(ITEM_RES!$S$1,MATCH(AZ272,ITEM_RES!$A:$A,0)-1,0),0)*BB272+IFERROR(OFFSET(ITEM_RES!$S$1,MATCH(BE272,ITEM_RES!$A:$A,0)-1,0),0)*BG272+IFERROR(OFFSET(ITEM_RES!$S$1,MATCH(BJ272,ITEM_RES!$A:$A,0)-1,0),0)*BL272+IFERROR(OFFSET(ITEM_RES!$S$1,MATCH(BO272,ITEM_RES!$A:$A,0)-1,0),0)*BQ272)/1000</f>
        <v>300.11</v>
      </c>
      <c r="AK272" s="183">
        <f t="shared" ca="1" si="105"/>
        <v>500</v>
      </c>
      <c r="AM272" s="11">
        <f t="shared" si="97"/>
        <v>40</v>
      </c>
      <c r="AN272" s="10">
        <v>40</v>
      </c>
      <c r="AO272" s="11">
        <f t="shared" si="104"/>
        <v>100</v>
      </c>
      <c r="AP272" s="10">
        <v>100</v>
      </c>
      <c r="AQ272" s="11">
        <f t="shared" si="104"/>
        <v>100</v>
      </c>
      <c r="AR272" s="10">
        <v>100</v>
      </c>
      <c r="AS272" s="56">
        <f t="shared" si="98"/>
        <v>3</v>
      </c>
      <c r="AU272" s="11">
        <f ca="1">IFERROR(OFFSET(ITEM_RES!$A$1,MATCH(AV272,ITEM_RES!$J:$J,0)-1,0),0)</f>
        <v>211020801</v>
      </c>
      <c r="AV272" s="10" t="s">
        <v>435</v>
      </c>
      <c r="AW272" s="11">
        <v>1</v>
      </c>
      <c r="AZ272" s="11">
        <f ca="1">IFERROR(OFFSET(ITEM_RES!$A$1,MATCH(BA272,ITEM_RES!$J:$J,0)-1,0),0)</f>
        <v>211020401</v>
      </c>
      <c r="BA272" s="10" t="s">
        <v>423</v>
      </c>
      <c r="BB272" s="11">
        <v>1</v>
      </c>
      <c r="BE272" s="11">
        <f ca="1">IFERROR(OFFSET(ITEM_RES!$A$1,MATCH(BF272,ITEM_RES!$J:$J,0)-1,0),0)</f>
        <v>0</v>
      </c>
      <c r="BJ272" s="11">
        <f ca="1">IFERROR(OFFSET(ITEM_RES!$A$1,MATCH(BK272,ITEM_RES!$J:$J,0)-1,0),0)</f>
        <v>213010901</v>
      </c>
      <c r="BK272" s="10" t="s">
        <v>464</v>
      </c>
      <c r="BL272" s="11">
        <v>1</v>
      </c>
      <c r="BO272" s="11">
        <f ca="1">IFERROR(OFFSET(ITEM_RES!$A$1,MATCH(BP272,ITEM_RES!$J:$J,0)-1,0),0)</f>
        <v>0</v>
      </c>
      <c r="BQ272" s="11">
        <f t="shared" si="103"/>
        <v>0</v>
      </c>
    </row>
    <row r="273" spans="1:70" x14ac:dyDescent="0.3">
      <c r="A273" s="14">
        <f t="shared" si="100"/>
        <v>113050009</v>
      </c>
      <c r="B273" s="13">
        <v>11</v>
      </c>
      <c r="C273" s="12">
        <f t="shared" si="101"/>
        <v>3</v>
      </c>
      <c r="D273" s="13">
        <v>5</v>
      </c>
      <c r="E273" s="13">
        <v>0</v>
      </c>
      <c r="F273" s="12">
        <f t="shared" si="102"/>
        <v>9</v>
      </c>
      <c r="H273" s="9">
        <v>3</v>
      </c>
      <c r="I273" s="9">
        <v>9</v>
      </c>
      <c r="K273" s="9" t="s">
        <v>362</v>
      </c>
      <c r="M273" s="9" t="s">
        <v>954</v>
      </c>
      <c r="N273" s="9" t="s">
        <v>972</v>
      </c>
      <c r="O273" s="9">
        <v>1</v>
      </c>
      <c r="P273" s="9">
        <v>15</v>
      </c>
      <c r="Q273" s="142"/>
      <c r="U273" s="9" t="s">
        <v>711</v>
      </c>
      <c r="X273" s="9">
        <f ca="1">IFERROR(OFFSET(ITEM_RES!$A$5,MATCH(BUILDING!W273,ITEM_RES!$J$5:$J$226,0)-1,0),0)</f>
        <v>0</v>
      </c>
      <c r="AA273" s="9">
        <f ca="1">IFERROR(OFFSET(ITEM_RES!$A$5,MATCH(BUILDING!Z273,ITEM_RES!$J$5:$J$226,0)-1,0),0)</f>
        <v>0</v>
      </c>
      <c r="AC273" s="9" t="s">
        <v>520</v>
      </c>
      <c r="AD273" s="9">
        <v>9</v>
      </c>
      <c r="AF273" s="11">
        <f ca="1">IFERROR(OFFSET(MANOR_LEVEL!$B$1,MATCH(AG273-1,MANOR_LEVEL!$A:$A,0)-1,0),0)</f>
        <v>4232000</v>
      </c>
      <c r="AG273" s="56">
        <v>16</v>
      </c>
      <c r="AI273" s="56">
        <f t="shared" ca="1" si="95"/>
        <v>300</v>
      </c>
      <c r="AJ273" s="10">
        <f ca="1">AO273+AQ273+(IFERROR(OFFSET(ITEM_RES!$S$1,MATCH(AU273,ITEM_RES!$A:$A,0)-1,0),0)*AW273+IFERROR(OFFSET(ITEM_RES!$S$1,MATCH(AZ273,ITEM_RES!$A:$A,0)-1,0),0)*BB273+IFERROR(OFFSET(ITEM_RES!$S$1,MATCH(BE273,ITEM_RES!$A:$A,0)-1,0),0)*BG273+IFERROR(OFFSET(ITEM_RES!$S$1,MATCH(BJ273,ITEM_RES!$A:$A,0)-1,0),0)*BL273+IFERROR(OFFSET(ITEM_RES!$S$1,MATCH(BO273,ITEM_RES!$A:$A,0)-1,0),0)*BQ273)/1000</f>
        <v>300.11</v>
      </c>
      <c r="AK273" s="183">
        <f t="shared" ca="1" si="105"/>
        <v>600</v>
      </c>
      <c r="AM273" s="11">
        <f t="shared" si="97"/>
        <v>45</v>
      </c>
      <c r="AN273" s="10">
        <v>45</v>
      </c>
      <c r="AO273" s="11">
        <f t="shared" si="104"/>
        <v>150</v>
      </c>
      <c r="AP273" s="10">
        <v>150</v>
      </c>
      <c r="AQ273" s="11">
        <f t="shared" si="104"/>
        <v>150</v>
      </c>
      <c r="AR273" s="10">
        <v>150</v>
      </c>
      <c r="AS273" s="56">
        <f t="shared" si="98"/>
        <v>2</v>
      </c>
      <c r="AU273" s="11">
        <f ca="1">IFERROR(OFFSET(ITEM_RES!$A$1,MATCH(AV273,ITEM_RES!$J:$J,0)-1,0),0)</f>
        <v>211020801</v>
      </c>
      <c r="AV273" s="10" t="s">
        <v>435</v>
      </c>
      <c r="AW273" s="11">
        <v>1</v>
      </c>
      <c r="AZ273" s="11">
        <f ca="1">IFERROR(OFFSET(ITEM_RES!$A$1,MATCH(BA273,ITEM_RES!$J:$J,0)-1,0),0)</f>
        <v>211020401</v>
      </c>
      <c r="BA273" s="10" t="s">
        <v>423</v>
      </c>
      <c r="BB273" s="11">
        <v>1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  <c r="BO273" s="11">
        <f ca="1">IFERROR(OFFSET(ITEM_RES!$A$1,MATCH(BP273,ITEM_RES!$J:$J,0)-1,0),0)</f>
        <v>0</v>
      </c>
      <c r="BQ273" s="11">
        <f t="shared" si="103"/>
        <v>0</v>
      </c>
    </row>
    <row r="274" spans="1:70" x14ac:dyDescent="0.3">
      <c r="A274" s="14">
        <f t="shared" si="100"/>
        <v>113050010</v>
      </c>
      <c r="B274" s="13">
        <v>11</v>
      </c>
      <c r="C274" s="12">
        <f t="shared" si="101"/>
        <v>3</v>
      </c>
      <c r="D274" s="13">
        <v>5</v>
      </c>
      <c r="E274" s="13">
        <v>0</v>
      </c>
      <c r="F274" s="12">
        <f t="shared" si="102"/>
        <v>10</v>
      </c>
      <c r="H274" s="9">
        <v>3</v>
      </c>
      <c r="I274" s="9">
        <v>10</v>
      </c>
      <c r="K274" s="9" t="s">
        <v>362</v>
      </c>
      <c r="M274" s="9" t="s">
        <v>954</v>
      </c>
      <c r="N274" s="9" t="s">
        <v>972</v>
      </c>
      <c r="O274" s="9">
        <v>1</v>
      </c>
      <c r="P274" s="9">
        <v>15</v>
      </c>
      <c r="Q274" s="142"/>
      <c r="U274" s="9" t="s">
        <v>711</v>
      </c>
      <c r="X274" s="9">
        <f ca="1">IFERROR(OFFSET(ITEM_RES!$A$5,MATCH(BUILDING!W274,ITEM_RES!$J$5:$J$226,0)-1,0),0)</f>
        <v>0</v>
      </c>
      <c r="AA274" s="9">
        <f ca="1">IFERROR(OFFSET(ITEM_RES!$A$5,MATCH(BUILDING!Z274,ITEM_RES!$J$5:$J$226,0)-1,0),0)</f>
        <v>0</v>
      </c>
      <c r="AC274" s="9" t="s">
        <v>520</v>
      </c>
      <c r="AD274" s="9">
        <v>10</v>
      </c>
      <c r="AF274" s="11">
        <f ca="1">IFERROR(OFFSET(MANOR_LEVEL!$B$1,MATCH(AG274-1,MANOR_LEVEL!$A:$A,0)-1,0),0)</f>
        <v>4232000</v>
      </c>
      <c r="AG274" s="56">
        <v>16</v>
      </c>
      <c r="AI274" s="56">
        <f t="shared" ca="1" si="95"/>
        <v>400</v>
      </c>
      <c r="AJ274" s="10">
        <f ca="1">AO274+AQ274+(IFERROR(OFFSET(ITEM_RES!$S$1,MATCH(AU274,ITEM_RES!$A:$A,0)-1,0),0)*AW274+IFERROR(OFFSET(ITEM_RES!$S$1,MATCH(AZ274,ITEM_RES!$A:$A,0)-1,0),0)*BB274+IFERROR(OFFSET(ITEM_RES!$S$1,MATCH(BE274,ITEM_RES!$A:$A,0)-1,0),0)*BG274+IFERROR(OFFSET(ITEM_RES!$S$1,MATCH(BJ274,ITEM_RES!$A:$A,0)-1,0),0)*BL274+IFERROR(OFFSET(ITEM_RES!$S$1,MATCH(BO274,ITEM_RES!$A:$A,0)-1,0),0)*BQ274)/1000</f>
        <v>400.11</v>
      </c>
      <c r="AK274" s="183">
        <f t="shared" ca="1" si="105"/>
        <v>700</v>
      </c>
      <c r="AM274" s="11">
        <f t="shared" si="97"/>
        <v>50</v>
      </c>
      <c r="AN274" s="10">
        <v>50</v>
      </c>
      <c r="AO274" s="11">
        <f t="shared" si="104"/>
        <v>200</v>
      </c>
      <c r="AP274" s="10">
        <v>200</v>
      </c>
      <c r="AQ274" s="11">
        <f t="shared" si="104"/>
        <v>200</v>
      </c>
      <c r="AR274" s="10">
        <v>200</v>
      </c>
      <c r="AS274" s="56">
        <f t="shared" si="98"/>
        <v>2</v>
      </c>
      <c r="AU274" s="11">
        <f ca="1">IFERROR(OFFSET(ITEM_RES!$A$1,MATCH(AV274,ITEM_RES!$J:$J,0)-1,0),0)</f>
        <v>211020801</v>
      </c>
      <c r="AV274" s="10" t="s">
        <v>435</v>
      </c>
      <c r="AW274" s="11">
        <v>1</v>
      </c>
      <c r="AZ274" s="11">
        <f ca="1">IFERROR(OFFSET(ITEM_RES!$A$1,MATCH(BA274,ITEM_RES!$J:$J,0)-1,0),0)</f>
        <v>211020401</v>
      </c>
      <c r="BA274" s="10" t="s">
        <v>423</v>
      </c>
      <c r="BB274" s="11">
        <v>1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  <c r="BO274" s="11">
        <f ca="1">IFERROR(OFFSET(ITEM_RES!$A$1,MATCH(BP274,ITEM_RES!$J:$J,0)-1,0),0)</f>
        <v>0</v>
      </c>
      <c r="BQ274" s="11">
        <f t="shared" si="103"/>
        <v>0</v>
      </c>
    </row>
    <row r="275" spans="1:70" x14ac:dyDescent="0.3">
      <c r="A275" s="14">
        <f t="shared" si="100"/>
        <v>113050011</v>
      </c>
      <c r="B275" s="13">
        <v>11</v>
      </c>
      <c r="C275" s="12">
        <f t="shared" si="101"/>
        <v>3</v>
      </c>
      <c r="D275" s="13">
        <v>5</v>
      </c>
      <c r="E275" s="13">
        <v>0</v>
      </c>
      <c r="F275" s="12">
        <f t="shared" si="102"/>
        <v>11</v>
      </c>
      <c r="H275" s="9">
        <v>3</v>
      </c>
      <c r="I275" s="9">
        <v>11</v>
      </c>
      <c r="K275" s="9" t="s">
        <v>362</v>
      </c>
      <c r="M275" s="9" t="s">
        <v>954</v>
      </c>
      <c r="N275" s="9" t="s">
        <v>972</v>
      </c>
      <c r="O275" s="9">
        <v>1</v>
      </c>
      <c r="P275" s="9">
        <v>15</v>
      </c>
      <c r="Q275" s="142"/>
      <c r="U275" s="9" t="s">
        <v>711</v>
      </c>
      <c r="X275" s="9">
        <f ca="1">IFERROR(OFFSET(ITEM_RES!$A$5,MATCH(BUILDING!W275,ITEM_RES!$J$5:$J$226,0)-1,0),0)</f>
        <v>0</v>
      </c>
      <c r="AA275" s="9">
        <f ca="1">IFERROR(OFFSET(ITEM_RES!$A$5,MATCH(BUILDING!Z275,ITEM_RES!$J$5:$J$226,0)-1,0),0)</f>
        <v>0</v>
      </c>
      <c r="AC275" s="9" t="s">
        <v>520</v>
      </c>
      <c r="AD275" s="9">
        <v>11</v>
      </c>
      <c r="AF275" s="11">
        <f ca="1">IFERROR(OFFSET(MANOR_LEVEL!$B$1,MATCH(AG275-1,MANOR_LEVEL!$A:$A,0)-1,0),0)</f>
        <v>4232000</v>
      </c>
      <c r="AG275" s="56">
        <v>16</v>
      </c>
      <c r="AI275" s="56">
        <f t="shared" ca="1" si="95"/>
        <v>500</v>
      </c>
      <c r="AJ275" s="10">
        <f ca="1">AO275+AQ275+(IFERROR(OFFSET(ITEM_RES!$S$1,MATCH(AU275,ITEM_RES!$A:$A,0)-1,0),0)*AW275+IFERROR(OFFSET(ITEM_RES!$S$1,MATCH(AZ275,ITEM_RES!$A:$A,0)-1,0),0)*BB275+IFERROR(OFFSET(ITEM_RES!$S$1,MATCH(BE275,ITEM_RES!$A:$A,0)-1,0),0)*BG275+IFERROR(OFFSET(ITEM_RES!$S$1,MATCH(BJ275,ITEM_RES!$A:$A,0)-1,0),0)*BL275+IFERROR(OFFSET(ITEM_RES!$S$1,MATCH(BO275,ITEM_RES!$A:$A,0)-1,0),0)*BQ275)/1000</f>
        <v>500.11</v>
      </c>
      <c r="AK275" s="183">
        <f t="shared" ca="1" si="105"/>
        <v>900</v>
      </c>
      <c r="AM275" s="11">
        <f t="shared" si="97"/>
        <v>55</v>
      </c>
      <c r="AN275" s="10">
        <v>55</v>
      </c>
      <c r="AO275" s="11">
        <f t="shared" si="104"/>
        <v>250</v>
      </c>
      <c r="AP275" s="10">
        <v>250</v>
      </c>
      <c r="AQ275" s="11">
        <f t="shared" si="104"/>
        <v>250</v>
      </c>
      <c r="AR275" s="10">
        <v>250</v>
      </c>
      <c r="AS275" s="56">
        <f t="shared" si="98"/>
        <v>2</v>
      </c>
      <c r="AU275" s="11">
        <f ca="1">IFERROR(OFFSET(ITEM_RES!$A$1,MATCH(AV275,ITEM_RES!$J:$J,0)-1,0),0)</f>
        <v>211020801</v>
      </c>
      <c r="AV275" s="10" t="s">
        <v>435</v>
      </c>
      <c r="AW275" s="11">
        <v>1</v>
      </c>
      <c r="AZ275" s="11">
        <f ca="1">IFERROR(OFFSET(ITEM_RES!$A$1,MATCH(BA275,ITEM_RES!$J:$J,0)-1,0),0)</f>
        <v>211020401</v>
      </c>
      <c r="BA275" s="10" t="s">
        <v>423</v>
      </c>
      <c r="BB275" s="11">
        <v>1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  <c r="BO275" s="11">
        <f ca="1">IFERROR(OFFSET(ITEM_RES!$A$1,MATCH(BP275,ITEM_RES!$J:$J,0)-1,0),0)</f>
        <v>0</v>
      </c>
      <c r="BQ275" s="11">
        <f t="shared" si="103"/>
        <v>0</v>
      </c>
    </row>
    <row r="276" spans="1:70" x14ac:dyDescent="0.3">
      <c r="A276" s="14">
        <f t="shared" si="100"/>
        <v>113050012</v>
      </c>
      <c r="B276" s="13">
        <v>11</v>
      </c>
      <c r="C276" s="12">
        <f t="shared" si="101"/>
        <v>3</v>
      </c>
      <c r="D276" s="13">
        <v>5</v>
      </c>
      <c r="E276" s="13">
        <v>0</v>
      </c>
      <c r="F276" s="12">
        <f t="shared" si="102"/>
        <v>12</v>
      </c>
      <c r="H276" s="9">
        <v>3</v>
      </c>
      <c r="I276" s="9">
        <v>12</v>
      </c>
      <c r="K276" s="9" t="s">
        <v>362</v>
      </c>
      <c r="M276" s="9" t="s">
        <v>954</v>
      </c>
      <c r="N276" s="9" t="s">
        <v>972</v>
      </c>
      <c r="O276" s="9">
        <v>1</v>
      </c>
      <c r="P276" s="9">
        <v>15</v>
      </c>
      <c r="Q276" s="142"/>
      <c r="U276" s="9" t="s">
        <v>711</v>
      </c>
      <c r="X276" s="9">
        <f ca="1">IFERROR(OFFSET(ITEM_RES!$A$5,MATCH(BUILDING!W276,ITEM_RES!$J$5:$J$226,0)-1,0),0)</f>
        <v>0</v>
      </c>
      <c r="AA276" s="9">
        <f ca="1">IFERROR(OFFSET(ITEM_RES!$A$5,MATCH(BUILDING!Z276,ITEM_RES!$J$5:$J$226,0)-1,0),0)</f>
        <v>0</v>
      </c>
      <c r="AC276" s="9" t="s">
        <v>520</v>
      </c>
      <c r="AD276" s="9">
        <v>12</v>
      </c>
      <c r="AF276" s="11">
        <f ca="1">IFERROR(OFFSET(MANOR_LEVEL!$B$1,MATCH(AG276-1,MANOR_LEVEL!$A:$A,0)-1,0),0)</f>
        <v>4232000</v>
      </c>
      <c r="AG276" s="56">
        <v>16</v>
      </c>
      <c r="AI276" s="56">
        <f t="shared" ca="1" si="95"/>
        <v>600</v>
      </c>
      <c r="AJ276" s="10">
        <f ca="1">AO276+AQ276+(IFERROR(OFFSET(ITEM_RES!$S$1,MATCH(AU276,ITEM_RES!$A:$A,0)-1,0),0)*AW276+IFERROR(OFFSET(ITEM_RES!$S$1,MATCH(AZ276,ITEM_RES!$A:$A,0)-1,0),0)*BB276+IFERROR(OFFSET(ITEM_RES!$S$1,MATCH(BE276,ITEM_RES!$A:$A,0)-1,0),0)*BG276+IFERROR(OFFSET(ITEM_RES!$S$1,MATCH(BJ276,ITEM_RES!$A:$A,0)-1,0),0)*BL276+IFERROR(OFFSET(ITEM_RES!$S$1,MATCH(BO276,ITEM_RES!$A:$A,0)-1,0),0)*BQ276)/1000</f>
        <v>600.11</v>
      </c>
      <c r="AK276" s="183">
        <f t="shared" ca="1" si="105"/>
        <v>1100</v>
      </c>
      <c r="AM276" s="11">
        <f t="shared" si="97"/>
        <v>60</v>
      </c>
      <c r="AN276" s="10">
        <v>60</v>
      </c>
      <c r="AO276" s="11">
        <f t="shared" si="104"/>
        <v>300</v>
      </c>
      <c r="AP276" s="10">
        <v>300</v>
      </c>
      <c r="AQ276" s="11">
        <f t="shared" si="104"/>
        <v>300</v>
      </c>
      <c r="AR276" s="10">
        <v>300</v>
      </c>
      <c r="AS276" s="56">
        <f t="shared" si="98"/>
        <v>2</v>
      </c>
      <c r="AU276" s="11">
        <f ca="1">IFERROR(OFFSET(ITEM_RES!$A$1,MATCH(AV276,ITEM_RES!$J:$J,0)-1,0),0)</f>
        <v>211020801</v>
      </c>
      <c r="AV276" s="10" t="s">
        <v>435</v>
      </c>
      <c r="AW276" s="11">
        <v>1</v>
      </c>
      <c r="AZ276" s="11">
        <f ca="1">IFERROR(OFFSET(ITEM_RES!$A$1,MATCH(BA276,ITEM_RES!$J:$J,0)-1,0),0)</f>
        <v>211020401</v>
      </c>
      <c r="BA276" s="10" t="s">
        <v>423</v>
      </c>
      <c r="BB276" s="11">
        <v>1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  <c r="BO276" s="11">
        <f ca="1">IFERROR(OFFSET(ITEM_RES!$A$1,MATCH(BP276,ITEM_RES!$J:$J,0)-1,0),0)</f>
        <v>0</v>
      </c>
      <c r="BQ276" s="11">
        <f t="shared" si="103"/>
        <v>0</v>
      </c>
    </row>
    <row r="277" spans="1:70" x14ac:dyDescent="0.3">
      <c r="A277" s="14">
        <f t="shared" si="100"/>
        <v>113050013</v>
      </c>
      <c r="B277" s="13">
        <v>11</v>
      </c>
      <c r="C277" s="12">
        <f t="shared" si="101"/>
        <v>3</v>
      </c>
      <c r="D277" s="13">
        <v>5</v>
      </c>
      <c r="E277" s="13">
        <v>0</v>
      </c>
      <c r="F277" s="12">
        <f t="shared" si="102"/>
        <v>13</v>
      </c>
      <c r="H277" s="9">
        <v>3</v>
      </c>
      <c r="I277" s="9">
        <v>13</v>
      </c>
      <c r="K277" s="9" t="s">
        <v>362</v>
      </c>
      <c r="M277" s="9" t="s">
        <v>954</v>
      </c>
      <c r="N277" s="9" t="s">
        <v>972</v>
      </c>
      <c r="O277" s="9">
        <v>1</v>
      </c>
      <c r="P277" s="9">
        <v>15</v>
      </c>
      <c r="Q277" s="142"/>
      <c r="U277" s="9" t="s">
        <v>711</v>
      </c>
      <c r="X277" s="9">
        <f ca="1">IFERROR(OFFSET(ITEM_RES!$A$5,MATCH(BUILDING!W277,ITEM_RES!$J$5:$J$226,0)-1,0),0)</f>
        <v>0</v>
      </c>
      <c r="AA277" s="9">
        <f ca="1">IFERROR(OFFSET(ITEM_RES!$A$5,MATCH(BUILDING!Z277,ITEM_RES!$J$5:$J$226,0)-1,0),0)</f>
        <v>0</v>
      </c>
      <c r="AC277" s="9" t="s">
        <v>520</v>
      </c>
      <c r="AD277" s="9">
        <v>13</v>
      </c>
      <c r="AF277" s="11">
        <f ca="1">IFERROR(OFFSET(MANOR_LEVEL!$B$1,MATCH(AG277-1,MANOR_LEVEL!$A:$A,0)-1,0),0)</f>
        <v>4232000</v>
      </c>
      <c r="AG277" s="56">
        <v>16</v>
      </c>
      <c r="AI277" s="56">
        <f t="shared" ca="1" si="95"/>
        <v>700</v>
      </c>
      <c r="AJ277" s="10">
        <f ca="1">AO277+AQ277+(IFERROR(OFFSET(ITEM_RES!$S$1,MATCH(AU277,ITEM_RES!$A:$A,0)-1,0),0)*AW277+IFERROR(OFFSET(ITEM_RES!$S$1,MATCH(AZ277,ITEM_RES!$A:$A,0)-1,0),0)*BB277+IFERROR(OFFSET(ITEM_RES!$S$1,MATCH(BE277,ITEM_RES!$A:$A,0)-1,0),0)*BG277+IFERROR(OFFSET(ITEM_RES!$S$1,MATCH(BJ277,ITEM_RES!$A:$A,0)-1,0),0)*BL277+IFERROR(OFFSET(ITEM_RES!$S$1,MATCH(BO277,ITEM_RES!$A:$A,0)-1,0),0)*BQ277)/1000</f>
        <v>700.11</v>
      </c>
      <c r="AK277" s="183">
        <f t="shared" ca="1" si="105"/>
        <v>1300</v>
      </c>
      <c r="AM277" s="11">
        <f t="shared" si="97"/>
        <v>65</v>
      </c>
      <c r="AN277" s="10">
        <v>65</v>
      </c>
      <c r="AO277" s="11">
        <f t="shared" si="104"/>
        <v>350</v>
      </c>
      <c r="AP277" s="10">
        <v>350</v>
      </c>
      <c r="AQ277" s="11">
        <f t="shared" si="104"/>
        <v>350</v>
      </c>
      <c r="AR277" s="10">
        <v>350</v>
      </c>
      <c r="AS277" s="56">
        <f t="shared" si="98"/>
        <v>2</v>
      </c>
      <c r="AU277" s="11">
        <f ca="1">IFERROR(OFFSET(ITEM_RES!$A$1,MATCH(AV277,ITEM_RES!$J:$J,0)-1,0),0)</f>
        <v>211020801</v>
      </c>
      <c r="AV277" s="10" t="s">
        <v>435</v>
      </c>
      <c r="AW277" s="11">
        <v>1</v>
      </c>
      <c r="AZ277" s="11">
        <f ca="1">IFERROR(OFFSET(ITEM_RES!$A$1,MATCH(BA277,ITEM_RES!$J:$J,0)-1,0),0)</f>
        <v>211020401</v>
      </c>
      <c r="BA277" s="10" t="s">
        <v>423</v>
      </c>
      <c r="BB277" s="11">
        <v>1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  <c r="BO277" s="11">
        <f ca="1">IFERROR(OFFSET(ITEM_RES!$A$1,MATCH(BP277,ITEM_RES!$J:$J,0)-1,0),0)</f>
        <v>0</v>
      </c>
      <c r="BQ277" s="11">
        <f t="shared" si="103"/>
        <v>0</v>
      </c>
    </row>
    <row r="278" spans="1:70" x14ac:dyDescent="0.3">
      <c r="A278" s="14">
        <f t="shared" si="100"/>
        <v>113050014</v>
      </c>
      <c r="B278" s="13">
        <v>11</v>
      </c>
      <c r="C278" s="12">
        <f t="shared" si="101"/>
        <v>3</v>
      </c>
      <c r="D278" s="13">
        <v>5</v>
      </c>
      <c r="E278" s="13">
        <v>0</v>
      </c>
      <c r="F278" s="12">
        <f t="shared" si="102"/>
        <v>14</v>
      </c>
      <c r="H278" s="9">
        <v>3</v>
      </c>
      <c r="I278" s="9">
        <v>14</v>
      </c>
      <c r="K278" s="9" t="s">
        <v>362</v>
      </c>
      <c r="M278" s="9" t="s">
        <v>954</v>
      </c>
      <c r="N278" s="9" t="s">
        <v>972</v>
      </c>
      <c r="O278" s="9">
        <v>1</v>
      </c>
      <c r="P278" s="9">
        <v>15</v>
      </c>
      <c r="Q278" s="142"/>
      <c r="U278" s="9" t="s">
        <v>711</v>
      </c>
      <c r="X278" s="9">
        <f ca="1">IFERROR(OFFSET(ITEM_RES!$A$5,MATCH(BUILDING!W278,ITEM_RES!$J$5:$J$226,0)-1,0),0)</f>
        <v>0</v>
      </c>
      <c r="AA278" s="9">
        <f ca="1">IFERROR(OFFSET(ITEM_RES!$A$5,MATCH(BUILDING!Z278,ITEM_RES!$J$5:$J$226,0)-1,0),0)</f>
        <v>0</v>
      </c>
      <c r="AC278" s="9" t="s">
        <v>520</v>
      </c>
      <c r="AD278" s="9">
        <v>14</v>
      </c>
      <c r="AF278" s="11">
        <f ca="1">IFERROR(OFFSET(MANOR_LEVEL!$B$1,MATCH(AG278-1,MANOR_LEVEL!$A:$A,0)-1,0),0)</f>
        <v>4232000</v>
      </c>
      <c r="AG278" s="56">
        <v>16</v>
      </c>
      <c r="AI278" s="56">
        <f t="shared" ca="1" si="95"/>
        <v>900</v>
      </c>
      <c r="AJ278" s="10">
        <f ca="1">AO278+AQ278+(IFERROR(OFFSET(ITEM_RES!$S$1,MATCH(AU278,ITEM_RES!$A:$A,0)-1,0),0)*AW278+IFERROR(OFFSET(ITEM_RES!$S$1,MATCH(AZ278,ITEM_RES!$A:$A,0)-1,0),0)*BB278+IFERROR(OFFSET(ITEM_RES!$S$1,MATCH(BE278,ITEM_RES!$A:$A,0)-1,0),0)*BG278+IFERROR(OFFSET(ITEM_RES!$S$1,MATCH(BJ278,ITEM_RES!$A:$A,0)-1,0),0)*BL278+IFERROR(OFFSET(ITEM_RES!$S$1,MATCH(BO278,ITEM_RES!$A:$A,0)-1,0),0)*BQ278)/1000</f>
        <v>900.11</v>
      </c>
      <c r="AK278" s="183">
        <f t="shared" ca="1" si="105"/>
        <v>1600</v>
      </c>
      <c r="AM278" s="11">
        <f t="shared" si="97"/>
        <v>70</v>
      </c>
      <c r="AN278" s="10">
        <v>70</v>
      </c>
      <c r="AO278" s="11">
        <f t="shared" si="104"/>
        <v>450</v>
      </c>
      <c r="AP278" s="10">
        <v>450</v>
      </c>
      <c r="AQ278" s="11">
        <f t="shared" si="104"/>
        <v>450</v>
      </c>
      <c r="AR278" s="10">
        <v>450</v>
      </c>
      <c r="AS278" s="56">
        <f t="shared" si="98"/>
        <v>2</v>
      </c>
      <c r="AU278" s="11">
        <f ca="1">IFERROR(OFFSET(ITEM_RES!$A$1,MATCH(AV278,ITEM_RES!$J:$J,0)-1,0),0)</f>
        <v>211020801</v>
      </c>
      <c r="AV278" s="10" t="s">
        <v>435</v>
      </c>
      <c r="AW278" s="11">
        <v>1</v>
      </c>
      <c r="AZ278" s="11">
        <f ca="1">IFERROR(OFFSET(ITEM_RES!$A$1,MATCH(BA278,ITEM_RES!$J:$J,0)-1,0),0)</f>
        <v>211020401</v>
      </c>
      <c r="BA278" s="10" t="s">
        <v>423</v>
      </c>
      <c r="BB278" s="11">
        <v>1</v>
      </c>
      <c r="BE278" s="11">
        <f ca="1">IFERROR(OFFSET(ITEM_RES!$A$1,MATCH(BF278,ITEM_RES!$J:$J,0)-1,0),0)</f>
        <v>0</v>
      </c>
      <c r="BJ278" s="11">
        <f ca="1">IFERROR(OFFSET(ITEM_RES!$A$1,MATCH(BK278,ITEM_RES!$J:$J,0)-1,0),0)</f>
        <v>0</v>
      </c>
      <c r="BO278" s="11">
        <f ca="1">IFERROR(OFFSET(ITEM_RES!$A$1,MATCH(BP278,ITEM_RES!$J:$J,0)-1,0),0)</f>
        <v>0</v>
      </c>
      <c r="BQ278" s="11">
        <f t="shared" si="103"/>
        <v>0</v>
      </c>
    </row>
    <row r="279" spans="1:70" x14ac:dyDescent="0.3">
      <c r="A279" s="14">
        <f t="shared" si="100"/>
        <v>113050015</v>
      </c>
      <c r="B279" s="13">
        <v>11</v>
      </c>
      <c r="C279" s="12">
        <f t="shared" si="101"/>
        <v>3</v>
      </c>
      <c r="D279" s="13">
        <v>5</v>
      </c>
      <c r="E279" s="13">
        <v>0</v>
      </c>
      <c r="F279" s="12">
        <f t="shared" si="102"/>
        <v>15</v>
      </c>
      <c r="H279" s="9">
        <v>3</v>
      </c>
      <c r="I279" s="9">
        <v>15</v>
      </c>
      <c r="K279" s="9" t="s">
        <v>362</v>
      </c>
      <c r="M279" s="9" t="s">
        <v>954</v>
      </c>
      <c r="N279" s="9" t="s">
        <v>972</v>
      </c>
      <c r="O279" s="9">
        <v>1</v>
      </c>
      <c r="P279" s="9">
        <v>15</v>
      </c>
      <c r="Q279" s="142"/>
      <c r="U279" s="9" t="s">
        <v>711</v>
      </c>
      <c r="X279" s="9">
        <f ca="1">IFERROR(OFFSET(ITEM_RES!$A$5,MATCH(BUILDING!W279,ITEM_RES!$J$5:$J$226,0)-1,0),0)</f>
        <v>0</v>
      </c>
      <c r="AA279" s="9">
        <f ca="1">IFERROR(OFFSET(ITEM_RES!$A$5,MATCH(BUILDING!Z279,ITEM_RES!$J$5:$J$226,0)-1,0),0)</f>
        <v>0</v>
      </c>
      <c r="AC279" s="9" t="s">
        <v>520</v>
      </c>
      <c r="AD279" s="9">
        <v>15</v>
      </c>
      <c r="AF279" s="11">
        <f ca="1">IFERROR(OFFSET(MANOR_LEVEL!$B$1,MATCH(AG279-1,MANOR_LEVEL!$A:$A,0)-1,0),0)</f>
        <v>4232000</v>
      </c>
      <c r="AG279" s="56">
        <v>16</v>
      </c>
      <c r="AI279" s="56">
        <f t="shared" ca="1" si="95"/>
        <v>1100</v>
      </c>
      <c r="AJ279" s="10">
        <f ca="1">AO279+AQ279+(IFERROR(OFFSET(ITEM_RES!$S$1,MATCH(AU279,ITEM_RES!$A:$A,0)-1,0),0)*AW279+IFERROR(OFFSET(ITEM_RES!$S$1,MATCH(AZ279,ITEM_RES!$A:$A,0)-1,0),0)*BB279+IFERROR(OFFSET(ITEM_RES!$S$1,MATCH(BE279,ITEM_RES!$A:$A,0)-1,0),0)*BG279+IFERROR(OFFSET(ITEM_RES!$S$1,MATCH(BJ279,ITEM_RES!$A:$A,0)-1,0),0)*BL279+IFERROR(OFFSET(ITEM_RES!$S$1,MATCH(BO279,ITEM_RES!$A:$A,0)-1,0),0)*BQ279)/1000</f>
        <v>1100.1099999999999</v>
      </c>
      <c r="AK279" s="183">
        <f t="shared" ca="1" si="105"/>
        <v>2000</v>
      </c>
      <c r="AM279" s="11">
        <f t="shared" si="97"/>
        <v>75</v>
      </c>
      <c r="AN279" s="10">
        <v>75</v>
      </c>
      <c r="AO279" s="11">
        <f t="shared" si="104"/>
        <v>550</v>
      </c>
      <c r="AP279" s="10">
        <v>550</v>
      </c>
      <c r="AQ279" s="11">
        <f t="shared" si="104"/>
        <v>550</v>
      </c>
      <c r="AR279" s="10">
        <v>550</v>
      </c>
      <c r="AS279" s="56">
        <f t="shared" si="98"/>
        <v>2</v>
      </c>
      <c r="AU279" s="11">
        <f ca="1">IFERROR(OFFSET(ITEM_RES!$A$1,MATCH(AV279,ITEM_RES!$J:$J,0)-1,0),0)</f>
        <v>211020801</v>
      </c>
      <c r="AV279" s="10" t="s">
        <v>435</v>
      </c>
      <c r="AW279" s="11">
        <v>1</v>
      </c>
      <c r="AZ279" s="11">
        <f ca="1">IFERROR(OFFSET(ITEM_RES!$A$1,MATCH(BA279,ITEM_RES!$J:$J,0)-1,0),0)</f>
        <v>211020401</v>
      </c>
      <c r="BA279" s="10" t="s">
        <v>436</v>
      </c>
      <c r="BB279" s="11">
        <v>1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  <c r="BO279" s="11">
        <f ca="1">IFERROR(OFFSET(ITEM_RES!$A$1,MATCH(BP279,ITEM_RES!$J:$J,0)-1,0),0)</f>
        <v>0</v>
      </c>
      <c r="BQ279" s="11">
        <f t="shared" si="103"/>
        <v>0</v>
      </c>
    </row>
    <row r="280" spans="1:70" x14ac:dyDescent="0.3">
      <c r="A280" s="14">
        <f t="shared" si="100"/>
        <v>113050016</v>
      </c>
      <c r="B280" s="13">
        <v>11</v>
      </c>
      <c r="C280" s="12">
        <f t="shared" si="101"/>
        <v>3</v>
      </c>
      <c r="D280" s="13">
        <v>5</v>
      </c>
      <c r="E280" s="13">
        <v>0</v>
      </c>
      <c r="F280" s="12">
        <f t="shared" si="102"/>
        <v>16</v>
      </c>
      <c r="H280" s="9">
        <v>3</v>
      </c>
      <c r="I280" s="9">
        <v>16</v>
      </c>
      <c r="K280" s="9" t="s">
        <v>362</v>
      </c>
      <c r="M280" s="9" t="s">
        <v>954</v>
      </c>
      <c r="N280" s="9" t="s">
        <v>972</v>
      </c>
      <c r="O280" s="9">
        <v>0</v>
      </c>
      <c r="P280" s="9">
        <v>15</v>
      </c>
      <c r="Q280" s="142"/>
      <c r="U280" s="9" t="s">
        <v>711</v>
      </c>
      <c r="X280" s="9">
        <f ca="1">IFERROR(OFFSET(ITEM_RES!$A$5,MATCH(BUILDING!W280,ITEM_RES!$J$5:$J$226,0)-1,0),0)</f>
        <v>0</v>
      </c>
      <c r="AA280" s="9">
        <f ca="1">IFERROR(OFFSET(ITEM_RES!$A$5,MATCH(BUILDING!Z280,ITEM_RES!$J$5:$J$226,0)-1,0),0)</f>
        <v>0</v>
      </c>
      <c r="AC280" s="9" t="s">
        <v>520</v>
      </c>
      <c r="AD280" s="9">
        <v>16</v>
      </c>
      <c r="AF280" s="11">
        <f ca="1">IFERROR(OFFSET(MANOR_LEVEL!$B$1,MATCH(AG280-1,MANOR_LEVEL!$A:$A,0)-1,0),0)</f>
        <v>4232000</v>
      </c>
      <c r="AG280" s="56">
        <v>16</v>
      </c>
      <c r="AI280" s="56">
        <f t="shared" ca="1" si="95"/>
        <v>1400</v>
      </c>
      <c r="AJ280" s="10">
        <f ca="1">AO280+AQ280+(IFERROR(OFFSET(ITEM_RES!$S$1,MATCH(AU280,ITEM_RES!$A:$A,0)-1,0),0)*AW280+IFERROR(OFFSET(ITEM_RES!$S$1,MATCH(AZ280,ITEM_RES!$A:$A,0)-1,0),0)*BB280+IFERROR(OFFSET(ITEM_RES!$S$1,MATCH(BE280,ITEM_RES!$A:$A,0)-1,0),0)*BG280+IFERROR(OFFSET(ITEM_RES!$S$1,MATCH(BJ280,ITEM_RES!$A:$A,0)-1,0),0)*BL280+IFERROR(OFFSET(ITEM_RES!$S$1,MATCH(BO280,ITEM_RES!$A:$A,0)-1,0),0)*BQ280)/1000</f>
        <v>1400.11</v>
      </c>
      <c r="AK280" s="183">
        <f t="shared" ca="1" si="105"/>
        <v>2500</v>
      </c>
      <c r="AM280" s="11">
        <f t="shared" si="97"/>
        <v>80</v>
      </c>
      <c r="AN280" s="10">
        <v>80</v>
      </c>
      <c r="AO280" s="11">
        <f t="shared" si="104"/>
        <v>700</v>
      </c>
      <c r="AP280" s="10">
        <v>700</v>
      </c>
      <c r="AQ280" s="11">
        <f t="shared" si="104"/>
        <v>700</v>
      </c>
      <c r="AR280" s="10">
        <v>700</v>
      </c>
      <c r="AS280" s="56">
        <f t="shared" si="98"/>
        <v>2</v>
      </c>
      <c r="AU280" s="11">
        <f ca="1">IFERROR(OFFSET(ITEM_RES!$A$1,MATCH(AV280,ITEM_RES!$J:$J,0)-1,0),0)</f>
        <v>211020801</v>
      </c>
      <c r="AV280" s="10" t="s">
        <v>435</v>
      </c>
      <c r="AW280" s="11">
        <v>1</v>
      </c>
      <c r="AZ280" s="11">
        <f ca="1">IFERROR(OFFSET(ITEM_RES!$A$1,MATCH(BA280,ITEM_RES!$J:$J,0)-1,0),0)</f>
        <v>211020401</v>
      </c>
      <c r="BA280" s="10" t="s">
        <v>436</v>
      </c>
      <c r="BB280" s="11">
        <v>1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  <c r="BO280" s="11">
        <f ca="1">IFERROR(OFFSET(ITEM_RES!$A$1,MATCH(BP280,ITEM_RES!$J:$J,0)-1,0),0)</f>
        <v>0</v>
      </c>
      <c r="BQ280" s="11">
        <f t="shared" si="103"/>
        <v>0</v>
      </c>
    </row>
    <row r="281" spans="1:70" x14ac:dyDescent="0.3">
      <c r="A281" s="14">
        <f t="shared" si="100"/>
        <v>113050017</v>
      </c>
      <c r="B281" s="13">
        <v>11</v>
      </c>
      <c r="C281" s="12">
        <f t="shared" si="101"/>
        <v>3</v>
      </c>
      <c r="D281" s="13">
        <v>5</v>
      </c>
      <c r="E281" s="13">
        <v>0</v>
      </c>
      <c r="F281" s="12">
        <f t="shared" si="102"/>
        <v>17</v>
      </c>
      <c r="H281" s="9">
        <v>3</v>
      </c>
      <c r="I281" s="9">
        <v>17</v>
      </c>
      <c r="K281" s="9" t="s">
        <v>362</v>
      </c>
      <c r="M281" s="9" t="s">
        <v>954</v>
      </c>
      <c r="N281" s="9" t="s">
        <v>972</v>
      </c>
      <c r="O281" s="9">
        <v>0</v>
      </c>
      <c r="P281" s="9">
        <v>15</v>
      </c>
      <c r="Q281" s="142"/>
      <c r="U281" s="9" t="s">
        <v>711</v>
      </c>
      <c r="X281" s="9">
        <f ca="1">IFERROR(OFFSET(ITEM_RES!$A$5,MATCH(BUILDING!W281,ITEM_RES!$J$5:$J$226,0)-1,0),0)</f>
        <v>0</v>
      </c>
      <c r="AA281" s="9">
        <f ca="1">IFERROR(OFFSET(ITEM_RES!$A$5,MATCH(BUILDING!Z281,ITEM_RES!$J$5:$J$226,0)-1,0),0)</f>
        <v>0</v>
      </c>
      <c r="AC281" s="9" t="s">
        <v>520</v>
      </c>
      <c r="AD281" s="9">
        <v>17</v>
      </c>
      <c r="AF281" s="11">
        <f ca="1">IFERROR(OFFSET(MANOR_LEVEL!$B$1,MATCH(AG281-1,MANOR_LEVEL!$A:$A,0)-1,0),0)</f>
        <v>4232000</v>
      </c>
      <c r="AG281" s="56">
        <v>16</v>
      </c>
      <c r="AI281" s="56">
        <f t="shared" ca="1" si="95"/>
        <v>1700</v>
      </c>
      <c r="AJ281" s="10">
        <f ca="1">AO281+AQ281+(IFERROR(OFFSET(ITEM_RES!$S$1,MATCH(AU281,ITEM_RES!$A:$A,0)-1,0),0)*AW281+IFERROR(OFFSET(ITEM_RES!$S$1,MATCH(AZ281,ITEM_RES!$A:$A,0)-1,0),0)*BB281+IFERROR(OFFSET(ITEM_RES!$S$1,MATCH(BE281,ITEM_RES!$A:$A,0)-1,0),0)*BG281+IFERROR(OFFSET(ITEM_RES!$S$1,MATCH(BJ281,ITEM_RES!$A:$A,0)-1,0),0)*BL281+IFERROR(OFFSET(ITEM_RES!$S$1,MATCH(BO281,ITEM_RES!$A:$A,0)-1,0),0)*BQ281)/1000</f>
        <v>1700.21</v>
      </c>
      <c r="AK281" s="183">
        <f t="shared" ca="1" si="105"/>
        <v>3100</v>
      </c>
      <c r="AM281" s="11">
        <f t="shared" si="97"/>
        <v>85</v>
      </c>
      <c r="AN281" s="10">
        <v>85</v>
      </c>
      <c r="AO281" s="11">
        <f t="shared" si="104"/>
        <v>850</v>
      </c>
      <c r="AP281" s="10">
        <v>850</v>
      </c>
      <c r="AQ281" s="11">
        <f t="shared" si="104"/>
        <v>850</v>
      </c>
      <c r="AR281" s="10">
        <v>850</v>
      </c>
      <c r="AS281" s="56">
        <f t="shared" si="98"/>
        <v>2</v>
      </c>
      <c r="AU281" s="11">
        <f ca="1">IFERROR(OFFSET(ITEM_RES!$A$1,MATCH(AV281,ITEM_RES!$J:$J,0)-1,0),0)</f>
        <v>211020901</v>
      </c>
      <c r="AV281" s="10" t="s">
        <v>444</v>
      </c>
      <c r="AW281" s="11">
        <v>1</v>
      </c>
      <c r="AZ281" s="11">
        <f ca="1">IFERROR(OFFSET(ITEM_RES!$A$1,MATCH(BA281,ITEM_RES!$J:$J,0)-1,0),0)</f>
        <v>211020401</v>
      </c>
      <c r="BA281" s="10" t="s">
        <v>436</v>
      </c>
      <c r="BB281" s="11">
        <v>1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  <c r="BO281" s="11">
        <f ca="1">IFERROR(OFFSET(ITEM_RES!$A$1,MATCH(BP281,ITEM_RES!$J:$J,0)-1,0),0)</f>
        <v>0</v>
      </c>
      <c r="BQ281" s="11">
        <f t="shared" si="103"/>
        <v>0</v>
      </c>
    </row>
    <row r="282" spans="1:70" x14ac:dyDescent="0.3">
      <c r="A282" s="14">
        <f t="shared" si="100"/>
        <v>113050018</v>
      </c>
      <c r="B282" s="13">
        <v>11</v>
      </c>
      <c r="C282" s="12">
        <f t="shared" si="101"/>
        <v>3</v>
      </c>
      <c r="D282" s="13">
        <v>5</v>
      </c>
      <c r="E282" s="13">
        <v>0</v>
      </c>
      <c r="F282" s="12">
        <f t="shared" si="102"/>
        <v>18</v>
      </c>
      <c r="H282" s="9">
        <v>3</v>
      </c>
      <c r="I282" s="9">
        <v>18</v>
      </c>
      <c r="K282" s="9" t="s">
        <v>362</v>
      </c>
      <c r="M282" s="9" t="s">
        <v>954</v>
      </c>
      <c r="N282" s="9" t="s">
        <v>972</v>
      </c>
      <c r="O282" s="9">
        <v>0</v>
      </c>
      <c r="P282" s="9">
        <v>15</v>
      </c>
      <c r="Q282" s="142"/>
      <c r="U282" s="9" t="s">
        <v>711</v>
      </c>
      <c r="X282" s="9">
        <f ca="1">IFERROR(OFFSET(ITEM_RES!$A$5,MATCH(BUILDING!W282,ITEM_RES!$J$5:$J$226,0)-1,0),0)</f>
        <v>0</v>
      </c>
      <c r="AA282" s="9">
        <f ca="1">IFERROR(OFFSET(ITEM_RES!$A$5,MATCH(BUILDING!Z282,ITEM_RES!$J$5:$J$226,0)-1,0),0)</f>
        <v>0</v>
      </c>
      <c r="AC282" s="9" t="s">
        <v>520</v>
      </c>
      <c r="AD282" s="9">
        <v>18</v>
      </c>
      <c r="AF282" s="11">
        <f ca="1">IFERROR(OFFSET(MANOR_LEVEL!$B$1,MATCH(AG282-1,MANOR_LEVEL!$A:$A,0)-1,0),0)</f>
        <v>4232000</v>
      </c>
      <c r="AG282" s="56">
        <v>16</v>
      </c>
      <c r="AI282" s="56">
        <f t="shared" ref="AI282:AI365" ca="1" si="106">ROUND(AJ282,0)</f>
        <v>2100</v>
      </c>
      <c r="AJ282" s="10">
        <f ca="1">AO282+AQ282+(IFERROR(OFFSET(ITEM_RES!$S$1,MATCH(AU282,ITEM_RES!$A:$A,0)-1,0),0)*AW282+IFERROR(OFFSET(ITEM_RES!$S$1,MATCH(AZ282,ITEM_RES!$A:$A,0)-1,0),0)*BB282+IFERROR(OFFSET(ITEM_RES!$S$1,MATCH(BE282,ITEM_RES!$A:$A,0)-1,0),0)*BG282+IFERROR(OFFSET(ITEM_RES!$S$1,MATCH(BJ282,ITEM_RES!$A:$A,0)-1,0),0)*BL282+IFERROR(OFFSET(ITEM_RES!$S$1,MATCH(BO282,ITEM_RES!$A:$A,0)-1,0),0)*BQ282)/1000</f>
        <v>2100.4</v>
      </c>
      <c r="AK282" s="183">
        <f t="shared" ca="1" si="105"/>
        <v>3800</v>
      </c>
      <c r="AM282" s="11">
        <f t="shared" si="97"/>
        <v>90</v>
      </c>
      <c r="AN282" s="10">
        <v>90</v>
      </c>
      <c r="AO282" s="11">
        <f t="shared" si="104"/>
        <v>1050</v>
      </c>
      <c r="AP282" s="10">
        <v>1050</v>
      </c>
      <c r="AQ282" s="11">
        <f t="shared" si="104"/>
        <v>1050</v>
      </c>
      <c r="AR282" s="10">
        <v>1050</v>
      </c>
      <c r="AS282" s="56">
        <f t="shared" si="98"/>
        <v>2</v>
      </c>
      <c r="AU282" s="11">
        <f ca="1">IFERROR(OFFSET(ITEM_RES!$A$1,MATCH(AV282,ITEM_RES!$J:$J,0)-1,0),0)</f>
        <v>211020901</v>
      </c>
      <c r="AV282" s="10" t="s">
        <v>444</v>
      </c>
      <c r="AW282" s="11">
        <v>1</v>
      </c>
      <c r="AZ282" s="11">
        <f ca="1">IFERROR(OFFSET(ITEM_RES!$A$1,MATCH(BA282,ITEM_RES!$J:$J,0)-1,0),0)</f>
        <v>211020501</v>
      </c>
      <c r="BA282" s="10" t="s">
        <v>424</v>
      </c>
      <c r="BB282" s="11">
        <v>1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  <c r="BO282" s="11">
        <f ca="1">IFERROR(OFFSET(ITEM_RES!$A$1,MATCH(BP282,ITEM_RES!$J:$J,0)-1,0),0)</f>
        <v>0</v>
      </c>
      <c r="BQ282" s="11">
        <f t="shared" si="103"/>
        <v>0</v>
      </c>
    </row>
    <row r="283" spans="1:70" x14ac:dyDescent="0.3">
      <c r="A283" s="14">
        <f t="shared" si="100"/>
        <v>113050019</v>
      </c>
      <c r="B283" s="13">
        <v>11</v>
      </c>
      <c r="C283" s="12">
        <f t="shared" si="101"/>
        <v>3</v>
      </c>
      <c r="D283" s="13">
        <v>5</v>
      </c>
      <c r="E283" s="13">
        <v>0</v>
      </c>
      <c r="F283" s="12">
        <f t="shared" si="102"/>
        <v>19</v>
      </c>
      <c r="H283" s="9">
        <v>3</v>
      </c>
      <c r="I283" s="9">
        <v>19</v>
      </c>
      <c r="K283" s="9" t="s">
        <v>362</v>
      </c>
      <c r="M283" s="9" t="s">
        <v>954</v>
      </c>
      <c r="N283" s="9" t="s">
        <v>972</v>
      </c>
      <c r="O283" s="9">
        <v>0</v>
      </c>
      <c r="P283" s="9">
        <v>15</v>
      </c>
      <c r="Q283" s="142"/>
      <c r="U283" s="9" t="s">
        <v>711</v>
      </c>
      <c r="X283" s="9">
        <f ca="1">IFERROR(OFFSET(ITEM_RES!$A$5,MATCH(BUILDING!W283,ITEM_RES!$J$5:$J$226,0)-1,0),0)</f>
        <v>0</v>
      </c>
      <c r="AA283" s="9">
        <f ca="1">IFERROR(OFFSET(ITEM_RES!$A$5,MATCH(BUILDING!Z283,ITEM_RES!$J$5:$J$226,0)-1,0),0)</f>
        <v>0</v>
      </c>
      <c r="AC283" s="9" t="s">
        <v>520</v>
      </c>
      <c r="AD283" s="9">
        <v>19</v>
      </c>
      <c r="AF283" s="11">
        <f ca="1">IFERROR(OFFSET(MANOR_LEVEL!$B$1,MATCH(AG283-1,MANOR_LEVEL!$A:$A,0)-1,0),0)</f>
        <v>4232000</v>
      </c>
      <c r="AG283" s="56">
        <v>16</v>
      </c>
      <c r="AI283" s="56">
        <f t="shared" ca="1" si="106"/>
        <v>2500</v>
      </c>
      <c r="AJ283" s="10">
        <f ca="1">AO283+AQ283+(IFERROR(OFFSET(ITEM_RES!$S$1,MATCH(AU283,ITEM_RES!$A:$A,0)-1,0),0)*AW283+IFERROR(OFFSET(ITEM_RES!$S$1,MATCH(AZ283,ITEM_RES!$A:$A,0)-1,0),0)*BB283+IFERROR(OFFSET(ITEM_RES!$S$1,MATCH(BE283,ITEM_RES!$A:$A,0)-1,0),0)*BG283+IFERROR(OFFSET(ITEM_RES!$S$1,MATCH(BJ283,ITEM_RES!$A:$A,0)-1,0),0)*BL283+IFERROR(OFFSET(ITEM_RES!$S$1,MATCH(BO283,ITEM_RES!$A:$A,0)-1,0),0)*BQ283)/1000</f>
        <v>2500.4</v>
      </c>
      <c r="AK283" s="183">
        <f t="shared" ca="1" si="105"/>
        <v>4600</v>
      </c>
      <c r="AM283" s="11">
        <f t="shared" si="97"/>
        <v>95</v>
      </c>
      <c r="AN283" s="10">
        <v>95</v>
      </c>
      <c r="AO283" s="11">
        <f t="shared" si="104"/>
        <v>1250</v>
      </c>
      <c r="AP283" s="10">
        <v>1250</v>
      </c>
      <c r="AQ283" s="11">
        <f t="shared" si="104"/>
        <v>1250</v>
      </c>
      <c r="AR283" s="10">
        <v>1250</v>
      </c>
      <c r="AS283" s="56">
        <f t="shared" si="98"/>
        <v>2</v>
      </c>
      <c r="AU283" s="11">
        <f ca="1">IFERROR(OFFSET(ITEM_RES!$A$1,MATCH(AV283,ITEM_RES!$J:$J,0)-1,0),0)</f>
        <v>211020901</v>
      </c>
      <c r="AV283" s="10" t="s">
        <v>444</v>
      </c>
      <c r="AW283" s="11">
        <v>1</v>
      </c>
      <c r="AZ283" s="11">
        <f ca="1">IFERROR(OFFSET(ITEM_RES!$A$1,MATCH(BA283,ITEM_RES!$J:$J,0)-1,0),0)</f>
        <v>211020501</v>
      </c>
      <c r="BA283" s="10" t="s">
        <v>424</v>
      </c>
      <c r="BB283" s="11">
        <v>1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  <c r="BO283" s="11">
        <f ca="1">IFERROR(OFFSET(ITEM_RES!$A$1,MATCH(BP283,ITEM_RES!$J:$J,0)-1,0),0)</f>
        <v>0</v>
      </c>
      <c r="BQ283" s="11">
        <f t="shared" si="103"/>
        <v>0</v>
      </c>
    </row>
    <row r="284" spans="1:70" ht="17.25" thickBot="1" x14ac:dyDescent="0.35">
      <c r="A284" s="14">
        <f t="shared" si="100"/>
        <v>113050020</v>
      </c>
      <c r="B284" s="13">
        <v>11</v>
      </c>
      <c r="C284" s="12">
        <f t="shared" si="101"/>
        <v>3</v>
      </c>
      <c r="D284" s="13">
        <v>5</v>
      </c>
      <c r="E284" s="13">
        <v>0</v>
      </c>
      <c r="F284" s="12">
        <f t="shared" si="102"/>
        <v>20</v>
      </c>
      <c r="H284" s="9">
        <v>3</v>
      </c>
      <c r="I284" s="9">
        <v>20</v>
      </c>
      <c r="K284" s="9" t="s">
        <v>362</v>
      </c>
      <c r="M284" s="9" t="s">
        <v>1182</v>
      </c>
      <c r="N284" s="9" t="s">
        <v>972</v>
      </c>
      <c r="O284" s="9">
        <v>0</v>
      </c>
      <c r="P284" s="9">
        <v>15</v>
      </c>
      <c r="Q284" s="142"/>
      <c r="U284" s="9" t="s">
        <v>711</v>
      </c>
      <c r="X284" s="9">
        <f ca="1">IFERROR(OFFSET(ITEM_RES!$A$5,MATCH(BUILDING!W284,ITEM_RES!$J$5:$J$226,0)-1,0),0)</f>
        <v>0</v>
      </c>
      <c r="AA284" s="9">
        <f ca="1">IFERROR(OFFSET(ITEM_RES!$A$5,MATCH(BUILDING!Z284,ITEM_RES!$J$5:$J$226,0)-1,0),0)</f>
        <v>0</v>
      </c>
      <c r="AC284" s="9" t="s">
        <v>520</v>
      </c>
      <c r="AD284" s="9">
        <v>20</v>
      </c>
      <c r="AF284" s="11">
        <f ca="1">IFERROR(OFFSET(MANOR_LEVEL!$B$1,MATCH(AG284-1,MANOR_LEVEL!$A:$A,0)-1,0),0)</f>
        <v>4232000</v>
      </c>
      <c r="AG284" s="56">
        <v>16</v>
      </c>
      <c r="AI284" s="56">
        <f t="shared" ca="1" si="106"/>
        <v>3000</v>
      </c>
      <c r="AJ284" s="10">
        <f ca="1">AO284+AQ284+(IFERROR(OFFSET(ITEM_RES!$S$1,MATCH(AU284,ITEM_RES!$A:$A,0)-1,0),0)*AW284+IFERROR(OFFSET(ITEM_RES!$S$1,MATCH(AZ284,ITEM_RES!$A:$A,0)-1,0),0)*BB284+IFERROR(OFFSET(ITEM_RES!$S$1,MATCH(BE284,ITEM_RES!$A:$A,0)-1,0),0)*BG284+IFERROR(OFFSET(ITEM_RES!$S$1,MATCH(BJ284,ITEM_RES!$A:$A,0)-1,0),0)*BL284+IFERROR(OFFSET(ITEM_RES!$S$1,MATCH(BO284,ITEM_RES!$A:$A,0)-1,0),0)*BQ284)/1000</f>
        <v>3000.4</v>
      </c>
      <c r="AK284" s="183">
        <f t="shared" ca="1" si="105"/>
        <v>5500</v>
      </c>
      <c r="AM284" s="11">
        <f t="shared" si="97"/>
        <v>100</v>
      </c>
      <c r="AN284" s="10">
        <v>100</v>
      </c>
      <c r="AO284" s="11">
        <f t="shared" si="104"/>
        <v>1500</v>
      </c>
      <c r="AP284" s="10">
        <v>1500</v>
      </c>
      <c r="AQ284" s="11">
        <f t="shared" si="104"/>
        <v>1500</v>
      </c>
      <c r="AR284" s="10">
        <v>1500</v>
      </c>
      <c r="AS284" s="56">
        <f t="shared" si="98"/>
        <v>2</v>
      </c>
      <c r="AU284" s="11">
        <f ca="1">IFERROR(OFFSET(ITEM_RES!$A$1,MATCH(AV284,ITEM_RES!$J:$J,0)-1,0),0)</f>
        <v>211020901</v>
      </c>
      <c r="AV284" s="10" t="s">
        <v>444</v>
      </c>
      <c r="AW284" s="11">
        <v>1</v>
      </c>
      <c r="AZ284" s="11">
        <f ca="1">IFERROR(OFFSET(ITEM_RES!$A$1,MATCH(BA284,ITEM_RES!$J:$J,0)-1,0),0)</f>
        <v>211020501</v>
      </c>
      <c r="BA284" s="10" t="s">
        <v>424</v>
      </c>
      <c r="BB284" s="11">
        <v>1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  <c r="BO284" s="11">
        <f ca="1">IFERROR(OFFSET(ITEM_RES!$A$1,MATCH(BP284,ITEM_RES!$J:$J,0)-1,0),0)</f>
        <v>0</v>
      </c>
      <c r="BQ284" s="11">
        <f t="shared" si="103"/>
        <v>0</v>
      </c>
    </row>
    <row r="285" spans="1:70" s="15" customFormat="1" x14ac:dyDescent="0.3">
      <c r="A285" s="21">
        <f t="shared" ref="A285:A304" si="107">B285*10000000+C285*1000000+D285*10000+E285*100+F285</f>
        <v>113060001</v>
      </c>
      <c r="B285" s="20">
        <v>11</v>
      </c>
      <c r="C285" s="19">
        <f t="shared" ref="C285:C304" si="108">H285</f>
        <v>3</v>
      </c>
      <c r="D285" s="20">
        <v>6</v>
      </c>
      <c r="E285" s="20">
        <v>0</v>
      </c>
      <c r="F285" s="19">
        <f t="shared" ref="F285:F304" si="109">I285</f>
        <v>1</v>
      </c>
      <c r="G285" s="79"/>
      <c r="H285" s="16">
        <v>3</v>
      </c>
      <c r="I285" s="16">
        <v>1</v>
      </c>
      <c r="J285" s="79"/>
      <c r="K285" s="16" t="s">
        <v>1175</v>
      </c>
      <c r="L285" s="16">
        <v>10</v>
      </c>
      <c r="M285" s="16" t="s">
        <v>1183</v>
      </c>
      <c r="N285" s="16"/>
      <c r="O285" s="16">
        <v>1</v>
      </c>
      <c r="P285" s="16">
        <v>15</v>
      </c>
      <c r="Q285" s="141" t="s">
        <v>1181</v>
      </c>
      <c r="R285" s="17"/>
      <c r="S285" s="17"/>
      <c r="T285" s="18"/>
      <c r="U285" s="16" t="s">
        <v>1176</v>
      </c>
      <c r="V285" s="79"/>
      <c r="W285" s="87"/>
      <c r="X285" s="16">
        <f ca="1">IFERROR(OFFSET(ITEM_RES!$A$5,MATCH(BUILDING!W285,ITEM_RES!$J$5:$J$226,0)-1,0),0)</f>
        <v>0</v>
      </c>
      <c r="Y285" s="18"/>
      <c r="Z285" s="87"/>
      <c r="AA285" s="16">
        <f ca="1">IFERROR(OFFSET(ITEM_RES!$A$5,MATCH(BUILDING!Z285,ITEM_RES!$J$5:$J$226,0)-1,0),0)</f>
        <v>0</v>
      </c>
      <c r="AB285" s="79"/>
      <c r="AC285" s="16" t="s">
        <v>1180</v>
      </c>
      <c r="AD285" s="16">
        <v>1</v>
      </c>
      <c r="AE285" s="79"/>
      <c r="AF285" s="18">
        <f ca="1">IFERROR(OFFSET(MANOR_LEVEL!$B$1,MATCH(AG285-1,MANOR_LEVEL!$A:$A,0)-1,0),0)</f>
        <v>311600</v>
      </c>
      <c r="AG285" s="57">
        <v>10</v>
      </c>
      <c r="AH285" s="79"/>
      <c r="AI285" s="57">
        <f t="shared" ca="1" si="106"/>
        <v>110</v>
      </c>
      <c r="AJ285" s="17">
        <f ca="1">AO285+AQ285+(IFERROR(OFFSET(ITEM_RES!$S$1,MATCH(AU285,ITEM_RES!$A:$A,0)-1,0),0)*AW285+IFERROR(OFFSET(ITEM_RES!$S$1,MATCH(AZ285,ITEM_RES!$A:$A,0)-1,0),0)*BB285+IFERROR(OFFSET(ITEM_RES!$S$1,MATCH(BE285,ITEM_RES!$A:$A,0)-1,0),0)*BG285+IFERROR(OFFSET(ITEM_RES!$S$1,MATCH(BJ285,ITEM_RES!$A:$A,0)-1,0),0)*BL285+IFERROR(OFFSET(ITEM_RES!$S$1,MATCH(BO285,ITEM_RES!$A:$A,0)-1,0),0)*BQ285)/1000</f>
        <v>110.1</v>
      </c>
      <c r="AK285" s="185">
        <f ca="1">AI285</f>
        <v>110</v>
      </c>
      <c r="AL285" s="79"/>
      <c r="AM285" s="18">
        <f t="shared" ref="AM285:AM304" si="110">ROUND(AN285,0)</f>
        <v>5</v>
      </c>
      <c r="AN285" s="17">
        <v>5</v>
      </c>
      <c r="AO285" s="18">
        <f t="shared" ref="AO285:AO304" si="111">ROUND(AP285,0)</f>
        <v>5</v>
      </c>
      <c r="AP285" s="17">
        <v>5</v>
      </c>
      <c r="AQ285" s="18">
        <f t="shared" ref="AQ285:AQ304" si="112">ROUND(AR285,0)</f>
        <v>5</v>
      </c>
      <c r="AR285" s="17">
        <v>5</v>
      </c>
      <c r="AS285" s="57">
        <f t="shared" ref="AS285:AS304" si="113">(AW285&gt;0)*1+(BB285&gt;0)*1+(BG285&gt;0)*1+(BL285&gt;0)*1+(BQ285&gt;0)*1</f>
        <v>2</v>
      </c>
      <c r="AT285" s="18"/>
      <c r="AU285" s="18">
        <f ca="1">IFERROR(OFFSET(ITEM_RES!$A$1,MATCH(AV285,ITEM_RES!$J:$J,0)-1,0),0)</f>
        <v>211020801</v>
      </c>
      <c r="AV285" s="17" t="s">
        <v>392</v>
      </c>
      <c r="AW285" s="18">
        <v>1</v>
      </c>
      <c r="AX285" s="17"/>
      <c r="AY285" s="18"/>
      <c r="AZ285" s="18">
        <f ca="1">IFERROR(OFFSET(ITEM_RES!$A$1,MATCH(BA285,ITEM_RES!$J:$J,0)-1,0),0)</f>
        <v>0</v>
      </c>
      <c r="BA285" s="17"/>
      <c r="BB285" s="18"/>
      <c r="BC285" s="17"/>
      <c r="BD285" s="18"/>
      <c r="BE285" s="18">
        <f ca="1">IFERROR(OFFSET(ITEM_RES!$A$1,MATCH(BF285,ITEM_RES!$J:$J,0)-1,0),0)</f>
        <v>213010101</v>
      </c>
      <c r="BF285" s="17" t="s">
        <v>395</v>
      </c>
      <c r="BG285" s="18">
        <v>1</v>
      </c>
      <c r="BH285" s="17"/>
      <c r="BI285" s="18"/>
      <c r="BJ285" s="18">
        <f ca="1">IFERROR(OFFSET(ITEM_RES!$A$1,MATCH(BK285,ITEM_RES!$J:$J,0)-1,0),0)</f>
        <v>0</v>
      </c>
      <c r="BK285" s="17"/>
      <c r="BL285" s="18"/>
      <c r="BM285" s="17"/>
      <c r="BN285" s="18"/>
      <c r="BO285" s="18">
        <f ca="1">IFERROR(OFFSET(ITEM_RES!$A$1,MATCH(BP285,ITEM_RES!$J:$J,0)-1,0),0)</f>
        <v>0</v>
      </c>
      <c r="BP285" s="17"/>
      <c r="BQ285" s="18">
        <f t="shared" ref="BQ285:BQ304" si="114">IF(BR285&lt;100,ROUND(BR285,1-LEN(ROUND(BR285,0))),ROUND(BR285,2-LEN(ROUND(BR285,0))))</f>
        <v>0</v>
      </c>
      <c r="BR285" s="17"/>
    </row>
    <row r="286" spans="1:70" x14ac:dyDescent="0.3">
      <c r="A286" s="14">
        <f t="shared" si="107"/>
        <v>113060002</v>
      </c>
      <c r="B286" s="13">
        <v>11</v>
      </c>
      <c r="C286" s="12">
        <f t="shared" si="108"/>
        <v>3</v>
      </c>
      <c r="D286" s="13">
        <v>6</v>
      </c>
      <c r="E286" s="13">
        <v>0</v>
      </c>
      <c r="F286" s="12">
        <f t="shared" si="109"/>
        <v>2</v>
      </c>
      <c r="H286" s="9">
        <v>3</v>
      </c>
      <c r="I286" s="9">
        <v>2</v>
      </c>
      <c r="K286" s="9" t="s">
        <v>1175</v>
      </c>
      <c r="M286" s="9" t="s">
        <v>1183</v>
      </c>
      <c r="O286" s="9">
        <v>1</v>
      </c>
      <c r="P286" s="9">
        <v>15</v>
      </c>
      <c r="Q286" s="142" t="s">
        <v>1181</v>
      </c>
      <c r="U286" s="9" t="s">
        <v>1176</v>
      </c>
      <c r="X286" s="9">
        <f ca="1">IFERROR(OFFSET(ITEM_RES!$A$5,MATCH(BUILDING!W286,ITEM_RES!$J$5:$J$226,0)-1,0),0)</f>
        <v>0</v>
      </c>
      <c r="AA286" s="9">
        <f ca="1">IFERROR(OFFSET(ITEM_RES!$A$5,MATCH(BUILDING!Z286,ITEM_RES!$J$5:$J$226,0)-1,0),0)</f>
        <v>0</v>
      </c>
      <c r="AC286" s="9" t="s">
        <v>1179</v>
      </c>
      <c r="AD286" s="9">
        <v>2</v>
      </c>
      <c r="AF286" s="11">
        <f ca="1">IFERROR(OFFSET(MANOR_LEVEL!$B$1,MATCH(AG286-1,MANOR_LEVEL!$A:$A,0)-1,0),0)</f>
        <v>456800</v>
      </c>
      <c r="AG286" s="56">
        <v>11</v>
      </c>
      <c r="AI286" s="56">
        <f t="shared" ca="1" si="106"/>
        <v>20</v>
      </c>
      <c r="AJ286" s="10">
        <f ca="1">AO286+AQ286+(IFERROR(OFFSET(ITEM_RES!$S$1,MATCH(AU286,ITEM_RES!$A:$A,0)-1,0),0)*AW286+IFERROR(OFFSET(ITEM_RES!$S$1,MATCH(AZ286,ITEM_RES!$A:$A,0)-1,0),0)*BB286+IFERROR(OFFSET(ITEM_RES!$S$1,MATCH(BE286,ITEM_RES!$A:$A,0)-1,0),0)*BG286+IFERROR(OFFSET(ITEM_RES!$S$1,MATCH(BJ286,ITEM_RES!$A:$A,0)-1,0),0)*BL286+IFERROR(OFFSET(ITEM_RES!$S$1,MATCH(BO286,ITEM_RES!$A:$A,0)-1,0),0)*BQ286)/1000</f>
        <v>20.100000000000001</v>
      </c>
      <c r="AK286" s="183">
        <f ca="1">AI285+AI286</f>
        <v>130</v>
      </c>
      <c r="AM286" s="11">
        <f t="shared" si="110"/>
        <v>10</v>
      </c>
      <c r="AN286" s="10">
        <v>10</v>
      </c>
      <c r="AO286" s="11">
        <f t="shared" si="111"/>
        <v>10</v>
      </c>
      <c r="AP286" s="10">
        <v>10</v>
      </c>
      <c r="AQ286" s="11">
        <f t="shared" si="112"/>
        <v>10</v>
      </c>
      <c r="AR286" s="10">
        <v>10</v>
      </c>
      <c r="AS286" s="56">
        <f t="shared" si="113"/>
        <v>1</v>
      </c>
      <c r="AU286" s="11">
        <f ca="1">IFERROR(OFFSET(ITEM_RES!$A$1,MATCH(AV286,ITEM_RES!$J:$J,0)-1,0),0)</f>
        <v>211020801</v>
      </c>
      <c r="AV286" s="10" t="s">
        <v>392</v>
      </c>
      <c r="AW286" s="11">
        <v>1</v>
      </c>
      <c r="AZ286" s="11">
        <f ca="1">IFERROR(OFFSET(ITEM_RES!$A$1,MATCH(BA286,ITEM_RES!$J:$J,0)-1,0),0)</f>
        <v>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  <c r="BO286" s="11">
        <f ca="1">IFERROR(OFFSET(ITEM_RES!$A$1,MATCH(BP286,ITEM_RES!$J:$J,0)-1,0),0)</f>
        <v>0</v>
      </c>
      <c r="BQ286" s="11">
        <f t="shared" si="114"/>
        <v>0</v>
      </c>
    </row>
    <row r="287" spans="1:70" x14ac:dyDescent="0.3">
      <c r="A287" s="14">
        <f t="shared" si="107"/>
        <v>113060003</v>
      </c>
      <c r="B287" s="13">
        <v>11</v>
      </c>
      <c r="C287" s="12">
        <f t="shared" si="108"/>
        <v>3</v>
      </c>
      <c r="D287" s="13">
        <v>6</v>
      </c>
      <c r="E287" s="13">
        <v>0</v>
      </c>
      <c r="F287" s="12">
        <f t="shared" si="109"/>
        <v>3</v>
      </c>
      <c r="H287" s="9">
        <v>3</v>
      </c>
      <c r="I287" s="9">
        <v>3</v>
      </c>
      <c r="K287" s="9" t="s">
        <v>1175</v>
      </c>
      <c r="M287" s="9" t="s">
        <v>1183</v>
      </c>
      <c r="O287" s="9">
        <v>1</v>
      </c>
      <c r="P287" s="9">
        <v>15</v>
      </c>
      <c r="Q287" s="142" t="s">
        <v>1181</v>
      </c>
      <c r="U287" s="9" t="s">
        <v>1176</v>
      </c>
      <c r="X287" s="9">
        <f ca="1">IFERROR(OFFSET(ITEM_RES!$A$5,MATCH(BUILDING!W287,ITEM_RES!$J$5:$J$226,0)-1,0),0)</f>
        <v>0</v>
      </c>
      <c r="AA287" s="9">
        <f ca="1">IFERROR(OFFSET(ITEM_RES!$A$5,MATCH(BUILDING!Z287,ITEM_RES!$J$5:$J$226,0)-1,0),0)</f>
        <v>0</v>
      </c>
      <c r="AC287" s="9" t="s">
        <v>1179</v>
      </c>
      <c r="AD287" s="9">
        <v>3</v>
      </c>
      <c r="AF287" s="11">
        <f ca="1">IFERROR(OFFSET(MANOR_LEVEL!$B$1,MATCH(AG287-1,MANOR_LEVEL!$A:$A,0)-1,0),0)</f>
        <v>456800</v>
      </c>
      <c r="AG287" s="56">
        <v>11</v>
      </c>
      <c r="AI287" s="56">
        <f t="shared" ca="1" si="106"/>
        <v>30</v>
      </c>
      <c r="AJ287" s="10">
        <f ca="1">AO287+AQ287+(IFERROR(OFFSET(ITEM_RES!$S$1,MATCH(AU287,ITEM_RES!$A:$A,0)-1,0),0)*AW287+IFERROR(OFFSET(ITEM_RES!$S$1,MATCH(AZ287,ITEM_RES!$A:$A,0)-1,0),0)*BB287+IFERROR(OFFSET(ITEM_RES!$S$1,MATCH(BE287,ITEM_RES!$A:$A,0)-1,0),0)*BG287+IFERROR(OFFSET(ITEM_RES!$S$1,MATCH(BJ287,ITEM_RES!$A:$A,0)-1,0),0)*BL287+IFERROR(OFFSET(ITEM_RES!$S$1,MATCH(BO287,ITEM_RES!$A:$A,0)-1,0),0)*BQ287)/1000</f>
        <v>30.1</v>
      </c>
      <c r="AK287" s="183">
        <f t="shared" ref="AK287:AK304" ca="1" si="115">AI286+AI287</f>
        <v>50</v>
      </c>
      <c r="AM287" s="11">
        <f t="shared" si="110"/>
        <v>15</v>
      </c>
      <c r="AN287" s="10">
        <v>15</v>
      </c>
      <c r="AO287" s="11">
        <f t="shared" si="111"/>
        <v>15</v>
      </c>
      <c r="AP287" s="10">
        <v>15</v>
      </c>
      <c r="AQ287" s="11">
        <f t="shared" si="112"/>
        <v>15</v>
      </c>
      <c r="AR287" s="10">
        <v>15</v>
      </c>
      <c r="AS287" s="56">
        <f t="shared" si="113"/>
        <v>1</v>
      </c>
      <c r="AU287" s="11">
        <f ca="1">IFERROR(OFFSET(ITEM_RES!$A$1,MATCH(AV287,ITEM_RES!$J:$J,0)-1,0),0)</f>
        <v>211020801</v>
      </c>
      <c r="AV287" s="10" t="s">
        <v>392</v>
      </c>
      <c r="AW287" s="11">
        <v>1</v>
      </c>
      <c r="AZ287" s="11">
        <f ca="1">IFERROR(OFFSET(ITEM_RES!$A$1,MATCH(BA287,ITEM_RES!$J:$J,0)-1,0),0)</f>
        <v>0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  <c r="BO287" s="11">
        <f ca="1">IFERROR(OFFSET(ITEM_RES!$A$1,MATCH(BP287,ITEM_RES!$J:$J,0)-1,0),0)</f>
        <v>0</v>
      </c>
      <c r="BQ287" s="11">
        <f t="shared" si="114"/>
        <v>0</v>
      </c>
    </row>
    <row r="288" spans="1:70" x14ac:dyDescent="0.3">
      <c r="A288" s="14">
        <f t="shared" si="107"/>
        <v>113060004</v>
      </c>
      <c r="B288" s="13">
        <v>11</v>
      </c>
      <c r="C288" s="12">
        <f t="shared" si="108"/>
        <v>3</v>
      </c>
      <c r="D288" s="13">
        <v>6</v>
      </c>
      <c r="E288" s="13">
        <v>0</v>
      </c>
      <c r="F288" s="12">
        <f t="shared" si="109"/>
        <v>4</v>
      </c>
      <c r="H288" s="9">
        <v>3</v>
      </c>
      <c r="I288" s="9">
        <v>4</v>
      </c>
      <c r="K288" s="9" t="s">
        <v>1175</v>
      </c>
      <c r="M288" s="9" t="s">
        <v>1183</v>
      </c>
      <c r="O288" s="9">
        <v>1</v>
      </c>
      <c r="P288" s="9">
        <v>15</v>
      </c>
      <c r="Q288" s="142" t="s">
        <v>1181</v>
      </c>
      <c r="U288" s="9" t="s">
        <v>1176</v>
      </c>
      <c r="X288" s="9">
        <f ca="1">IFERROR(OFFSET(ITEM_RES!$A$5,MATCH(BUILDING!W288,ITEM_RES!$J$5:$J$226,0)-1,0),0)</f>
        <v>0</v>
      </c>
      <c r="AA288" s="9">
        <f ca="1">IFERROR(OFFSET(ITEM_RES!$A$5,MATCH(BUILDING!Z288,ITEM_RES!$J$5:$J$226,0)-1,0),0)</f>
        <v>0</v>
      </c>
      <c r="AC288" s="9" t="s">
        <v>1179</v>
      </c>
      <c r="AD288" s="9">
        <v>4</v>
      </c>
      <c r="AF288" s="11">
        <f ca="1">IFERROR(OFFSET(MANOR_LEVEL!$B$1,MATCH(AG288-1,MANOR_LEVEL!$A:$A,0)-1,0),0)</f>
        <v>456800</v>
      </c>
      <c r="AG288" s="56">
        <v>11</v>
      </c>
      <c r="AI288" s="56">
        <f t="shared" ca="1" si="106"/>
        <v>50</v>
      </c>
      <c r="AJ288" s="10">
        <f ca="1">AO288+AQ288+(IFERROR(OFFSET(ITEM_RES!$S$1,MATCH(AU288,ITEM_RES!$A:$A,0)-1,0),0)*AW288+IFERROR(OFFSET(ITEM_RES!$S$1,MATCH(AZ288,ITEM_RES!$A:$A,0)-1,0),0)*BB288+IFERROR(OFFSET(ITEM_RES!$S$1,MATCH(BE288,ITEM_RES!$A:$A,0)-1,0),0)*BG288+IFERROR(OFFSET(ITEM_RES!$S$1,MATCH(BJ288,ITEM_RES!$A:$A,0)-1,0),0)*BL288+IFERROR(OFFSET(ITEM_RES!$S$1,MATCH(BO288,ITEM_RES!$A:$A,0)-1,0),0)*BQ288)/1000</f>
        <v>50.1</v>
      </c>
      <c r="AK288" s="183">
        <f t="shared" ca="1" si="115"/>
        <v>80</v>
      </c>
      <c r="AM288" s="11">
        <f t="shared" si="110"/>
        <v>20</v>
      </c>
      <c r="AN288" s="10">
        <v>20</v>
      </c>
      <c r="AO288" s="11">
        <f t="shared" si="111"/>
        <v>25</v>
      </c>
      <c r="AP288" s="10">
        <v>25</v>
      </c>
      <c r="AQ288" s="11">
        <f t="shared" si="112"/>
        <v>25</v>
      </c>
      <c r="AR288" s="10">
        <v>25</v>
      </c>
      <c r="AS288" s="56">
        <f t="shared" si="113"/>
        <v>1</v>
      </c>
      <c r="AU288" s="11">
        <f ca="1">IFERROR(OFFSET(ITEM_RES!$A$1,MATCH(AV288,ITEM_RES!$J:$J,0)-1,0),0)</f>
        <v>211020801</v>
      </c>
      <c r="AV288" s="10" t="s">
        <v>392</v>
      </c>
      <c r="AW288" s="11">
        <v>1</v>
      </c>
      <c r="AZ288" s="11">
        <f ca="1">IFERROR(OFFSET(ITEM_RES!$A$1,MATCH(BA288,ITEM_RES!$J:$J,0)-1,0),0)</f>
        <v>0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  <c r="BO288" s="11">
        <f ca="1">IFERROR(OFFSET(ITEM_RES!$A$1,MATCH(BP288,ITEM_RES!$J:$J,0)-1,0),0)</f>
        <v>0</v>
      </c>
      <c r="BQ288" s="11">
        <f t="shared" si="114"/>
        <v>0</v>
      </c>
    </row>
    <row r="289" spans="1:69" x14ac:dyDescent="0.3">
      <c r="A289" s="14">
        <f t="shared" si="107"/>
        <v>113060005</v>
      </c>
      <c r="B289" s="13">
        <v>11</v>
      </c>
      <c r="C289" s="12">
        <f t="shared" si="108"/>
        <v>3</v>
      </c>
      <c r="D289" s="13">
        <v>6</v>
      </c>
      <c r="E289" s="13">
        <v>0</v>
      </c>
      <c r="F289" s="12">
        <f t="shared" si="109"/>
        <v>5</v>
      </c>
      <c r="H289" s="9">
        <v>3</v>
      </c>
      <c r="I289" s="9">
        <v>5</v>
      </c>
      <c r="K289" s="9" t="s">
        <v>1175</v>
      </c>
      <c r="M289" s="9" t="s">
        <v>1183</v>
      </c>
      <c r="O289" s="9">
        <v>1</v>
      </c>
      <c r="P289" s="9">
        <v>15</v>
      </c>
      <c r="Q289" s="142" t="s">
        <v>1181</v>
      </c>
      <c r="U289" s="9" t="s">
        <v>1176</v>
      </c>
      <c r="X289" s="9">
        <f ca="1">IFERROR(OFFSET(ITEM_RES!$A$5,MATCH(BUILDING!W289,ITEM_RES!$J$5:$J$226,0)-1,0),0)</f>
        <v>0</v>
      </c>
      <c r="AA289" s="9">
        <f ca="1">IFERROR(OFFSET(ITEM_RES!$A$5,MATCH(BUILDING!Z289,ITEM_RES!$J$5:$J$226,0)-1,0),0)</f>
        <v>0</v>
      </c>
      <c r="AC289" s="9" t="s">
        <v>1179</v>
      </c>
      <c r="AD289" s="9">
        <v>5</v>
      </c>
      <c r="AF289" s="11">
        <f ca="1">IFERROR(OFFSET(MANOR_LEVEL!$B$1,MATCH(AG289-1,MANOR_LEVEL!$A:$A,0)-1,0),0)</f>
        <v>456800</v>
      </c>
      <c r="AG289" s="56">
        <v>11</v>
      </c>
      <c r="AI289" s="56">
        <f t="shared" ca="1" si="106"/>
        <v>80</v>
      </c>
      <c r="AJ289" s="10">
        <f ca="1">AO289+AQ289+(IFERROR(OFFSET(ITEM_RES!$S$1,MATCH(AU289,ITEM_RES!$A:$A,0)-1,0),0)*AW289+IFERROR(OFFSET(ITEM_RES!$S$1,MATCH(AZ289,ITEM_RES!$A:$A,0)-1,0),0)*BB289+IFERROR(OFFSET(ITEM_RES!$S$1,MATCH(BE289,ITEM_RES!$A:$A,0)-1,0),0)*BG289+IFERROR(OFFSET(ITEM_RES!$S$1,MATCH(BJ289,ITEM_RES!$A:$A,0)-1,0),0)*BL289+IFERROR(OFFSET(ITEM_RES!$S$1,MATCH(BO289,ITEM_RES!$A:$A,0)-1,0),0)*BQ289)/1000</f>
        <v>80.099999999999994</v>
      </c>
      <c r="AK289" s="183">
        <f t="shared" ca="1" si="115"/>
        <v>130</v>
      </c>
      <c r="AM289" s="11">
        <f t="shared" si="110"/>
        <v>25</v>
      </c>
      <c r="AN289" s="10">
        <v>25</v>
      </c>
      <c r="AO289" s="11">
        <f t="shared" si="111"/>
        <v>40</v>
      </c>
      <c r="AP289" s="10">
        <v>40</v>
      </c>
      <c r="AQ289" s="11">
        <f t="shared" si="112"/>
        <v>40</v>
      </c>
      <c r="AR289" s="10">
        <v>40</v>
      </c>
      <c r="AS289" s="56">
        <f t="shared" si="113"/>
        <v>1</v>
      </c>
      <c r="AU289" s="11">
        <f ca="1">IFERROR(OFFSET(ITEM_RES!$A$1,MATCH(AV289,ITEM_RES!$J:$J,0)-1,0),0)</f>
        <v>211020801</v>
      </c>
      <c r="AV289" s="10" t="s">
        <v>392</v>
      </c>
      <c r="AW289" s="11">
        <v>1</v>
      </c>
      <c r="AZ289" s="11">
        <f ca="1">IFERROR(OFFSET(ITEM_RES!$A$1,MATCH(BA289,ITEM_RES!$J:$J,0)-1,0),0)</f>
        <v>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  <c r="BO289" s="11">
        <f ca="1">IFERROR(OFFSET(ITEM_RES!$A$1,MATCH(BP289,ITEM_RES!$J:$J,0)-1,0),0)</f>
        <v>0</v>
      </c>
      <c r="BQ289" s="11">
        <f t="shared" si="114"/>
        <v>0</v>
      </c>
    </row>
    <row r="290" spans="1:69" x14ac:dyDescent="0.3">
      <c r="A290" s="14">
        <f t="shared" si="107"/>
        <v>113060006</v>
      </c>
      <c r="B290" s="13">
        <v>11</v>
      </c>
      <c r="C290" s="12">
        <f t="shared" si="108"/>
        <v>3</v>
      </c>
      <c r="D290" s="13">
        <v>6</v>
      </c>
      <c r="E290" s="13">
        <v>0</v>
      </c>
      <c r="F290" s="12">
        <f t="shared" si="109"/>
        <v>6</v>
      </c>
      <c r="H290" s="9">
        <v>3</v>
      </c>
      <c r="I290" s="9">
        <v>6</v>
      </c>
      <c r="K290" s="9" t="s">
        <v>1175</v>
      </c>
      <c r="M290" s="9" t="s">
        <v>1183</v>
      </c>
      <c r="O290" s="9">
        <v>1</v>
      </c>
      <c r="P290" s="9">
        <v>15</v>
      </c>
      <c r="Q290" s="142" t="s">
        <v>1181</v>
      </c>
      <c r="U290" s="9" t="s">
        <v>1176</v>
      </c>
      <c r="X290" s="9">
        <f ca="1">IFERROR(OFFSET(ITEM_RES!$A$5,MATCH(BUILDING!W290,ITEM_RES!$J$5:$J$226,0)-1,0),0)</f>
        <v>0</v>
      </c>
      <c r="AA290" s="9">
        <f ca="1">IFERROR(OFFSET(ITEM_RES!$A$5,MATCH(BUILDING!Z290,ITEM_RES!$J$5:$J$226,0)-1,0),0)</f>
        <v>0</v>
      </c>
      <c r="AC290" s="9" t="s">
        <v>1179</v>
      </c>
      <c r="AD290" s="9">
        <v>6</v>
      </c>
      <c r="AF290" s="11">
        <f ca="1">IFERROR(OFFSET(MANOR_LEVEL!$B$1,MATCH(AG290-1,MANOR_LEVEL!$A:$A,0)-1,0),0)</f>
        <v>456800</v>
      </c>
      <c r="AG290" s="56">
        <v>11</v>
      </c>
      <c r="AI290" s="56">
        <f t="shared" ca="1" si="106"/>
        <v>100</v>
      </c>
      <c r="AJ290" s="10">
        <f ca="1">AO290+AQ290+(IFERROR(OFFSET(ITEM_RES!$S$1,MATCH(AU290,ITEM_RES!$A:$A,0)-1,0),0)*AW290+IFERROR(OFFSET(ITEM_RES!$S$1,MATCH(AZ290,ITEM_RES!$A:$A,0)-1,0),0)*BB290+IFERROR(OFFSET(ITEM_RES!$S$1,MATCH(BE290,ITEM_RES!$A:$A,0)-1,0),0)*BG290+IFERROR(OFFSET(ITEM_RES!$S$1,MATCH(BJ290,ITEM_RES!$A:$A,0)-1,0),0)*BL290+IFERROR(OFFSET(ITEM_RES!$S$1,MATCH(BO290,ITEM_RES!$A:$A,0)-1,0),0)*BQ290)/1000</f>
        <v>100.1</v>
      </c>
      <c r="AK290" s="183">
        <f t="shared" ca="1" si="115"/>
        <v>180</v>
      </c>
      <c r="AM290" s="11">
        <f t="shared" si="110"/>
        <v>30</v>
      </c>
      <c r="AN290" s="10">
        <v>30</v>
      </c>
      <c r="AO290" s="11">
        <f t="shared" si="111"/>
        <v>50</v>
      </c>
      <c r="AP290" s="10">
        <v>50</v>
      </c>
      <c r="AQ290" s="11">
        <f t="shared" si="112"/>
        <v>50</v>
      </c>
      <c r="AR290" s="10">
        <v>50</v>
      </c>
      <c r="AS290" s="56">
        <f t="shared" si="113"/>
        <v>1</v>
      </c>
      <c r="AU290" s="11">
        <f ca="1">IFERROR(OFFSET(ITEM_RES!$A$1,MATCH(AV290,ITEM_RES!$J:$J,0)-1,0),0)</f>
        <v>211020801</v>
      </c>
      <c r="AV290" s="10" t="s">
        <v>392</v>
      </c>
      <c r="AW290" s="11">
        <v>1</v>
      </c>
      <c r="AZ290" s="11">
        <f ca="1">IFERROR(OFFSET(ITEM_RES!$A$1,MATCH(BA290,ITEM_RES!$J:$J,0)-1,0),0)</f>
        <v>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  <c r="BO290" s="11">
        <f ca="1">IFERROR(OFFSET(ITEM_RES!$A$1,MATCH(BP290,ITEM_RES!$J:$J,0)-1,0),0)</f>
        <v>0</v>
      </c>
      <c r="BQ290" s="11">
        <f t="shared" si="114"/>
        <v>0</v>
      </c>
    </row>
    <row r="291" spans="1:69" x14ac:dyDescent="0.3">
      <c r="A291" s="14">
        <f t="shared" si="107"/>
        <v>113060007</v>
      </c>
      <c r="B291" s="13">
        <v>11</v>
      </c>
      <c r="C291" s="12">
        <f t="shared" si="108"/>
        <v>3</v>
      </c>
      <c r="D291" s="13">
        <v>6</v>
      </c>
      <c r="E291" s="13">
        <v>0</v>
      </c>
      <c r="F291" s="12">
        <f t="shared" si="109"/>
        <v>7</v>
      </c>
      <c r="H291" s="9">
        <v>3</v>
      </c>
      <c r="I291" s="9">
        <v>7</v>
      </c>
      <c r="K291" s="9" t="s">
        <v>1175</v>
      </c>
      <c r="M291" s="9" t="s">
        <v>1183</v>
      </c>
      <c r="O291" s="9">
        <v>1</v>
      </c>
      <c r="P291" s="9">
        <v>15</v>
      </c>
      <c r="Q291" s="142" t="s">
        <v>1181</v>
      </c>
      <c r="U291" s="9" t="s">
        <v>1176</v>
      </c>
      <c r="X291" s="9">
        <f ca="1">IFERROR(OFFSET(ITEM_RES!$A$5,MATCH(BUILDING!W291,ITEM_RES!$J$5:$J$226,0)-1,0),0)</f>
        <v>0</v>
      </c>
      <c r="AA291" s="9">
        <f ca="1">IFERROR(OFFSET(ITEM_RES!$A$5,MATCH(BUILDING!Z291,ITEM_RES!$J$5:$J$226,0)-1,0),0)</f>
        <v>0</v>
      </c>
      <c r="AC291" s="9" t="s">
        <v>1179</v>
      </c>
      <c r="AD291" s="9">
        <v>7</v>
      </c>
      <c r="AF291" s="11">
        <f ca="1">IFERROR(OFFSET(MANOR_LEVEL!$B$1,MATCH(AG291-1,MANOR_LEVEL!$A:$A,0)-1,0),0)</f>
        <v>456800</v>
      </c>
      <c r="AG291" s="56">
        <v>11</v>
      </c>
      <c r="AI291" s="56">
        <f t="shared" ca="1" si="106"/>
        <v>200</v>
      </c>
      <c r="AJ291" s="10">
        <f ca="1">AO291+AQ291+(IFERROR(OFFSET(ITEM_RES!$S$1,MATCH(AU291,ITEM_RES!$A:$A,0)-1,0),0)*AW291+IFERROR(OFFSET(ITEM_RES!$S$1,MATCH(AZ291,ITEM_RES!$A:$A,0)-1,0),0)*BB291+IFERROR(OFFSET(ITEM_RES!$S$1,MATCH(BE291,ITEM_RES!$A:$A,0)-1,0),0)*BG291+IFERROR(OFFSET(ITEM_RES!$S$1,MATCH(BJ291,ITEM_RES!$A:$A,0)-1,0),0)*BL291+IFERROR(OFFSET(ITEM_RES!$S$1,MATCH(BO291,ITEM_RES!$A:$A,0)-1,0),0)*BQ291)/1000</f>
        <v>200.1</v>
      </c>
      <c r="AK291" s="183">
        <f t="shared" ca="1" si="115"/>
        <v>300</v>
      </c>
      <c r="AM291" s="11">
        <f t="shared" si="110"/>
        <v>35</v>
      </c>
      <c r="AN291" s="10">
        <v>35</v>
      </c>
      <c r="AO291" s="11">
        <f t="shared" si="111"/>
        <v>100</v>
      </c>
      <c r="AP291" s="10">
        <v>100</v>
      </c>
      <c r="AQ291" s="11">
        <f t="shared" si="112"/>
        <v>100</v>
      </c>
      <c r="AR291" s="10">
        <v>100</v>
      </c>
      <c r="AS291" s="56">
        <f t="shared" si="113"/>
        <v>1</v>
      </c>
      <c r="AU291" s="11">
        <f ca="1">IFERROR(OFFSET(ITEM_RES!$A$1,MATCH(AV291,ITEM_RES!$J:$J,0)-1,0),0)</f>
        <v>211020801</v>
      </c>
      <c r="AV291" s="10" t="s">
        <v>392</v>
      </c>
      <c r="AW291" s="11">
        <v>1</v>
      </c>
      <c r="AZ291" s="11">
        <f ca="1">IFERROR(OFFSET(ITEM_RES!$A$1,MATCH(BA291,ITEM_RES!$J:$J,0)-1,0),0)</f>
        <v>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  <c r="BO291" s="11">
        <f ca="1">IFERROR(OFFSET(ITEM_RES!$A$1,MATCH(BP291,ITEM_RES!$J:$J,0)-1,0),0)</f>
        <v>0</v>
      </c>
      <c r="BQ291" s="11">
        <f t="shared" si="114"/>
        <v>0</v>
      </c>
    </row>
    <row r="292" spans="1:69" x14ac:dyDescent="0.3">
      <c r="A292" s="14">
        <f t="shared" si="107"/>
        <v>113060008</v>
      </c>
      <c r="B292" s="13">
        <v>11</v>
      </c>
      <c r="C292" s="12">
        <f t="shared" si="108"/>
        <v>3</v>
      </c>
      <c r="D292" s="13">
        <v>6</v>
      </c>
      <c r="E292" s="13">
        <v>0</v>
      </c>
      <c r="F292" s="12">
        <f t="shared" si="109"/>
        <v>8</v>
      </c>
      <c r="H292" s="9">
        <v>3</v>
      </c>
      <c r="I292" s="9">
        <v>8</v>
      </c>
      <c r="K292" s="9" t="s">
        <v>1175</v>
      </c>
      <c r="M292" s="9" t="s">
        <v>1183</v>
      </c>
      <c r="O292" s="9">
        <v>1</v>
      </c>
      <c r="P292" s="9">
        <v>15</v>
      </c>
      <c r="Q292" s="142" t="s">
        <v>1181</v>
      </c>
      <c r="U292" s="9" t="s">
        <v>1176</v>
      </c>
      <c r="X292" s="9">
        <f ca="1">IFERROR(OFFSET(ITEM_RES!$A$5,MATCH(BUILDING!W292,ITEM_RES!$J$5:$J$226,0)-1,0),0)</f>
        <v>0</v>
      </c>
      <c r="AA292" s="9">
        <f ca="1">IFERROR(OFFSET(ITEM_RES!$A$5,MATCH(BUILDING!Z292,ITEM_RES!$J$5:$J$226,0)-1,0),0)</f>
        <v>0</v>
      </c>
      <c r="AC292" s="9" t="s">
        <v>1179</v>
      </c>
      <c r="AD292" s="9">
        <v>8</v>
      </c>
      <c r="AF292" s="11">
        <f ca="1">IFERROR(OFFSET(MANOR_LEVEL!$B$1,MATCH(AG292-1,MANOR_LEVEL!$A:$A,0)-1,0),0)</f>
        <v>456800</v>
      </c>
      <c r="AG292" s="56">
        <v>11</v>
      </c>
      <c r="AI292" s="56">
        <f t="shared" ca="1" si="106"/>
        <v>300</v>
      </c>
      <c r="AJ292" s="10">
        <f ca="1">AO292+AQ292+(IFERROR(OFFSET(ITEM_RES!$S$1,MATCH(AU292,ITEM_RES!$A:$A,0)-1,0),0)*AW292+IFERROR(OFFSET(ITEM_RES!$S$1,MATCH(AZ292,ITEM_RES!$A:$A,0)-1,0),0)*BB292+IFERROR(OFFSET(ITEM_RES!$S$1,MATCH(BE292,ITEM_RES!$A:$A,0)-1,0),0)*BG292+IFERROR(OFFSET(ITEM_RES!$S$1,MATCH(BJ292,ITEM_RES!$A:$A,0)-1,0),0)*BL292+IFERROR(OFFSET(ITEM_RES!$S$1,MATCH(BO292,ITEM_RES!$A:$A,0)-1,0),0)*BQ292)/1000</f>
        <v>300.10000000000002</v>
      </c>
      <c r="AK292" s="183">
        <f t="shared" ca="1" si="115"/>
        <v>500</v>
      </c>
      <c r="AM292" s="11">
        <f t="shared" si="110"/>
        <v>40</v>
      </c>
      <c r="AN292" s="10">
        <v>40</v>
      </c>
      <c r="AO292" s="11">
        <f t="shared" si="111"/>
        <v>100</v>
      </c>
      <c r="AP292" s="10">
        <v>100</v>
      </c>
      <c r="AQ292" s="11">
        <f t="shared" si="112"/>
        <v>100</v>
      </c>
      <c r="AR292" s="10">
        <v>100</v>
      </c>
      <c r="AS292" s="56">
        <f t="shared" si="113"/>
        <v>2</v>
      </c>
      <c r="AU292" s="11">
        <f ca="1">IFERROR(OFFSET(ITEM_RES!$A$1,MATCH(AV292,ITEM_RES!$J:$J,0)-1,0),0)</f>
        <v>211020801</v>
      </c>
      <c r="AV292" s="10" t="s">
        <v>392</v>
      </c>
      <c r="AW292" s="11">
        <v>1</v>
      </c>
      <c r="AZ292" s="11">
        <f ca="1">IFERROR(OFFSET(ITEM_RES!$A$1,MATCH(BA292,ITEM_RES!$J:$J,0)-1,0),0)</f>
        <v>0</v>
      </c>
      <c r="BE292" s="11">
        <f ca="1">IFERROR(OFFSET(ITEM_RES!$A$1,MATCH(BF292,ITEM_RES!$J:$J,0)-1,0),0)</f>
        <v>0</v>
      </c>
      <c r="BJ292" s="11">
        <f ca="1">IFERROR(OFFSET(ITEM_RES!$A$1,MATCH(BK292,ITEM_RES!$J:$J,0)-1,0),0)</f>
        <v>213010901</v>
      </c>
      <c r="BK292" s="10" t="s">
        <v>456</v>
      </c>
      <c r="BL292" s="11">
        <v>1</v>
      </c>
      <c r="BO292" s="11">
        <f ca="1">IFERROR(OFFSET(ITEM_RES!$A$1,MATCH(BP292,ITEM_RES!$J:$J,0)-1,0),0)</f>
        <v>0</v>
      </c>
      <c r="BQ292" s="11">
        <f t="shared" si="114"/>
        <v>0</v>
      </c>
    </row>
    <row r="293" spans="1:69" x14ac:dyDescent="0.3">
      <c r="A293" s="14">
        <f t="shared" si="107"/>
        <v>113060009</v>
      </c>
      <c r="B293" s="13">
        <v>11</v>
      </c>
      <c r="C293" s="12">
        <f t="shared" si="108"/>
        <v>3</v>
      </c>
      <c r="D293" s="13">
        <v>6</v>
      </c>
      <c r="E293" s="13">
        <v>0</v>
      </c>
      <c r="F293" s="12">
        <f t="shared" si="109"/>
        <v>9</v>
      </c>
      <c r="H293" s="9">
        <v>3</v>
      </c>
      <c r="I293" s="9">
        <v>9</v>
      </c>
      <c r="K293" s="9" t="s">
        <v>1175</v>
      </c>
      <c r="M293" s="9" t="s">
        <v>1183</v>
      </c>
      <c r="O293" s="9">
        <v>1</v>
      </c>
      <c r="P293" s="9">
        <v>15</v>
      </c>
      <c r="Q293" s="142" t="s">
        <v>1181</v>
      </c>
      <c r="U293" s="9" t="s">
        <v>1176</v>
      </c>
      <c r="X293" s="9">
        <f ca="1">IFERROR(OFFSET(ITEM_RES!$A$5,MATCH(BUILDING!W293,ITEM_RES!$J$5:$J$226,0)-1,0),0)</f>
        <v>0</v>
      </c>
      <c r="AA293" s="9">
        <f ca="1">IFERROR(OFFSET(ITEM_RES!$A$5,MATCH(BUILDING!Z293,ITEM_RES!$J$5:$J$226,0)-1,0),0)</f>
        <v>0</v>
      </c>
      <c r="AC293" s="9" t="s">
        <v>1179</v>
      </c>
      <c r="AD293" s="9">
        <v>9</v>
      </c>
      <c r="AF293" s="11">
        <f ca="1">IFERROR(OFFSET(MANOR_LEVEL!$B$1,MATCH(AG293-1,MANOR_LEVEL!$A:$A,0)-1,0),0)</f>
        <v>456800</v>
      </c>
      <c r="AG293" s="56">
        <v>11</v>
      </c>
      <c r="AI293" s="56">
        <f t="shared" ca="1" si="106"/>
        <v>300</v>
      </c>
      <c r="AJ293" s="10">
        <f ca="1">AO293+AQ293+(IFERROR(OFFSET(ITEM_RES!$S$1,MATCH(AU293,ITEM_RES!$A:$A,0)-1,0),0)*AW293+IFERROR(OFFSET(ITEM_RES!$S$1,MATCH(AZ293,ITEM_RES!$A:$A,0)-1,0),0)*BB293+IFERROR(OFFSET(ITEM_RES!$S$1,MATCH(BE293,ITEM_RES!$A:$A,0)-1,0),0)*BG293+IFERROR(OFFSET(ITEM_RES!$S$1,MATCH(BJ293,ITEM_RES!$A:$A,0)-1,0),0)*BL293+IFERROR(OFFSET(ITEM_RES!$S$1,MATCH(BO293,ITEM_RES!$A:$A,0)-1,0),0)*BQ293)/1000</f>
        <v>300.10000000000002</v>
      </c>
      <c r="AK293" s="183">
        <f t="shared" ca="1" si="115"/>
        <v>600</v>
      </c>
      <c r="AM293" s="11">
        <f t="shared" si="110"/>
        <v>45</v>
      </c>
      <c r="AN293" s="10">
        <v>45</v>
      </c>
      <c r="AO293" s="11">
        <f t="shared" si="111"/>
        <v>150</v>
      </c>
      <c r="AP293" s="10">
        <v>150</v>
      </c>
      <c r="AQ293" s="11">
        <f t="shared" si="112"/>
        <v>150</v>
      </c>
      <c r="AR293" s="10">
        <v>150</v>
      </c>
      <c r="AS293" s="56">
        <f t="shared" si="113"/>
        <v>1</v>
      </c>
      <c r="AU293" s="11">
        <f ca="1">IFERROR(OFFSET(ITEM_RES!$A$1,MATCH(AV293,ITEM_RES!$J:$J,0)-1,0),0)</f>
        <v>211020801</v>
      </c>
      <c r="AV293" s="10" t="s">
        <v>392</v>
      </c>
      <c r="AW293" s="11">
        <v>1</v>
      </c>
      <c r="AZ293" s="11">
        <f ca="1">IFERROR(OFFSET(ITEM_RES!$A$1,MATCH(BA293,ITEM_RES!$J:$J,0)-1,0),0)</f>
        <v>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  <c r="BO293" s="11">
        <f ca="1">IFERROR(OFFSET(ITEM_RES!$A$1,MATCH(BP293,ITEM_RES!$J:$J,0)-1,0),0)</f>
        <v>0</v>
      </c>
      <c r="BQ293" s="11">
        <f t="shared" si="114"/>
        <v>0</v>
      </c>
    </row>
    <row r="294" spans="1:69" x14ac:dyDescent="0.3">
      <c r="A294" s="14">
        <f t="shared" si="107"/>
        <v>113060010</v>
      </c>
      <c r="B294" s="13">
        <v>11</v>
      </c>
      <c r="C294" s="12">
        <f t="shared" si="108"/>
        <v>3</v>
      </c>
      <c r="D294" s="13">
        <v>6</v>
      </c>
      <c r="E294" s="13">
        <v>0</v>
      </c>
      <c r="F294" s="12">
        <f t="shared" si="109"/>
        <v>10</v>
      </c>
      <c r="H294" s="9">
        <v>3</v>
      </c>
      <c r="I294" s="9">
        <v>10</v>
      </c>
      <c r="K294" s="9" t="s">
        <v>1175</v>
      </c>
      <c r="M294" s="9" t="s">
        <v>1183</v>
      </c>
      <c r="O294" s="9">
        <v>1</v>
      </c>
      <c r="P294" s="9">
        <v>15</v>
      </c>
      <c r="Q294" s="142" t="s">
        <v>1181</v>
      </c>
      <c r="U294" s="9" t="s">
        <v>1176</v>
      </c>
      <c r="X294" s="9">
        <f ca="1">IFERROR(OFFSET(ITEM_RES!$A$5,MATCH(BUILDING!W294,ITEM_RES!$J$5:$J$226,0)-1,0),0)</f>
        <v>0</v>
      </c>
      <c r="AA294" s="9">
        <f ca="1">IFERROR(OFFSET(ITEM_RES!$A$5,MATCH(BUILDING!Z294,ITEM_RES!$J$5:$J$226,0)-1,0),0)</f>
        <v>0</v>
      </c>
      <c r="AC294" s="9" t="s">
        <v>1179</v>
      </c>
      <c r="AD294" s="9">
        <v>10</v>
      </c>
      <c r="AF294" s="11">
        <f ca="1">IFERROR(OFFSET(MANOR_LEVEL!$B$1,MATCH(AG294-1,MANOR_LEVEL!$A:$A,0)-1,0),0)</f>
        <v>456800</v>
      </c>
      <c r="AG294" s="56">
        <v>11</v>
      </c>
      <c r="AI294" s="56">
        <f t="shared" ca="1" si="106"/>
        <v>400</v>
      </c>
      <c r="AJ294" s="10">
        <f ca="1">AO294+AQ294+(IFERROR(OFFSET(ITEM_RES!$S$1,MATCH(AU294,ITEM_RES!$A:$A,0)-1,0),0)*AW294+IFERROR(OFFSET(ITEM_RES!$S$1,MATCH(AZ294,ITEM_RES!$A:$A,0)-1,0),0)*BB294+IFERROR(OFFSET(ITEM_RES!$S$1,MATCH(BE294,ITEM_RES!$A:$A,0)-1,0),0)*BG294+IFERROR(OFFSET(ITEM_RES!$S$1,MATCH(BJ294,ITEM_RES!$A:$A,0)-1,0),0)*BL294+IFERROR(OFFSET(ITEM_RES!$S$1,MATCH(BO294,ITEM_RES!$A:$A,0)-1,0),0)*BQ294)/1000</f>
        <v>400.1</v>
      </c>
      <c r="AK294" s="183">
        <f t="shared" ca="1" si="115"/>
        <v>700</v>
      </c>
      <c r="AM294" s="11">
        <f t="shared" si="110"/>
        <v>50</v>
      </c>
      <c r="AN294" s="10">
        <v>50</v>
      </c>
      <c r="AO294" s="11">
        <f t="shared" si="111"/>
        <v>200</v>
      </c>
      <c r="AP294" s="10">
        <v>200</v>
      </c>
      <c r="AQ294" s="11">
        <f t="shared" si="112"/>
        <v>200</v>
      </c>
      <c r="AR294" s="10">
        <v>200</v>
      </c>
      <c r="AS294" s="56">
        <f t="shared" si="113"/>
        <v>1</v>
      </c>
      <c r="AU294" s="11">
        <f ca="1">IFERROR(OFFSET(ITEM_RES!$A$1,MATCH(AV294,ITEM_RES!$J:$J,0)-1,0),0)</f>
        <v>211020801</v>
      </c>
      <c r="AV294" s="10" t="s">
        <v>392</v>
      </c>
      <c r="AW294" s="11">
        <v>1</v>
      </c>
      <c r="AZ294" s="11">
        <f ca="1">IFERROR(OFFSET(ITEM_RES!$A$1,MATCH(BA294,ITEM_RES!$J:$J,0)-1,0),0)</f>
        <v>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  <c r="BO294" s="11">
        <f ca="1">IFERROR(OFFSET(ITEM_RES!$A$1,MATCH(BP294,ITEM_RES!$J:$J,0)-1,0),0)</f>
        <v>0</v>
      </c>
      <c r="BQ294" s="11">
        <f t="shared" si="114"/>
        <v>0</v>
      </c>
    </row>
    <row r="295" spans="1:69" x14ac:dyDescent="0.3">
      <c r="A295" s="14">
        <f t="shared" si="107"/>
        <v>113060011</v>
      </c>
      <c r="B295" s="13">
        <v>11</v>
      </c>
      <c r="C295" s="12">
        <f t="shared" si="108"/>
        <v>3</v>
      </c>
      <c r="D295" s="13">
        <v>6</v>
      </c>
      <c r="E295" s="13">
        <v>0</v>
      </c>
      <c r="F295" s="12">
        <f t="shared" si="109"/>
        <v>11</v>
      </c>
      <c r="H295" s="9">
        <v>3</v>
      </c>
      <c r="I295" s="9">
        <v>11</v>
      </c>
      <c r="K295" s="9" t="s">
        <v>1175</v>
      </c>
      <c r="M295" s="9" t="s">
        <v>1183</v>
      </c>
      <c r="O295" s="9">
        <v>1</v>
      </c>
      <c r="P295" s="9">
        <v>15</v>
      </c>
      <c r="Q295" s="142" t="s">
        <v>1181</v>
      </c>
      <c r="U295" s="9" t="s">
        <v>1176</v>
      </c>
      <c r="X295" s="9">
        <f ca="1">IFERROR(OFFSET(ITEM_RES!$A$5,MATCH(BUILDING!W295,ITEM_RES!$J$5:$J$226,0)-1,0),0)</f>
        <v>0</v>
      </c>
      <c r="AA295" s="9">
        <f ca="1">IFERROR(OFFSET(ITEM_RES!$A$5,MATCH(BUILDING!Z295,ITEM_RES!$J$5:$J$226,0)-1,0),0)</f>
        <v>0</v>
      </c>
      <c r="AC295" s="9" t="s">
        <v>1179</v>
      </c>
      <c r="AD295" s="9">
        <v>11</v>
      </c>
      <c r="AF295" s="11">
        <f ca="1">IFERROR(OFFSET(MANOR_LEVEL!$B$1,MATCH(AG295-1,MANOR_LEVEL!$A:$A,0)-1,0),0)</f>
        <v>456800</v>
      </c>
      <c r="AG295" s="56">
        <v>11</v>
      </c>
      <c r="AI295" s="56">
        <f t="shared" ca="1" si="106"/>
        <v>500</v>
      </c>
      <c r="AJ295" s="10">
        <f ca="1">AO295+AQ295+(IFERROR(OFFSET(ITEM_RES!$S$1,MATCH(AU295,ITEM_RES!$A:$A,0)-1,0),0)*AW295+IFERROR(OFFSET(ITEM_RES!$S$1,MATCH(AZ295,ITEM_RES!$A:$A,0)-1,0),0)*BB295+IFERROR(OFFSET(ITEM_RES!$S$1,MATCH(BE295,ITEM_RES!$A:$A,0)-1,0),0)*BG295+IFERROR(OFFSET(ITEM_RES!$S$1,MATCH(BJ295,ITEM_RES!$A:$A,0)-1,0),0)*BL295+IFERROR(OFFSET(ITEM_RES!$S$1,MATCH(BO295,ITEM_RES!$A:$A,0)-1,0),0)*BQ295)/1000</f>
        <v>500.1</v>
      </c>
      <c r="AK295" s="183">
        <f t="shared" ca="1" si="115"/>
        <v>900</v>
      </c>
      <c r="AM295" s="11">
        <f t="shared" si="110"/>
        <v>55</v>
      </c>
      <c r="AN295" s="10">
        <v>55</v>
      </c>
      <c r="AO295" s="11">
        <f t="shared" si="111"/>
        <v>250</v>
      </c>
      <c r="AP295" s="10">
        <v>250</v>
      </c>
      <c r="AQ295" s="11">
        <f t="shared" si="112"/>
        <v>250</v>
      </c>
      <c r="AR295" s="10">
        <v>250</v>
      </c>
      <c r="AS295" s="56">
        <f t="shared" si="113"/>
        <v>1</v>
      </c>
      <c r="AU295" s="11">
        <f ca="1">IFERROR(OFFSET(ITEM_RES!$A$1,MATCH(AV295,ITEM_RES!$J:$J,0)-1,0),0)</f>
        <v>211020801</v>
      </c>
      <c r="AV295" s="10" t="s">
        <v>392</v>
      </c>
      <c r="AW295" s="11">
        <v>1</v>
      </c>
      <c r="AZ295" s="11">
        <f ca="1">IFERROR(OFFSET(ITEM_RES!$A$1,MATCH(BA295,ITEM_RES!$J:$J,0)-1,0),0)</f>
        <v>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  <c r="BO295" s="11">
        <f ca="1">IFERROR(OFFSET(ITEM_RES!$A$1,MATCH(BP295,ITEM_RES!$J:$J,0)-1,0),0)</f>
        <v>0</v>
      </c>
      <c r="BQ295" s="11">
        <f t="shared" si="114"/>
        <v>0</v>
      </c>
    </row>
    <row r="296" spans="1:69" x14ac:dyDescent="0.3">
      <c r="A296" s="14">
        <f t="shared" si="107"/>
        <v>113060012</v>
      </c>
      <c r="B296" s="13">
        <v>11</v>
      </c>
      <c r="C296" s="12">
        <f t="shared" si="108"/>
        <v>3</v>
      </c>
      <c r="D296" s="13">
        <v>6</v>
      </c>
      <c r="E296" s="13">
        <v>0</v>
      </c>
      <c r="F296" s="12">
        <f t="shared" si="109"/>
        <v>12</v>
      </c>
      <c r="H296" s="9">
        <v>3</v>
      </c>
      <c r="I296" s="9">
        <v>12</v>
      </c>
      <c r="K296" s="9" t="s">
        <v>1175</v>
      </c>
      <c r="M296" s="9" t="s">
        <v>1183</v>
      </c>
      <c r="O296" s="9">
        <v>1</v>
      </c>
      <c r="P296" s="9">
        <v>15</v>
      </c>
      <c r="Q296" s="142" t="s">
        <v>1181</v>
      </c>
      <c r="U296" s="9" t="s">
        <v>1176</v>
      </c>
      <c r="X296" s="9">
        <f ca="1">IFERROR(OFFSET(ITEM_RES!$A$5,MATCH(BUILDING!W296,ITEM_RES!$J$5:$J$226,0)-1,0),0)</f>
        <v>0</v>
      </c>
      <c r="AA296" s="9">
        <f ca="1">IFERROR(OFFSET(ITEM_RES!$A$5,MATCH(BUILDING!Z296,ITEM_RES!$J$5:$J$226,0)-1,0),0)</f>
        <v>0</v>
      </c>
      <c r="AC296" s="9" t="s">
        <v>1179</v>
      </c>
      <c r="AD296" s="9">
        <v>12</v>
      </c>
      <c r="AF296" s="11">
        <f ca="1">IFERROR(OFFSET(MANOR_LEVEL!$B$1,MATCH(AG296-1,MANOR_LEVEL!$A:$A,0)-1,0),0)</f>
        <v>456800</v>
      </c>
      <c r="AG296" s="56">
        <v>11</v>
      </c>
      <c r="AI296" s="56">
        <f t="shared" ca="1" si="106"/>
        <v>600</v>
      </c>
      <c r="AJ296" s="10">
        <f ca="1">AO296+AQ296+(IFERROR(OFFSET(ITEM_RES!$S$1,MATCH(AU296,ITEM_RES!$A:$A,0)-1,0),0)*AW296+IFERROR(OFFSET(ITEM_RES!$S$1,MATCH(AZ296,ITEM_RES!$A:$A,0)-1,0),0)*BB296+IFERROR(OFFSET(ITEM_RES!$S$1,MATCH(BE296,ITEM_RES!$A:$A,0)-1,0),0)*BG296+IFERROR(OFFSET(ITEM_RES!$S$1,MATCH(BJ296,ITEM_RES!$A:$A,0)-1,0),0)*BL296+IFERROR(OFFSET(ITEM_RES!$S$1,MATCH(BO296,ITEM_RES!$A:$A,0)-1,0),0)*BQ296)/1000</f>
        <v>600.1</v>
      </c>
      <c r="AK296" s="183">
        <f t="shared" ca="1" si="115"/>
        <v>1100</v>
      </c>
      <c r="AM296" s="11">
        <f t="shared" si="110"/>
        <v>60</v>
      </c>
      <c r="AN296" s="10">
        <v>60</v>
      </c>
      <c r="AO296" s="11">
        <f t="shared" si="111"/>
        <v>300</v>
      </c>
      <c r="AP296" s="10">
        <v>300</v>
      </c>
      <c r="AQ296" s="11">
        <f t="shared" si="112"/>
        <v>300</v>
      </c>
      <c r="AR296" s="10">
        <v>300</v>
      </c>
      <c r="AS296" s="56">
        <f t="shared" si="113"/>
        <v>1</v>
      </c>
      <c r="AU296" s="11">
        <f ca="1">IFERROR(OFFSET(ITEM_RES!$A$1,MATCH(AV296,ITEM_RES!$J:$J,0)-1,0),0)</f>
        <v>211020801</v>
      </c>
      <c r="AV296" s="10" t="s">
        <v>392</v>
      </c>
      <c r="AW296" s="11">
        <v>1</v>
      </c>
      <c r="AZ296" s="11">
        <f ca="1">IFERROR(OFFSET(ITEM_RES!$A$1,MATCH(BA296,ITEM_RES!$J:$J,0)-1,0),0)</f>
        <v>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  <c r="BO296" s="11">
        <f ca="1">IFERROR(OFFSET(ITEM_RES!$A$1,MATCH(BP296,ITEM_RES!$J:$J,0)-1,0),0)</f>
        <v>0</v>
      </c>
      <c r="BQ296" s="11">
        <f t="shared" si="114"/>
        <v>0</v>
      </c>
    </row>
    <row r="297" spans="1:69" x14ac:dyDescent="0.3">
      <c r="A297" s="14">
        <f t="shared" si="107"/>
        <v>113060013</v>
      </c>
      <c r="B297" s="13">
        <v>11</v>
      </c>
      <c r="C297" s="12">
        <f t="shared" si="108"/>
        <v>3</v>
      </c>
      <c r="D297" s="13">
        <v>6</v>
      </c>
      <c r="E297" s="13">
        <v>0</v>
      </c>
      <c r="F297" s="12">
        <f t="shared" si="109"/>
        <v>13</v>
      </c>
      <c r="H297" s="9">
        <v>3</v>
      </c>
      <c r="I297" s="9">
        <v>13</v>
      </c>
      <c r="K297" s="9" t="s">
        <v>1175</v>
      </c>
      <c r="M297" s="9" t="s">
        <v>1183</v>
      </c>
      <c r="O297" s="9">
        <v>1</v>
      </c>
      <c r="P297" s="9">
        <v>15</v>
      </c>
      <c r="Q297" s="142" t="s">
        <v>1181</v>
      </c>
      <c r="U297" s="9" t="s">
        <v>1176</v>
      </c>
      <c r="X297" s="9">
        <f ca="1">IFERROR(OFFSET(ITEM_RES!$A$5,MATCH(BUILDING!W297,ITEM_RES!$J$5:$J$226,0)-1,0),0)</f>
        <v>0</v>
      </c>
      <c r="AA297" s="9">
        <f ca="1">IFERROR(OFFSET(ITEM_RES!$A$5,MATCH(BUILDING!Z297,ITEM_RES!$J$5:$J$226,0)-1,0),0)</f>
        <v>0</v>
      </c>
      <c r="AC297" s="9" t="s">
        <v>1179</v>
      </c>
      <c r="AD297" s="9">
        <v>13</v>
      </c>
      <c r="AF297" s="11">
        <f ca="1">IFERROR(OFFSET(MANOR_LEVEL!$B$1,MATCH(AG297-1,MANOR_LEVEL!$A:$A,0)-1,0),0)</f>
        <v>456800</v>
      </c>
      <c r="AG297" s="56">
        <v>11</v>
      </c>
      <c r="AI297" s="56">
        <f t="shared" ca="1" si="106"/>
        <v>700</v>
      </c>
      <c r="AJ297" s="10">
        <f ca="1">AO297+AQ297+(IFERROR(OFFSET(ITEM_RES!$S$1,MATCH(AU297,ITEM_RES!$A:$A,0)-1,0),0)*AW297+IFERROR(OFFSET(ITEM_RES!$S$1,MATCH(AZ297,ITEM_RES!$A:$A,0)-1,0),0)*BB297+IFERROR(OFFSET(ITEM_RES!$S$1,MATCH(BE297,ITEM_RES!$A:$A,0)-1,0),0)*BG297+IFERROR(OFFSET(ITEM_RES!$S$1,MATCH(BJ297,ITEM_RES!$A:$A,0)-1,0),0)*BL297+IFERROR(OFFSET(ITEM_RES!$S$1,MATCH(BO297,ITEM_RES!$A:$A,0)-1,0),0)*BQ297)/1000</f>
        <v>700.1</v>
      </c>
      <c r="AK297" s="183">
        <f t="shared" ca="1" si="115"/>
        <v>1300</v>
      </c>
      <c r="AM297" s="11">
        <f t="shared" si="110"/>
        <v>65</v>
      </c>
      <c r="AN297" s="10">
        <v>65</v>
      </c>
      <c r="AO297" s="11">
        <f t="shared" si="111"/>
        <v>350</v>
      </c>
      <c r="AP297" s="10">
        <v>350</v>
      </c>
      <c r="AQ297" s="11">
        <f t="shared" si="112"/>
        <v>350</v>
      </c>
      <c r="AR297" s="10">
        <v>350</v>
      </c>
      <c r="AS297" s="56">
        <f t="shared" si="113"/>
        <v>1</v>
      </c>
      <c r="AU297" s="11">
        <f ca="1">IFERROR(OFFSET(ITEM_RES!$A$1,MATCH(AV297,ITEM_RES!$J:$J,0)-1,0),0)</f>
        <v>211020801</v>
      </c>
      <c r="AV297" s="10" t="s">
        <v>392</v>
      </c>
      <c r="AW297" s="11">
        <v>1</v>
      </c>
      <c r="AZ297" s="11">
        <f ca="1">IFERROR(OFFSET(ITEM_RES!$A$1,MATCH(BA297,ITEM_RES!$J:$J,0)-1,0),0)</f>
        <v>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  <c r="BO297" s="11">
        <f ca="1">IFERROR(OFFSET(ITEM_RES!$A$1,MATCH(BP297,ITEM_RES!$J:$J,0)-1,0),0)</f>
        <v>0</v>
      </c>
      <c r="BQ297" s="11">
        <f t="shared" si="114"/>
        <v>0</v>
      </c>
    </row>
    <row r="298" spans="1:69" x14ac:dyDescent="0.3">
      <c r="A298" s="14">
        <f t="shared" si="107"/>
        <v>113060014</v>
      </c>
      <c r="B298" s="13">
        <v>11</v>
      </c>
      <c r="C298" s="12">
        <f t="shared" si="108"/>
        <v>3</v>
      </c>
      <c r="D298" s="13">
        <v>6</v>
      </c>
      <c r="E298" s="13">
        <v>0</v>
      </c>
      <c r="F298" s="12">
        <f t="shared" si="109"/>
        <v>14</v>
      </c>
      <c r="H298" s="9">
        <v>3</v>
      </c>
      <c r="I298" s="9">
        <v>14</v>
      </c>
      <c r="K298" s="9" t="s">
        <v>1175</v>
      </c>
      <c r="M298" s="9" t="s">
        <v>1183</v>
      </c>
      <c r="O298" s="9">
        <v>1</v>
      </c>
      <c r="P298" s="9">
        <v>15</v>
      </c>
      <c r="Q298" s="142" t="s">
        <v>1181</v>
      </c>
      <c r="U298" s="9" t="s">
        <v>1176</v>
      </c>
      <c r="X298" s="9">
        <f ca="1">IFERROR(OFFSET(ITEM_RES!$A$5,MATCH(BUILDING!W298,ITEM_RES!$J$5:$J$226,0)-1,0),0)</f>
        <v>0</v>
      </c>
      <c r="AA298" s="9">
        <f ca="1">IFERROR(OFFSET(ITEM_RES!$A$5,MATCH(BUILDING!Z298,ITEM_RES!$J$5:$J$226,0)-1,0),0)</f>
        <v>0</v>
      </c>
      <c r="AC298" s="9" t="s">
        <v>1179</v>
      </c>
      <c r="AD298" s="9">
        <v>14</v>
      </c>
      <c r="AF298" s="11">
        <f ca="1">IFERROR(OFFSET(MANOR_LEVEL!$B$1,MATCH(AG298-1,MANOR_LEVEL!$A:$A,0)-1,0),0)</f>
        <v>456800</v>
      </c>
      <c r="AG298" s="56">
        <v>11</v>
      </c>
      <c r="AI298" s="56">
        <f t="shared" ca="1" si="106"/>
        <v>900</v>
      </c>
      <c r="AJ298" s="10">
        <f ca="1">AO298+AQ298+(IFERROR(OFFSET(ITEM_RES!$S$1,MATCH(AU298,ITEM_RES!$A:$A,0)-1,0),0)*AW298+IFERROR(OFFSET(ITEM_RES!$S$1,MATCH(AZ298,ITEM_RES!$A:$A,0)-1,0),0)*BB298+IFERROR(OFFSET(ITEM_RES!$S$1,MATCH(BE298,ITEM_RES!$A:$A,0)-1,0),0)*BG298+IFERROR(OFFSET(ITEM_RES!$S$1,MATCH(BJ298,ITEM_RES!$A:$A,0)-1,0),0)*BL298+IFERROR(OFFSET(ITEM_RES!$S$1,MATCH(BO298,ITEM_RES!$A:$A,0)-1,0),0)*BQ298)/1000</f>
        <v>900.1</v>
      </c>
      <c r="AK298" s="183">
        <f t="shared" ca="1" si="115"/>
        <v>1600</v>
      </c>
      <c r="AM298" s="11">
        <f t="shared" si="110"/>
        <v>70</v>
      </c>
      <c r="AN298" s="10">
        <v>70</v>
      </c>
      <c r="AO298" s="11">
        <f t="shared" si="111"/>
        <v>450</v>
      </c>
      <c r="AP298" s="10">
        <v>450</v>
      </c>
      <c r="AQ298" s="11">
        <f t="shared" si="112"/>
        <v>450</v>
      </c>
      <c r="AR298" s="10">
        <v>450</v>
      </c>
      <c r="AS298" s="56">
        <f t="shared" si="113"/>
        <v>1</v>
      </c>
      <c r="AU298" s="11">
        <f ca="1">IFERROR(OFFSET(ITEM_RES!$A$1,MATCH(AV298,ITEM_RES!$J:$J,0)-1,0),0)</f>
        <v>211020801</v>
      </c>
      <c r="AV298" s="10" t="s">
        <v>392</v>
      </c>
      <c r="AW298" s="11">
        <v>1</v>
      </c>
      <c r="AZ298" s="11">
        <f ca="1">IFERROR(OFFSET(ITEM_RES!$A$1,MATCH(BA298,ITEM_RES!$J:$J,0)-1,0),0)</f>
        <v>0</v>
      </c>
      <c r="BE298" s="11">
        <f ca="1">IFERROR(OFFSET(ITEM_RES!$A$1,MATCH(BF298,ITEM_RES!$J:$J,0)-1,0),0)</f>
        <v>0</v>
      </c>
      <c r="BJ298" s="11">
        <f ca="1">IFERROR(OFFSET(ITEM_RES!$A$1,MATCH(BK298,ITEM_RES!$J:$J,0)-1,0),0)</f>
        <v>0</v>
      </c>
      <c r="BO298" s="11">
        <f ca="1">IFERROR(OFFSET(ITEM_RES!$A$1,MATCH(BP298,ITEM_RES!$J:$J,0)-1,0),0)</f>
        <v>0</v>
      </c>
      <c r="BQ298" s="11">
        <f t="shared" si="114"/>
        <v>0</v>
      </c>
    </row>
    <row r="299" spans="1:69" x14ac:dyDescent="0.3">
      <c r="A299" s="14">
        <f t="shared" si="107"/>
        <v>113060015</v>
      </c>
      <c r="B299" s="13">
        <v>11</v>
      </c>
      <c r="C299" s="12">
        <f t="shared" si="108"/>
        <v>3</v>
      </c>
      <c r="D299" s="13">
        <v>6</v>
      </c>
      <c r="E299" s="13">
        <v>0</v>
      </c>
      <c r="F299" s="12">
        <f t="shared" si="109"/>
        <v>15</v>
      </c>
      <c r="H299" s="9">
        <v>3</v>
      </c>
      <c r="I299" s="9">
        <v>15</v>
      </c>
      <c r="K299" s="9" t="s">
        <v>1175</v>
      </c>
      <c r="M299" s="9" t="s">
        <v>1183</v>
      </c>
      <c r="O299" s="9">
        <v>1</v>
      </c>
      <c r="P299" s="9">
        <v>15</v>
      </c>
      <c r="Q299" s="142" t="s">
        <v>1181</v>
      </c>
      <c r="U299" s="9" t="s">
        <v>1176</v>
      </c>
      <c r="X299" s="9">
        <f ca="1">IFERROR(OFFSET(ITEM_RES!$A$5,MATCH(BUILDING!W299,ITEM_RES!$J$5:$J$226,0)-1,0),0)</f>
        <v>0</v>
      </c>
      <c r="AA299" s="9">
        <f ca="1">IFERROR(OFFSET(ITEM_RES!$A$5,MATCH(BUILDING!Z299,ITEM_RES!$J$5:$J$226,0)-1,0),0)</f>
        <v>0</v>
      </c>
      <c r="AC299" s="9" t="s">
        <v>1179</v>
      </c>
      <c r="AD299" s="9">
        <v>15</v>
      </c>
      <c r="AF299" s="11">
        <f ca="1">IFERROR(OFFSET(MANOR_LEVEL!$B$1,MATCH(AG299-1,MANOR_LEVEL!$A:$A,0)-1,0),0)</f>
        <v>456800</v>
      </c>
      <c r="AG299" s="56">
        <v>11</v>
      </c>
      <c r="AI299" s="56">
        <f t="shared" ca="1" si="106"/>
        <v>1100</v>
      </c>
      <c r="AJ299" s="10">
        <f ca="1">AO299+AQ299+(IFERROR(OFFSET(ITEM_RES!$S$1,MATCH(AU299,ITEM_RES!$A:$A,0)-1,0),0)*AW299+IFERROR(OFFSET(ITEM_RES!$S$1,MATCH(AZ299,ITEM_RES!$A:$A,0)-1,0),0)*BB299+IFERROR(OFFSET(ITEM_RES!$S$1,MATCH(BE299,ITEM_RES!$A:$A,0)-1,0),0)*BG299+IFERROR(OFFSET(ITEM_RES!$S$1,MATCH(BJ299,ITEM_RES!$A:$A,0)-1,0),0)*BL299+IFERROR(OFFSET(ITEM_RES!$S$1,MATCH(BO299,ITEM_RES!$A:$A,0)-1,0),0)*BQ299)/1000</f>
        <v>1100.0999999999999</v>
      </c>
      <c r="AK299" s="183">
        <f t="shared" ca="1" si="115"/>
        <v>2000</v>
      </c>
      <c r="AM299" s="11">
        <f t="shared" si="110"/>
        <v>75</v>
      </c>
      <c r="AN299" s="10">
        <v>75</v>
      </c>
      <c r="AO299" s="11">
        <f t="shared" si="111"/>
        <v>550</v>
      </c>
      <c r="AP299" s="10">
        <v>550</v>
      </c>
      <c r="AQ299" s="11">
        <f t="shared" si="112"/>
        <v>550</v>
      </c>
      <c r="AR299" s="10">
        <v>550</v>
      </c>
      <c r="AS299" s="56">
        <f t="shared" si="113"/>
        <v>1</v>
      </c>
      <c r="AU299" s="11">
        <f ca="1">IFERROR(OFFSET(ITEM_RES!$A$1,MATCH(AV299,ITEM_RES!$J:$J,0)-1,0),0)</f>
        <v>211020801</v>
      </c>
      <c r="AV299" s="10" t="s">
        <v>392</v>
      </c>
      <c r="AW299" s="11">
        <v>1</v>
      </c>
      <c r="AZ299" s="11">
        <f ca="1">IFERROR(OFFSET(ITEM_RES!$A$1,MATCH(BA299,ITEM_RES!$J:$J,0)-1,0),0)</f>
        <v>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  <c r="BO299" s="11">
        <f ca="1">IFERROR(OFFSET(ITEM_RES!$A$1,MATCH(BP299,ITEM_RES!$J:$J,0)-1,0),0)</f>
        <v>0</v>
      </c>
      <c r="BQ299" s="11">
        <f t="shared" si="114"/>
        <v>0</v>
      </c>
    </row>
    <row r="300" spans="1:69" x14ac:dyDescent="0.3">
      <c r="A300" s="14">
        <f t="shared" si="107"/>
        <v>113060016</v>
      </c>
      <c r="B300" s="13">
        <v>11</v>
      </c>
      <c r="C300" s="12">
        <f t="shared" si="108"/>
        <v>3</v>
      </c>
      <c r="D300" s="13">
        <v>6</v>
      </c>
      <c r="E300" s="13">
        <v>0</v>
      </c>
      <c r="F300" s="12">
        <f t="shared" si="109"/>
        <v>16</v>
      </c>
      <c r="H300" s="9">
        <v>3</v>
      </c>
      <c r="I300" s="9">
        <v>16</v>
      </c>
      <c r="K300" s="9" t="s">
        <v>1175</v>
      </c>
      <c r="M300" s="9" t="s">
        <v>1183</v>
      </c>
      <c r="O300" s="9">
        <v>0</v>
      </c>
      <c r="P300" s="9">
        <v>15</v>
      </c>
      <c r="Q300" s="142" t="s">
        <v>1181</v>
      </c>
      <c r="U300" s="9" t="s">
        <v>1176</v>
      </c>
      <c r="X300" s="9">
        <f ca="1">IFERROR(OFFSET(ITEM_RES!$A$5,MATCH(BUILDING!W300,ITEM_RES!$J$5:$J$226,0)-1,0),0)</f>
        <v>0</v>
      </c>
      <c r="AA300" s="9">
        <f ca="1">IFERROR(OFFSET(ITEM_RES!$A$5,MATCH(BUILDING!Z300,ITEM_RES!$J$5:$J$226,0)-1,0),0)</f>
        <v>0</v>
      </c>
      <c r="AC300" s="9" t="s">
        <v>1179</v>
      </c>
      <c r="AD300" s="9">
        <v>16</v>
      </c>
      <c r="AF300" s="11">
        <f ca="1">IFERROR(OFFSET(MANOR_LEVEL!$B$1,MATCH(AG300-1,MANOR_LEVEL!$A:$A,0)-1,0),0)</f>
        <v>796000</v>
      </c>
      <c r="AG300" s="56">
        <v>12</v>
      </c>
      <c r="AI300" s="56">
        <f t="shared" ca="1" si="106"/>
        <v>1400</v>
      </c>
      <c r="AJ300" s="10">
        <f ca="1">AO300+AQ300+(IFERROR(OFFSET(ITEM_RES!$S$1,MATCH(AU300,ITEM_RES!$A:$A,0)-1,0),0)*AW300+IFERROR(OFFSET(ITEM_RES!$S$1,MATCH(AZ300,ITEM_RES!$A:$A,0)-1,0),0)*BB300+IFERROR(OFFSET(ITEM_RES!$S$1,MATCH(BE300,ITEM_RES!$A:$A,0)-1,0),0)*BG300+IFERROR(OFFSET(ITEM_RES!$S$1,MATCH(BJ300,ITEM_RES!$A:$A,0)-1,0),0)*BL300+IFERROR(OFFSET(ITEM_RES!$S$1,MATCH(BO300,ITEM_RES!$A:$A,0)-1,0),0)*BQ300)/1000</f>
        <v>1400.1</v>
      </c>
      <c r="AK300" s="183">
        <f t="shared" ca="1" si="115"/>
        <v>2500</v>
      </c>
      <c r="AM300" s="11">
        <f t="shared" si="110"/>
        <v>80</v>
      </c>
      <c r="AN300" s="10">
        <v>80</v>
      </c>
      <c r="AO300" s="11">
        <f t="shared" si="111"/>
        <v>700</v>
      </c>
      <c r="AP300" s="10">
        <v>700</v>
      </c>
      <c r="AQ300" s="11">
        <f t="shared" si="112"/>
        <v>700</v>
      </c>
      <c r="AR300" s="10">
        <v>700</v>
      </c>
      <c r="AS300" s="56">
        <f t="shared" si="113"/>
        <v>1</v>
      </c>
      <c r="AU300" s="11">
        <f ca="1">IFERROR(OFFSET(ITEM_RES!$A$1,MATCH(AV300,ITEM_RES!$J:$J,0)-1,0),0)</f>
        <v>211020801</v>
      </c>
      <c r="AV300" s="10" t="s">
        <v>392</v>
      </c>
      <c r="AW300" s="11">
        <v>1</v>
      </c>
      <c r="AZ300" s="11">
        <f ca="1">IFERROR(OFFSET(ITEM_RES!$A$1,MATCH(BA300,ITEM_RES!$J:$J,0)-1,0),0)</f>
        <v>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  <c r="BO300" s="11">
        <f ca="1">IFERROR(OFFSET(ITEM_RES!$A$1,MATCH(BP300,ITEM_RES!$J:$J,0)-1,0),0)</f>
        <v>0</v>
      </c>
      <c r="BQ300" s="11">
        <f t="shared" si="114"/>
        <v>0</v>
      </c>
    </row>
    <row r="301" spans="1:69" x14ac:dyDescent="0.3">
      <c r="A301" s="14">
        <f t="shared" si="107"/>
        <v>113060017</v>
      </c>
      <c r="B301" s="13">
        <v>11</v>
      </c>
      <c r="C301" s="12">
        <f t="shared" si="108"/>
        <v>3</v>
      </c>
      <c r="D301" s="13">
        <v>6</v>
      </c>
      <c r="E301" s="13">
        <v>0</v>
      </c>
      <c r="F301" s="12">
        <f t="shared" si="109"/>
        <v>17</v>
      </c>
      <c r="H301" s="9">
        <v>3</v>
      </c>
      <c r="I301" s="9">
        <v>17</v>
      </c>
      <c r="K301" s="9" t="s">
        <v>1175</v>
      </c>
      <c r="M301" s="9" t="s">
        <v>1183</v>
      </c>
      <c r="O301" s="9">
        <v>0</v>
      </c>
      <c r="P301" s="9">
        <v>15</v>
      </c>
      <c r="Q301" s="142" t="s">
        <v>1181</v>
      </c>
      <c r="U301" s="9" t="s">
        <v>1176</v>
      </c>
      <c r="X301" s="9">
        <f ca="1">IFERROR(OFFSET(ITEM_RES!$A$5,MATCH(BUILDING!W301,ITEM_RES!$J$5:$J$226,0)-1,0),0)</f>
        <v>0</v>
      </c>
      <c r="AA301" s="9">
        <f ca="1">IFERROR(OFFSET(ITEM_RES!$A$5,MATCH(BUILDING!Z301,ITEM_RES!$J$5:$J$226,0)-1,0),0)</f>
        <v>0</v>
      </c>
      <c r="AC301" s="9" t="s">
        <v>1179</v>
      </c>
      <c r="AD301" s="9">
        <v>17</v>
      </c>
      <c r="AF301" s="11">
        <f ca="1">IFERROR(OFFSET(MANOR_LEVEL!$B$1,MATCH(AG301-1,MANOR_LEVEL!$A:$A,0)-1,0),0)</f>
        <v>2622400</v>
      </c>
      <c r="AG301" s="56">
        <v>15</v>
      </c>
      <c r="AI301" s="56">
        <f t="shared" ca="1" si="106"/>
        <v>1700</v>
      </c>
      <c r="AJ301" s="10">
        <f ca="1">AO301+AQ301+(IFERROR(OFFSET(ITEM_RES!$S$1,MATCH(AU301,ITEM_RES!$A:$A,0)-1,0),0)*AW301+IFERROR(OFFSET(ITEM_RES!$S$1,MATCH(AZ301,ITEM_RES!$A:$A,0)-1,0),0)*BB301+IFERROR(OFFSET(ITEM_RES!$S$1,MATCH(BE301,ITEM_RES!$A:$A,0)-1,0),0)*BG301+IFERROR(OFFSET(ITEM_RES!$S$1,MATCH(BJ301,ITEM_RES!$A:$A,0)-1,0),0)*BL301+IFERROR(OFFSET(ITEM_RES!$S$1,MATCH(BO301,ITEM_RES!$A:$A,0)-1,0),0)*BQ301)/1000</f>
        <v>1700.2</v>
      </c>
      <c r="AK301" s="183">
        <f t="shared" ca="1" si="115"/>
        <v>3100</v>
      </c>
      <c r="AM301" s="11">
        <f t="shared" si="110"/>
        <v>85</v>
      </c>
      <c r="AN301" s="10">
        <v>85</v>
      </c>
      <c r="AO301" s="11">
        <f t="shared" si="111"/>
        <v>850</v>
      </c>
      <c r="AP301" s="10">
        <v>850</v>
      </c>
      <c r="AQ301" s="11">
        <f t="shared" si="112"/>
        <v>850</v>
      </c>
      <c r="AR301" s="10">
        <v>850</v>
      </c>
      <c r="AS301" s="56">
        <f t="shared" si="113"/>
        <v>1</v>
      </c>
      <c r="AU301" s="11">
        <f ca="1">IFERROR(OFFSET(ITEM_RES!$A$1,MATCH(AV301,ITEM_RES!$J:$J,0)-1,0),0)</f>
        <v>211020901</v>
      </c>
      <c r="AV301" s="10" t="s">
        <v>393</v>
      </c>
      <c r="AW301" s="11">
        <v>1</v>
      </c>
      <c r="AZ301" s="11">
        <f ca="1">IFERROR(OFFSET(ITEM_RES!$A$1,MATCH(BA301,ITEM_RES!$J:$J,0)-1,0),0)</f>
        <v>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  <c r="BO301" s="11">
        <f ca="1">IFERROR(OFFSET(ITEM_RES!$A$1,MATCH(BP301,ITEM_RES!$J:$J,0)-1,0),0)</f>
        <v>0</v>
      </c>
      <c r="BQ301" s="11">
        <f t="shared" si="114"/>
        <v>0</v>
      </c>
    </row>
    <row r="302" spans="1:69" x14ac:dyDescent="0.3">
      <c r="A302" s="14">
        <f t="shared" si="107"/>
        <v>113060018</v>
      </c>
      <c r="B302" s="13">
        <v>11</v>
      </c>
      <c r="C302" s="12">
        <f t="shared" si="108"/>
        <v>3</v>
      </c>
      <c r="D302" s="13">
        <v>6</v>
      </c>
      <c r="E302" s="13">
        <v>0</v>
      </c>
      <c r="F302" s="12">
        <f t="shared" si="109"/>
        <v>18</v>
      </c>
      <c r="H302" s="9">
        <v>3</v>
      </c>
      <c r="I302" s="9">
        <v>18</v>
      </c>
      <c r="K302" s="9" t="s">
        <v>1175</v>
      </c>
      <c r="M302" s="9" t="s">
        <v>1183</v>
      </c>
      <c r="O302" s="9">
        <v>0</v>
      </c>
      <c r="P302" s="9">
        <v>15</v>
      </c>
      <c r="Q302" s="142" t="s">
        <v>1181</v>
      </c>
      <c r="U302" s="9" t="s">
        <v>1176</v>
      </c>
      <c r="X302" s="9">
        <f ca="1">IFERROR(OFFSET(ITEM_RES!$A$5,MATCH(BUILDING!W302,ITEM_RES!$J$5:$J$226,0)-1,0),0)</f>
        <v>0</v>
      </c>
      <c r="AA302" s="9">
        <f ca="1">IFERROR(OFFSET(ITEM_RES!$A$5,MATCH(BUILDING!Z302,ITEM_RES!$J$5:$J$226,0)-1,0),0)</f>
        <v>0</v>
      </c>
      <c r="AC302" s="9" t="s">
        <v>1179</v>
      </c>
      <c r="AD302" s="9">
        <v>18</v>
      </c>
      <c r="AF302" s="11">
        <f ca="1">IFERROR(OFFSET(MANOR_LEVEL!$B$1,MATCH(AG302-1,MANOR_LEVEL!$A:$A,0)-1,0),0)</f>
        <v>7450000</v>
      </c>
      <c r="AG302" s="56">
        <v>17</v>
      </c>
      <c r="AI302" s="56">
        <f t="shared" ref="AI302:AI304" ca="1" si="116">ROUND(AJ302,0)</f>
        <v>2100</v>
      </c>
      <c r="AJ302" s="10">
        <f ca="1">AO302+AQ302+(IFERROR(OFFSET(ITEM_RES!$S$1,MATCH(AU302,ITEM_RES!$A:$A,0)-1,0),0)*AW302+IFERROR(OFFSET(ITEM_RES!$S$1,MATCH(AZ302,ITEM_RES!$A:$A,0)-1,0),0)*BB302+IFERROR(OFFSET(ITEM_RES!$S$1,MATCH(BE302,ITEM_RES!$A:$A,0)-1,0),0)*BG302+IFERROR(OFFSET(ITEM_RES!$S$1,MATCH(BJ302,ITEM_RES!$A:$A,0)-1,0),0)*BL302+IFERROR(OFFSET(ITEM_RES!$S$1,MATCH(BO302,ITEM_RES!$A:$A,0)-1,0),0)*BQ302)/1000</f>
        <v>2100.1999999999998</v>
      </c>
      <c r="AK302" s="183">
        <f t="shared" ca="1" si="115"/>
        <v>3800</v>
      </c>
      <c r="AM302" s="11">
        <f t="shared" si="110"/>
        <v>90</v>
      </c>
      <c r="AN302" s="10">
        <v>90</v>
      </c>
      <c r="AO302" s="11">
        <f t="shared" si="111"/>
        <v>1050</v>
      </c>
      <c r="AP302" s="10">
        <v>1050</v>
      </c>
      <c r="AQ302" s="11">
        <f t="shared" si="112"/>
        <v>1050</v>
      </c>
      <c r="AR302" s="10">
        <v>1050</v>
      </c>
      <c r="AS302" s="56">
        <f t="shared" si="113"/>
        <v>1</v>
      </c>
      <c r="AU302" s="11">
        <f ca="1">IFERROR(OFFSET(ITEM_RES!$A$1,MATCH(AV302,ITEM_RES!$J:$J,0)-1,0),0)</f>
        <v>211020901</v>
      </c>
      <c r="AV302" s="10" t="s">
        <v>393</v>
      </c>
      <c r="AW302" s="11">
        <v>1</v>
      </c>
      <c r="AZ302" s="11">
        <f ca="1">IFERROR(OFFSET(ITEM_RES!$A$1,MATCH(BA302,ITEM_RES!$J:$J,0)-1,0),0)</f>
        <v>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  <c r="BO302" s="11">
        <f ca="1">IFERROR(OFFSET(ITEM_RES!$A$1,MATCH(BP302,ITEM_RES!$J:$J,0)-1,0),0)</f>
        <v>0</v>
      </c>
      <c r="BQ302" s="11">
        <f t="shared" si="114"/>
        <v>0</v>
      </c>
    </row>
    <row r="303" spans="1:69" x14ac:dyDescent="0.3">
      <c r="A303" s="14">
        <f t="shared" si="107"/>
        <v>113060019</v>
      </c>
      <c r="B303" s="13">
        <v>11</v>
      </c>
      <c r="C303" s="12">
        <f t="shared" si="108"/>
        <v>3</v>
      </c>
      <c r="D303" s="13">
        <v>6</v>
      </c>
      <c r="E303" s="13">
        <v>0</v>
      </c>
      <c r="F303" s="12">
        <f t="shared" si="109"/>
        <v>19</v>
      </c>
      <c r="H303" s="9">
        <v>3</v>
      </c>
      <c r="I303" s="9">
        <v>19</v>
      </c>
      <c r="K303" s="9" t="s">
        <v>1175</v>
      </c>
      <c r="M303" s="9" t="s">
        <v>1183</v>
      </c>
      <c r="O303" s="9">
        <v>0</v>
      </c>
      <c r="P303" s="9">
        <v>15</v>
      </c>
      <c r="Q303" s="142" t="s">
        <v>1181</v>
      </c>
      <c r="U303" s="9" t="s">
        <v>1176</v>
      </c>
      <c r="X303" s="9">
        <f ca="1">IFERROR(OFFSET(ITEM_RES!$A$5,MATCH(BUILDING!W303,ITEM_RES!$J$5:$J$226,0)-1,0),0)</f>
        <v>0</v>
      </c>
      <c r="AA303" s="9">
        <f ca="1">IFERROR(OFFSET(ITEM_RES!$A$5,MATCH(BUILDING!Z303,ITEM_RES!$J$5:$J$226,0)-1,0),0)</f>
        <v>0</v>
      </c>
      <c r="AC303" s="9" t="s">
        <v>1179</v>
      </c>
      <c r="AD303" s="9">
        <v>19</v>
      </c>
      <c r="AF303" s="11">
        <f ca="1">IFERROR(OFFSET(MANOR_LEVEL!$B$1,MATCH(AG303-1,MANOR_LEVEL!$A:$A,0)-1,0),0)</f>
        <v>12172400</v>
      </c>
      <c r="AG303" s="56">
        <v>18</v>
      </c>
      <c r="AI303" s="56">
        <f t="shared" ca="1" si="116"/>
        <v>2500</v>
      </c>
      <c r="AJ303" s="10">
        <f ca="1">AO303+AQ303+(IFERROR(OFFSET(ITEM_RES!$S$1,MATCH(AU303,ITEM_RES!$A:$A,0)-1,0),0)*AW303+IFERROR(OFFSET(ITEM_RES!$S$1,MATCH(AZ303,ITEM_RES!$A:$A,0)-1,0),0)*BB303+IFERROR(OFFSET(ITEM_RES!$S$1,MATCH(BE303,ITEM_RES!$A:$A,0)-1,0),0)*BG303+IFERROR(OFFSET(ITEM_RES!$S$1,MATCH(BJ303,ITEM_RES!$A:$A,0)-1,0),0)*BL303+IFERROR(OFFSET(ITEM_RES!$S$1,MATCH(BO303,ITEM_RES!$A:$A,0)-1,0),0)*BQ303)/1000</f>
        <v>2500.1999999999998</v>
      </c>
      <c r="AK303" s="183">
        <f t="shared" ca="1" si="115"/>
        <v>4600</v>
      </c>
      <c r="AM303" s="11">
        <f t="shared" si="110"/>
        <v>95</v>
      </c>
      <c r="AN303" s="10">
        <v>95</v>
      </c>
      <c r="AO303" s="11">
        <f t="shared" si="111"/>
        <v>1250</v>
      </c>
      <c r="AP303" s="10">
        <v>1250</v>
      </c>
      <c r="AQ303" s="11">
        <f t="shared" si="112"/>
        <v>1250</v>
      </c>
      <c r="AR303" s="10">
        <v>1250</v>
      </c>
      <c r="AS303" s="56">
        <f t="shared" si="113"/>
        <v>1</v>
      </c>
      <c r="AU303" s="11">
        <f ca="1">IFERROR(OFFSET(ITEM_RES!$A$1,MATCH(AV303,ITEM_RES!$J:$J,0)-1,0),0)</f>
        <v>211020901</v>
      </c>
      <c r="AV303" s="10" t="s">
        <v>393</v>
      </c>
      <c r="AW303" s="11">
        <v>1</v>
      </c>
      <c r="AZ303" s="11">
        <f ca="1">IFERROR(OFFSET(ITEM_RES!$A$1,MATCH(BA303,ITEM_RES!$J:$J,0)-1,0),0)</f>
        <v>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  <c r="BO303" s="11">
        <f ca="1">IFERROR(OFFSET(ITEM_RES!$A$1,MATCH(BP303,ITEM_RES!$J:$J,0)-1,0),0)</f>
        <v>0</v>
      </c>
      <c r="BQ303" s="11">
        <f t="shared" si="114"/>
        <v>0</v>
      </c>
    </row>
    <row r="304" spans="1:69" ht="17.25" thickBot="1" x14ac:dyDescent="0.35">
      <c r="A304" s="14">
        <f t="shared" si="107"/>
        <v>113060020</v>
      </c>
      <c r="B304" s="13">
        <v>11</v>
      </c>
      <c r="C304" s="12">
        <f t="shared" si="108"/>
        <v>3</v>
      </c>
      <c r="D304" s="13">
        <v>6</v>
      </c>
      <c r="E304" s="13">
        <v>0</v>
      </c>
      <c r="F304" s="12">
        <f t="shared" si="109"/>
        <v>20</v>
      </c>
      <c r="H304" s="9">
        <v>3</v>
      </c>
      <c r="I304" s="9">
        <v>20</v>
      </c>
      <c r="K304" s="9" t="s">
        <v>1175</v>
      </c>
      <c r="M304" s="9" t="s">
        <v>1183</v>
      </c>
      <c r="O304" s="9">
        <v>0</v>
      </c>
      <c r="P304" s="9">
        <v>15</v>
      </c>
      <c r="Q304" s="142" t="s">
        <v>1181</v>
      </c>
      <c r="U304" s="9" t="s">
        <v>1176</v>
      </c>
      <c r="X304" s="9">
        <f ca="1">IFERROR(OFFSET(ITEM_RES!$A$5,MATCH(BUILDING!W304,ITEM_RES!$J$5:$J$226,0)-1,0),0)</f>
        <v>0</v>
      </c>
      <c r="AA304" s="9">
        <f ca="1">IFERROR(OFFSET(ITEM_RES!$A$5,MATCH(BUILDING!Z304,ITEM_RES!$J$5:$J$226,0)-1,0),0)</f>
        <v>0</v>
      </c>
      <c r="AC304" s="9" t="s">
        <v>1179</v>
      </c>
      <c r="AD304" s="9">
        <v>20</v>
      </c>
      <c r="AF304" s="11">
        <f ca="1">IFERROR(OFFSET(MANOR_LEVEL!$B$1,MATCH(AG304-1,MANOR_LEVEL!$A:$A,0)-1,0),0)</f>
        <v>26578400</v>
      </c>
      <c r="AG304" s="56">
        <v>20</v>
      </c>
      <c r="AI304" s="56">
        <f t="shared" ca="1" si="116"/>
        <v>3000</v>
      </c>
      <c r="AJ304" s="10">
        <f ca="1">AO304+AQ304+(IFERROR(OFFSET(ITEM_RES!$S$1,MATCH(AU304,ITEM_RES!$A:$A,0)-1,0),0)*AW304+IFERROR(OFFSET(ITEM_RES!$S$1,MATCH(AZ304,ITEM_RES!$A:$A,0)-1,0),0)*BB304+IFERROR(OFFSET(ITEM_RES!$S$1,MATCH(BE304,ITEM_RES!$A:$A,0)-1,0),0)*BG304+IFERROR(OFFSET(ITEM_RES!$S$1,MATCH(BJ304,ITEM_RES!$A:$A,0)-1,0),0)*BL304+IFERROR(OFFSET(ITEM_RES!$S$1,MATCH(BO304,ITEM_RES!$A:$A,0)-1,0),0)*BQ304)/1000</f>
        <v>3000.2</v>
      </c>
      <c r="AK304" s="183">
        <f t="shared" ca="1" si="115"/>
        <v>5500</v>
      </c>
      <c r="AM304" s="11">
        <f t="shared" si="110"/>
        <v>100</v>
      </c>
      <c r="AN304" s="10">
        <v>100</v>
      </c>
      <c r="AO304" s="11">
        <f t="shared" si="111"/>
        <v>1500</v>
      </c>
      <c r="AP304" s="10">
        <v>1500</v>
      </c>
      <c r="AQ304" s="11">
        <f t="shared" si="112"/>
        <v>1500</v>
      </c>
      <c r="AR304" s="10">
        <v>1500</v>
      </c>
      <c r="AS304" s="56">
        <f t="shared" si="113"/>
        <v>1</v>
      </c>
      <c r="AU304" s="11">
        <f ca="1">IFERROR(OFFSET(ITEM_RES!$A$1,MATCH(AV304,ITEM_RES!$J:$J,0)-1,0),0)</f>
        <v>211020901</v>
      </c>
      <c r="AV304" s="10" t="s">
        <v>393</v>
      </c>
      <c r="AW304" s="11">
        <v>1</v>
      </c>
      <c r="AZ304" s="11">
        <f ca="1">IFERROR(OFFSET(ITEM_RES!$A$1,MATCH(BA304,ITEM_RES!$J:$J,0)-1,0),0)</f>
        <v>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  <c r="BO304" s="11">
        <f ca="1">IFERROR(OFFSET(ITEM_RES!$A$1,MATCH(BP304,ITEM_RES!$J:$J,0)-1,0),0)</f>
        <v>0</v>
      </c>
      <c r="BQ304" s="11">
        <f t="shared" si="114"/>
        <v>0</v>
      </c>
    </row>
    <row r="305" spans="1:70" s="15" customFormat="1" x14ac:dyDescent="0.3">
      <c r="A305" s="21">
        <f t="shared" si="100"/>
        <v>111070001</v>
      </c>
      <c r="B305" s="20">
        <v>11</v>
      </c>
      <c r="C305" s="19">
        <f t="shared" si="101"/>
        <v>1</v>
      </c>
      <c r="D305" s="20">
        <v>7</v>
      </c>
      <c r="E305" s="20">
        <v>0</v>
      </c>
      <c r="F305" s="19">
        <f t="shared" si="102"/>
        <v>1</v>
      </c>
      <c r="G305" s="79"/>
      <c r="H305" s="16">
        <v>1</v>
      </c>
      <c r="I305" s="16">
        <v>1</v>
      </c>
      <c r="J305" s="79"/>
      <c r="K305" s="16" t="s">
        <v>713</v>
      </c>
      <c r="L305" s="16">
        <v>13</v>
      </c>
      <c r="M305" s="16" t="s">
        <v>955</v>
      </c>
      <c r="N305" s="16" t="s">
        <v>973</v>
      </c>
      <c r="O305" s="16">
        <v>1</v>
      </c>
      <c r="P305" s="16">
        <v>15</v>
      </c>
      <c r="Q305" s="141"/>
      <c r="R305" s="17"/>
      <c r="S305" s="17"/>
      <c r="T305" s="18"/>
      <c r="U305" s="16" t="s">
        <v>712</v>
      </c>
      <c r="V305" s="79"/>
      <c r="W305" s="87"/>
      <c r="X305" s="16">
        <f ca="1">IFERROR(OFFSET(ITEM_RES!$A$5,MATCH(BUILDING!W305,ITEM_RES!$J$5:$J$226,0)-1,0),0)</f>
        <v>0</v>
      </c>
      <c r="Y305" s="18"/>
      <c r="Z305" s="87"/>
      <c r="AA305" s="16">
        <f ca="1">IFERROR(OFFSET(ITEM_RES!$A$5,MATCH(BUILDING!Z305,ITEM_RES!$J$5:$J$226,0)-1,0),0)</f>
        <v>0</v>
      </c>
      <c r="AB305" s="79"/>
      <c r="AC305" s="16" t="s">
        <v>521</v>
      </c>
      <c r="AD305" s="16">
        <v>1</v>
      </c>
      <c r="AE305" s="79"/>
      <c r="AF305" s="18">
        <f ca="1">IFERROR(OFFSET(MANOR_LEVEL!$B$1,MATCH(AG305-1,MANOR_LEVEL!$A:$A,0)-1,0),0)</f>
        <v>1156400</v>
      </c>
      <c r="AG305" s="57">
        <v>13</v>
      </c>
      <c r="AH305" s="79"/>
      <c r="AI305" s="57">
        <f t="shared" ca="1" si="106"/>
        <v>110</v>
      </c>
      <c r="AJ305" s="17">
        <f ca="1">AO305+AQ305+(IFERROR(OFFSET(ITEM_RES!$S$1,MATCH(AU305,ITEM_RES!$A:$A,0)-1,0),0)*AW305+IFERROR(OFFSET(ITEM_RES!$S$1,MATCH(AZ305,ITEM_RES!$A:$A,0)-1,0),0)*BB305+IFERROR(OFFSET(ITEM_RES!$S$1,MATCH(BE305,ITEM_RES!$A:$A,0)-1,0),0)*BG305+IFERROR(OFFSET(ITEM_RES!$S$1,MATCH(BJ305,ITEM_RES!$A:$A,0)-1,0),0)*BL305+IFERROR(OFFSET(ITEM_RES!$S$1,MATCH(BO305,ITEM_RES!$A:$A,0)-1,0),0)*BQ305)/1000</f>
        <v>110.1</v>
      </c>
      <c r="AK305" s="185">
        <f ca="1">AI305</f>
        <v>110</v>
      </c>
      <c r="AL305" s="79"/>
      <c r="AM305" s="18">
        <f t="shared" si="97"/>
        <v>5</v>
      </c>
      <c r="AN305" s="17">
        <v>5</v>
      </c>
      <c r="AO305" s="18">
        <f t="shared" si="104"/>
        <v>5</v>
      </c>
      <c r="AP305" s="17">
        <v>5</v>
      </c>
      <c r="AQ305" s="18">
        <f t="shared" si="104"/>
        <v>5</v>
      </c>
      <c r="AR305" s="17">
        <v>5</v>
      </c>
      <c r="AS305" s="57">
        <f t="shared" si="98"/>
        <v>2</v>
      </c>
      <c r="AT305" s="18"/>
      <c r="AU305" s="18">
        <f ca="1">IFERROR(OFFSET(ITEM_RES!$A$1,MATCH(AV305,ITEM_RES!$J:$J,0)-1,0),0)</f>
        <v>211020801</v>
      </c>
      <c r="AV305" s="17" t="s">
        <v>435</v>
      </c>
      <c r="AW305" s="18">
        <v>1</v>
      </c>
      <c r="AX305" s="17"/>
      <c r="AY305" s="18"/>
      <c r="AZ305" s="18">
        <f ca="1">IFERROR(OFFSET(ITEM_RES!$A$1,MATCH(BA305,ITEM_RES!$J:$J,0)-1,0),0)</f>
        <v>0</v>
      </c>
      <c r="BA305" s="17"/>
      <c r="BB305" s="18"/>
      <c r="BC305" s="17"/>
      <c r="BD305" s="18"/>
      <c r="BE305" s="18">
        <f ca="1">IFERROR(OFFSET(ITEM_RES!$A$1,MATCH(BF305,ITEM_RES!$J:$J,0)-1,0),0)</f>
        <v>213010101</v>
      </c>
      <c r="BF305" s="17" t="s">
        <v>452</v>
      </c>
      <c r="BG305" s="18">
        <v>1</v>
      </c>
      <c r="BH305" s="17"/>
      <c r="BI305" s="18"/>
      <c r="BJ305" s="18">
        <f ca="1">IFERROR(OFFSET(ITEM_RES!$A$1,MATCH(BK305,ITEM_RES!$J:$J,0)-1,0),0)</f>
        <v>0</v>
      </c>
      <c r="BK305" s="17"/>
      <c r="BL305" s="18"/>
      <c r="BM305" s="17"/>
      <c r="BN305" s="18"/>
      <c r="BO305" s="18">
        <f ca="1">IFERROR(OFFSET(ITEM_RES!$A$1,MATCH(BP305,ITEM_RES!$J:$J,0)-1,0),0)</f>
        <v>0</v>
      </c>
      <c r="BP305" s="17"/>
      <c r="BQ305" s="18"/>
      <c r="BR305" s="17"/>
    </row>
    <row r="306" spans="1:70" x14ac:dyDescent="0.3">
      <c r="A306" s="14">
        <f t="shared" si="100"/>
        <v>111070002</v>
      </c>
      <c r="B306" s="13">
        <v>11</v>
      </c>
      <c r="C306" s="12">
        <f t="shared" si="101"/>
        <v>1</v>
      </c>
      <c r="D306" s="13">
        <v>7</v>
      </c>
      <c r="E306" s="13">
        <v>0</v>
      </c>
      <c r="F306" s="12">
        <f t="shared" si="102"/>
        <v>2</v>
      </c>
      <c r="H306" s="9">
        <v>1</v>
      </c>
      <c r="I306" s="9">
        <v>2</v>
      </c>
      <c r="K306" s="9" t="s">
        <v>713</v>
      </c>
      <c r="M306" s="9" t="s">
        <v>955</v>
      </c>
      <c r="N306" s="9" t="s">
        <v>973</v>
      </c>
      <c r="O306" s="9">
        <v>1</v>
      </c>
      <c r="P306" s="9">
        <v>15</v>
      </c>
      <c r="Q306" s="142"/>
      <c r="U306" s="9" t="s">
        <v>712</v>
      </c>
      <c r="X306" s="9">
        <f ca="1">IFERROR(OFFSET(ITEM_RES!$A$5,MATCH(BUILDING!W306,ITEM_RES!$J$5:$J$226,0)-1,0),0)</f>
        <v>0</v>
      </c>
      <c r="AA306" s="9">
        <f ca="1">IFERROR(OFFSET(ITEM_RES!$A$5,MATCH(BUILDING!Z306,ITEM_RES!$J$5:$J$226,0)-1,0),0)</f>
        <v>0</v>
      </c>
      <c r="AC306" s="9" t="s">
        <v>521</v>
      </c>
      <c r="AD306" s="9">
        <v>2</v>
      </c>
      <c r="AF306" s="11">
        <f ca="1">IFERROR(OFFSET(MANOR_LEVEL!$B$1,MATCH(AG306-1,MANOR_LEVEL!$A:$A,0)-1,0),0)</f>
        <v>2622400</v>
      </c>
      <c r="AG306" s="56">
        <v>15</v>
      </c>
      <c r="AI306" s="56">
        <f t="shared" ca="1" si="106"/>
        <v>20</v>
      </c>
      <c r="AJ306" s="10">
        <f ca="1">AO306+AQ306+(IFERROR(OFFSET(ITEM_RES!$S$1,MATCH(AU306,ITEM_RES!$A:$A,0)-1,0),0)*AW306+IFERROR(OFFSET(ITEM_RES!$S$1,MATCH(AZ306,ITEM_RES!$A:$A,0)-1,0),0)*BB306+IFERROR(OFFSET(ITEM_RES!$S$1,MATCH(BE306,ITEM_RES!$A:$A,0)-1,0),0)*BG306+IFERROR(OFFSET(ITEM_RES!$S$1,MATCH(BJ306,ITEM_RES!$A:$A,0)-1,0),0)*BL306+IFERROR(OFFSET(ITEM_RES!$S$1,MATCH(BO306,ITEM_RES!$A:$A,0)-1,0),0)*BQ306)/1000</f>
        <v>20.100000000000001</v>
      </c>
      <c r="AK306" s="183">
        <f ca="1">AI305+AI306</f>
        <v>130</v>
      </c>
      <c r="AM306" s="11">
        <f t="shared" si="97"/>
        <v>10</v>
      </c>
      <c r="AN306" s="10">
        <v>10</v>
      </c>
      <c r="AO306" s="11">
        <f t="shared" si="104"/>
        <v>10</v>
      </c>
      <c r="AP306" s="10">
        <v>10</v>
      </c>
      <c r="AQ306" s="11">
        <f t="shared" si="104"/>
        <v>10</v>
      </c>
      <c r="AR306" s="10">
        <v>10</v>
      </c>
      <c r="AS306" s="56">
        <f t="shared" si="98"/>
        <v>1</v>
      </c>
      <c r="AU306" s="11">
        <f ca="1">IFERROR(OFFSET(ITEM_RES!$A$1,MATCH(AV306,ITEM_RES!$J:$J,0)-1,0),0)</f>
        <v>211020801</v>
      </c>
      <c r="AV306" s="10" t="s">
        <v>435</v>
      </c>
      <c r="AW306" s="11">
        <v>1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  <c r="BO306" s="11">
        <f ca="1">IFERROR(OFFSET(ITEM_RES!$A$1,MATCH(BP306,ITEM_RES!$J:$J,0)-1,0),0)</f>
        <v>0</v>
      </c>
    </row>
    <row r="307" spans="1:70" x14ac:dyDescent="0.3">
      <c r="A307" s="14">
        <f t="shared" si="100"/>
        <v>111070003</v>
      </c>
      <c r="B307" s="13">
        <v>11</v>
      </c>
      <c r="C307" s="12">
        <f t="shared" si="101"/>
        <v>1</v>
      </c>
      <c r="D307" s="13">
        <v>7</v>
      </c>
      <c r="E307" s="13">
        <v>0</v>
      </c>
      <c r="F307" s="12">
        <f t="shared" si="102"/>
        <v>3</v>
      </c>
      <c r="H307" s="9">
        <v>1</v>
      </c>
      <c r="I307" s="9">
        <v>3</v>
      </c>
      <c r="K307" s="9" t="s">
        <v>713</v>
      </c>
      <c r="M307" s="9" t="s">
        <v>955</v>
      </c>
      <c r="N307" s="9" t="s">
        <v>973</v>
      </c>
      <c r="O307" s="9">
        <v>1</v>
      </c>
      <c r="P307" s="9">
        <v>15</v>
      </c>
      <c r="Q307" s="142"/>
      <c r="U307" s="9" t="s">
        <v>712</v>
      </c>
      <c r="X307" s="9">
        <f ca="1">IFERROR(OFFSET(ITEM_RES!$A$5,MATCH(BUILDING!W307,ITEM_RES!$J$5:$J$226,0)-1,0),0)</f>
        <v>0</v>
      </c>
      <c r="AA307" s="9">
        <f ca="1">IFERROR(OFFSET(ITEM_RES!$A$5,MATCH(BUILDING!Z307,ITEM_RES!$J$5:$J$226,0)-1,0),0)</f>
        <v>0</v>
      </c>
      <c r="AC307" s="9" t="s">
        <v>521</v>
      </c>
      <c r="AD307" s="9">
        <v>3</v>
      </c>
      <c r="AF307" s="11">
        <f ca="1">IFERROR(OFFSET(MANOR_LEVEL!$B$1,MATCH(AG307-1,MANOR_LEVEL!$A:$A,0)-1,0),0)</f>
        <v>4232000</v>
      </c>
      <c r="AG307" s="56">
        <v>16</v>
      </c>
      <c r="AI307" s="56">
        <f t="shared" ca="1" si="106"/>
        <v>30</v>
      </c>
      <c r="AJ307" s="10">
        <f ca="1">AO307+AQ307+(IFERROR(OFFSET(ITEM_RES!$S$1,MATCH(AU307,ITEM_RES!$A:$A,0)-1,0),0)*AW307+IFERROR(OFFSET(ITEM_RES!$S$1,MATCH(AZ307,ITEM_RES!$A:$A,0)-1,0),0)*BB307+IFERROR(OFFSET(ITEM_RES!$S$1,MATCH(BE307,ITEM_RES!$A:$A,0)-1,0),0)*BG307+IFERROR(OFFSET(ITEM_RES!$S$1,MATCH(BJ307,ITEM_RES!$A:$A,0)-1,0),0)*BL307+IFERROR(OFFSET(ITEM_RES!$S$1,MATCH(BO307,ITEM_RES!$A:$A,0)-1,0),0)*BQ307)/1000</f>
        <v>30.1</v>
      </c>
      <c r="AK307" s="183">
        <f t="shared" ref="AK307:AK324" ca="1" si="117">AI306+AI307</f>
        <v>50</v>
      </c>
      <c r="AM307" s="11">
        <f t="shared" si="97"/>
        <v>15</v>
      </c>
      <c r="AN307" s="10">
        <v>15</v>
      </c>
      <c r="AO307" s="11">
        <f t="shared" si="104"/>
        <v>15</v>
      </c>
      <c r="AP307" s="10">
        <v>15</v>
      </c>
      <c r="AQ307" s="11">
        <f t="shared" si="104"/>
        <v>15</v>
      </c>
      <c r="AR307" s="10">
        <v>15</v>
      </c>
      <c r="AS307" s="56">
        <f t="shared" si="98"/>
        <v>1</v>
      </c>
      <c r="AU307" s="11">
        <f ca="1">IFERROR(OFFSET(ITEM_RES!$A$1,MATCH(AV307,ITEM_RES!$J:$J,0)-1,0),0)</f>
        <v>211020801</v>
      </c>
      <c r="AV307" s="10" t="s">
        <v>435</v>
      </c>
      <c r="AW307" s="11">
        <v>1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  <c r="BO307" s="11">
        <f ca="1">IFERROR(OFFSET(ITEM_RES!$A$1,MATCH(BP307,ITEM_RES!$J:$J,0)-1,0),0)</f>
        <v>0</v>
      </c>
    </row>
    <row r="308" spans="1:70" x14ac:dyDescent="0.3">
      <c r="A308" s="14">
        <f t="shared" si="100"/>
        <v>111070004</v>
      </c>
      <c r="B308" s="13">
        <v>11</v>
      </c>
      <c r="C308" s="12">
        <f t="shared" si="101"/>
        <v>1</v>
      </c>
      <c r="D308" s="13">
        <v>7</v>
      </c>
      <c r="E308" s="13">
        <v>0</v>
      </c>
      <c r="F308" s="12">
        <f t="shared" si="102"/>
        <v>4</v>
      </c>
      <c r="H308" s="9">
        <v>1</v>
      </c>
      <c r="I308" s="9">
        <v>4</v>
      </c>
      <c r="K308" s="9" t="s">
        <v>713</v>
      </c>
      <c r="M308" s="9" t="s">
        <v>955</v>
      </c>
      <c r="N308" s="9" t="s">
        <v>973</v>
      </c>
      <c r="O308" s="9">
        <v>1</v>
      </c>
      <c r="P308" s="9">
        <v>15</v>
      </c>
      <c r="Q308" s="142"/>
      <c r="U308" s="9" t="s">
        <v>712</v>
      </c>
      <c r="X308" s="9">
        <f ca="1">IFERROR(OFFSET(ITEM_RES!$A$5,MATCH(BUILDING!W308,ITEM_RES!$J$5:$J$226,0)-1,0),0)</f>
        <v>0</v>
      </c>
      <c r="AA308" s="9">
        <f ca="1">IFERROR(OFFSET(ITEM_RES!$A$5,MATCH(BUILDING!Z308,ITEM_RES!$J$5:$J$226,0)-1,0),0)</f>
        <v>0</v>
      </c>
      <c r="AC308" s="9" t="s">
        <v>521</v>
      </c>
      <c r="AD308" s="9">
        <v>4</v>
      </c>
      <c r="AF308" s="11">
        <f ca="1">IFERROR(OFFSET(MANOR_LEVEL!$B$1,MATCH(AG308-1,MANOR_LEVEL!$A:$A,0)-1,0),0)</f>
        <v>4232000</v>
      </c>
      <c r="AG308" s="56">
        <v>16</v>
      </c>
      <c r="AI308" s="56">
        <f t="shared" ca="1" si="106"/>
        <v>50</v>
      </c>
      <c r="AJ308" s="10">
        <f ca="1">AO308+AQ308+(IFERROR(OFFSET(ITEM_RES!$S$1,MATCH(AU308,ITEM_RES!$A:$A,0)-1,0),0)*AW308+IFERROR(OFFSET(ITEM_RES!$S$1,MATCH(AZ308,ITEM_RES!$A:$A,0)-1,0),0)*BB308+IFERROR(OFFSET(ITEM_RES!$S$1,MATCH(BE308,ITEM_RES!$A:$A,0)-1,0),0)*BG308+IFERROR(OFFSET(ITEM_RES!$S$1,MATCH(BJ308,ITEM_RES!$A:$A,0)-1,0),0)*BL308+IFERROR(OFFSET(ITEM_RES!$S$1,MATCH(BO308,ITEM_RES!$A:$A,0)-1,0),0)*BQ308)/1000</f>
        <v>50.1</v>
      </c>
      <c r="AK308" s="183">
        <f t="shared" ca="1" si="117"/>
        <v>80</v>
      </c>
      <c r="AM308" s="11">
        <f t="shared" si="97"/>
        <v>20</v>
      </c>
      <c r="AN308" s="10">
        <v>20</v>
      </c>
      <c r="AO308" s="11">
        <f t="shared" si="104"/>
        <v>25</v>
      </c>
      <c r="AP308" s="10">
        <v>25</v>
      </c>
      <c r="AQ308" s="11">
        <f t="shared" si="104"/>
        <v>25</v>
      </c>
      <c r="AR308" s="10">
        <v>25</v>
      </c>
      <c r="AS308" s="56">
        <f t="shared" si="98"/>
        <v>1</v>
      </c>
      <c r="AU308" s="11">
        <f ca="1">IFERROR(OFFSET(ITEM_RES!$A$1,MATCH(AV308,ITEM_RES!$J:$J,0)-1,0),0)</f>
        <v>211020801</v>
      </c>
      <c r="AV308" s="10" t="s">
        <v>435</v>
      </c>
      <c r="AW308" s="11">
        <v>1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  <c r="BO308" s="11">
        <f ca="1">IFERROR(OFFSET(ITEM_RES!$A$1,MATCH(BP308,ITEM_RES!$J:$J,0)-1,0),0)</f>
        <v>0</v>
      </c>
    </row>
    <row r="309" spans="1:70" x14ac:dyDescent="0.3">
      <c r="A309" s="14">
        <f t="shared" si="100"/>
        <v>111070005</v>
      </c>
      <c r="B309" s="13">
        <v>11</v>
      </c>
      <c r="C309" s="12">
        <f t="shared" si="101"/>
        <v>1</v>
      </c>
      <c r="D309" s="13">
        <v>7</v>
      </c>
      <c r="E309" s="13">
        <v>0</v>
      </c>
      <c r="F309" s="12">
        <f t="shared" si="102"/>
        <v>5</v>
      </c>
      <c r="H309" s="9">
        <v>1</v>
      </c>
      <c r="I309" s="9">
        <v>5</v>
      </c>
      <c r="K309" s="9" t="s">
        <v>713</v>
      </c>
      <c r="M309" s="9" t="s">
        <v>955</v>
      </c>
      <c r="N309" s="9" t="s">
        <v>973</v>
      </c>
      <c r="O309" s="9">
        <v>1</v>
      </c>
      <c r="P309" s="9">
        <v>15</v>
      </c>
      <c r="Q309" s="142"/>
      <c r="U309" s="9" t="s">
        <v>712</v>
      </c>
      <c r="X309" s="9">
        <f ca="1">IFERROR(OFFSET(ITEM_RES!$A$5,MATCH(BUILDING!W309,ITEM_RES!$J$5:$J$226,0)-1,0),0)</f>
        <v>0</v>
      </c>
      <c r="AA309" s="9">
        <f ca="1">IFERROR(OFFSET(ITEM_RES!$A$5,MATCH(BUILDING!Z309,ITEM_RES!$J$5:$J$226,0)-1,0),0)</f>
        <v>0</v>
      </c>
      <c r="AC309" s="9" t="s">
        <v>521</v>
      </c>
      <c r="AD309" s="9">
        <v>5</v>
      </c>
      <c r="AF309" s="11">
        <f ca="1">IFERROR(OFFSET(MANOR_LEVEL!$B$1,MATCH(AG309-1,MANOR_LEVEL!$A:$A,0)-1,0),0)</f>
        <v>4232000</v>
      </c>
      <c r="AG309" s="56">
        <v>16</v>
      </c>
      <c r="AI309" s="56">
        <f t="shared" ca="1" si="106"/>
        <v>80</v>
      </c>
      <c r="AJ309" s="10">
        <f ca="1">AO309+AQ309+(IFERROR(OFFSET(ITEM_RES!$S$1,MATCH(AU309,ITEM_RES!$A:$A,0)-1,0),0)*AW309+IFERROR(OFFSET(ITEM_RES!$S$1,MATCH(AZ309,ITEM_RES!$A:$A,0)-1,0),0)*BB309+IFERROR(OFFSET(ITEM_RES!$S$1,MATCH(BE309,ITEM_RES!$A:$A,0)-1,0),0)*BG309+IFERROR(OFFSET(ITEM_RES!$S$1,MATCH(BJ309,ITEM_RES!$A:$A,0)-1,0),0)*BL309+IFERROR(OFFSET(ITEM_RES!$S$1,MATCH(BO309,ITEM_RES!$A:$A,0)-1,0),0)*BQ309)/1000</f>
        <v>80.099999999999994</v>
      </c>
      <c r="AK309" s="183">
        <f t="shared" ca="1" si="117"/>
        <v>130</v>
      </c>
      <c r="AM309" s="11">
        <f t="shared" si="97"/>
        <v>25</v>
      </c>
      <c r="AN309" s="10">
        <v>25</v>
      </c>
      <c r="AO309" s="11">
        <f t="shared" si="104"/>
        <v>40</v>
      </c>
      <c r="AP309" s="10">
        <v>40</v>
      </c>
      <c r="AQ309" s="11">
        <f t="shared" si="104"/>
        <v>40</v>
      </c>
      <c r="AR309" s="10">
        <v>40</v>
      </c>
      <c r="AS309" s="56">
        <f t="shared" si="98"/>
        <v>1</v>
      </c>
      <c r="AU309" s="11">
        <f ca="1">IFERROR(OFFSET(ITEM_RES!$A$1,MATCH(AV309,ITEM_RES!$J:$J,0)-1,0),0)</f>
        <v>211020801</v>
      </c>
      <c r="AV309" s="10" t="s">
        <v>435</v>
      </c>
      <c r="AW309" s="11">
        <v>1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  <c r="BO309" s="11">
        <f ca="1">IFERROR(OFFSET(ITEM_RES!$A$1,MATCH(BP309,ITEM_RES!$J:$J,0)-1,0),0)</f>
        <v>0</v>
      </c>
    </row>
    <row r="310" spans="1:70" x14ac:dyDescent="0.3">
      <c r="A310" s="14">
        <f t="shared" si="100"/>
        <v>111070006</v>
      </c>
      <c r="B310" s="13">
        <v>11</v>
      </c>
      <c r="C310" s="12">
        <f t="shared" si="101"/>
        <v>1</v>
      </c>
      <c r="D310" s="13">
        <v>7</v>
      </c>
      <c r="E310" s="13">
        <v>0</v>
      </c>
      <c r="F310" s="12">
        <f t="shared" si="102"/>
        <v>6</v>
      </c>
      <c r="H310" s="9">
        <v>1</v>
      </c>
      <c r="I310" s="9">
        <v>6</v>
      </c>
      <c r="K310" s="9" t="s">
        <v>713</v>
      </c>
      <c r="M310" s="9" t="s">
        <v>955</v>
      </c>
      <c r="N310" s="9" t="s">
        <v>973</v>
      </c>
      <c r="O310" s="9">
        <v>1</v>
      </c>
      <c r="P310" s="9">
        <v>15</v>
      </c>
      <c r="Q310" s="142"/>
      <c r="U310" s="9" t="s">
        <v>712</v>
      </c>
      <c r="X310" s="9">
        <f ca="1">IFERROR(OFFSET(ITEM_RES!$A$5,MATCH(BUILDING!W310,ITEM_RES!$J$5:$J$226,0)-1,0),0)</f>
        <v>0</v>
      </c>
      <c r="AA310" s="9">
        <f ca="1">IFERROR(OFFSET(ITEM_RES!$A$5,MATCH(BUILDING!Z310,ITEM_RES!$J$5:$J$226,0)-1,0),0)</f>
        <v>0</v>
      </c>
      <c r="AC310" s="9" t="s">
        <v>521</v>
      </c>
      <c r="AD310" s="9">
        <v>6</v>
      </c>
      <c r="AF310" s="11">
        <f ca="1">IFERROR(OFFSET(MANOR_LEVEL!$B$1,MATCH(AG310-1,MANOR_LEVEL!$A:$A,0)-1,0),0)</f>
        <v>4232000</v>
      </c>
      <c r="AG310" s="56">
        <v>16</v>
      </c>
      <c r="AI310" s="56">
        <f t="shared" ca="1" si="106"/>
        <v>100</v>
      </c>
      <c r="AJ310" s="10">
        <f ca="1">AO310+AQ310+(IFERROR(OFFSET(ITEM_RES!$S$1,MATCH(AU310,ITEM_RES!$A:$A,0)-1,0),0)*AW310+IFERROR(OFFSET(ITEM_RES!$S$1,MATCH(AZ310,ITEM_RES!$A:$A,0)-1,0),0)*BB310+IFERROR(OFFSET(ITEM_RES!$S$1,MATCH(BE310,ITEM_RES!$A:$A,0)-1,0),0)*BG310+IFERROR(OFFSET(ITEM_RES!$S$1,MATCH(BJ310,ITEM_RES!$A:$A,0)-1,0),0)*BL310+IFERROR(OFFSET(ITEM_RES!$S$1,MATCH(BO310,ITEM_RES!$A:$A,0)-1,0),0)*BQ310)/1000</f>
        <v>100.1</v>
      </c>
      <c r="AK310" s="183">
        <f t="shared" ca="1" si="117"/>
        <v>180</v>
      </c>
      <c r="AM310" s="11">
        <f t="shared" si="97"/>
        <v>30</v>
      </c>
      <c r="AN310" s="10">
        <v>30</v>
      </c>
      <c r="AO310" s="11">
        <f t="shared" si="104"/>
        <v>50</v>
      </c>
      <c r="AP310" s="10">
        <v>50</v>
      </c>
      <c r="AQ310" s="11">
        <f t="shared" si="104"/>
        <v>50</v>
      </c>
      <c r="AR310" s="10">
        <v>50</v>
      </c>
      <c r="AS310" s="56">
        <f t="shared" si="98"/>
        <v>1</v>
      </c>
      <c r="AU310" s="11">
        <f ca="1">IFERROR(OFFSET(ITEM_RES!$A$1,MATCH(AV310,ITEM_RES!$J:$J,0)-1,0),0)</f>
        <v>211020801</v>
      </c>
      <c r="AV310" s="10" t="s">
        <v>435</v>
      </c>
      <c r="AW310" s="11">
        <v>1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  <c r="BO310" s="11">
        <f ca="1">IFERROR(OFFSET(ITEM_RES!$A$1,MATCH(BP310,ITEM_RES!$J:$J,0)-1,0),0)</f>
        <v>0</v>
      </c>
    </row>
    <row r="311" spans="1:70" x14ac:dyDescent="0.3">
      <c r="A311" s="14">
        <f t="shared" si="100"/>
        <v>111070007</v>
      </c>
      <c r="B311" s="13">
        <v>11</v>
      </c>
      <c r="C311" s="12">
        <f t="shared" si="101"/>
        <v>1</v>
      </c>
      <c r="D311" s="13">
        <v>7</v>
      </c>
      <c r="E311" s="13">
        <v>0</v>
      </c>
      <c r="F311" s="12">
        <f t="shared" si="102"/>
        <v>7</v>
      </c>
      <c r="H311" s="9">
        <v>1</v>
      </c>
      <c r="I311" s="9">
        <v>7</v>
      </c>
      <c r="K311" s="9" t="s">
        <v>713</v>
      </c>
      <c r="M311" s="9" t="s">
        <v>955</v>
      </c>
      <c r="N311" s="9" t="s">
        <v>973</v>
      </c>
      <c r="O311" s="9">
        <v>1</v>
      </c>
      <c r="P311" s="9">
        <v>15</v>
      </c>
      <c r="Q311" s="142"/>
      <c r="U311" s="9" t="s">
        <v>712</v>
      </c>
      <c r="X311" s="9">
        <f ca="1">IFERROR(OFFSET(ITEM_RES!$A$5,MATCH(BUILDING!W311,ITEM_RES!$J$5:$J$226,0)-1,0),0)</f>
        <v>0</v>
      </c>
      <c r="AA311" s="9">
        <f ca="1">IFERROR(OFFSET(ITEM_RES!$A$5,MATCH(BUILDING!Z311,ITEM_RES!$J$5:$J$226,0)-1,0),0)</f>
        <v>0</v>
      </c>
      <c r="AC311" s="9" t="s">
        <v>521</v>
      </c>
      <c r="AD311" s="9">
        <v>7</v>
      </c>
      <c r="AF311" s="11">
        <f ca="1">IFERROR(OFFSET(MANOR_LEVEL!$B$1,MATCH(AG311-1,MANOR_LEVEL!$A:$A,0)-1,0),0)</f>
        <v>4232000</v>
      </c>
      <c r="AG311" s="56">
        <v>16</v>
      </c>
      <c r="AI311" s="56">
        <f t="shared" ca="1" si="106"/>
        <v>200</v>
      </c>
      <c r="AJ311" s="10">
        <f ca="1">AO311+AQ311+(IFERROR(OFFSET(ITEM_RES!$S$1,MATCH(AU311,ITEM_RES!$A:$A,0)-1,0),0)*AW311+IFERROR(OFFSET(ITEM_RES!$S$1,MATCH(AZ311,ITEM_RES!$A:$A,0)-1,0),0)*BB311+IFERROR(OFFSET(ITEM_RES!$S$1,MATCH(BE311,ITEM_RES!$A:$A,0)-1,0),0)*BG311+IFERROR(OFFSET(ITEM_RES!$S$1,MATCH(BJ311,ITEM_RES!$A:$A,0)-1,0),0)*BL311+IFERROR(OFFSET(ITEM_RES!$S$1,MATCH(BO311,ITEM_RES!$A:$A,0)-1,0),0)*BQ311)/1000</f>
        <v>200.1</v>
      </c>
      <c r="AK311" s="183">
        <f t="shared" ca="1" si="117"/>
        <v>300</v>
      </c>
      <c r="AM311" s="11">
        <f t="shared" si="97"/>
        <v>35</v>
      </c>
      <c r="AN311" s="10">
        <v>35</v>
      </c>
      <c r="AO311" s="11">
        <f t="shared" si="104"/>
        <v>100</v>
      </c>
      <c r="AP311" s="10">
        <v>100</v>
      </c>
      <c r="AQ311" s="11">
        <f t="shared" si="104"/>
        <v>100</v>
      </c>
      <c r="AR311" s="10">
        <v>100</v>
      </c>
      <c r="AS311" s="56">
        <f t="shared" si="98"/>
        <v>1</v>
      </c>
      <c r="AU311" s="11">
        <f ca="1">IFERROR(OFFSET(ITEM_RES!$A$1,MATCH(AV311,ITEM_RES!$J:$J,0)-1,0),0)</f>
        <v>211020801</v>
      </c>
      <c r="AV311" s="10" t="s">
        <v>435</v>
      </c>
      <c r="AW311" s="11">
        <v>1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0</v>
      </c>
      <c r="BJ311" s="11">
        <f ca="1">IFERROR(OFFSET(ITEM_RES!$A$1,MATCH(BK311,ITEM_RES!$J:$J,0)-1,0),0)</f>
        <v>0</v>
      </c>
      <c r="BO311" s="11">
        <f ca="1">IFERROR(OFFSET(ITEM_RES!$A$1,MATCH(BP311,ITEM_RES!$J:$J,0)-1,0),0)</f>
        <v>0</v>
      </c>
    </row>
    <row r="312" spans="1:70" x14ac:dyDescent="0.3">
      <c r="A312" s="14">
        <f t="shared" si="100"/>
        <v>111070008</v>
      </c>
      <c r="B312" s="13">
        <v>11</v>
      </c>
      <c r="C312" s="12">
        <f t="shared" si="101"/>
        <v>1</v>
      </c>
      <c r="D312" s="13">
        <v>7</v>
      </c>
      <c r="E312" s="13">
        <v>0</v>
      </c>
      <c r="F312" s="12">
        <f t="shared" si="102"/>
        <v>8</v>
      </c>
      <c r="H312" s="9">
        <v>1</v>
      </c>
      <c r="I312" s="9">
        <v>8</v>
      </c>
      <c r="K312" s="9" t="s">
        <v>713</v>
      </c>
      <c r="M312" s="9" t="s">
        <v>955</v>
      </c>
      <c r="N312" s="9" t="s">
        <v>973</v>
      </c>
      <c r="O312" s="9">
        <v>1</v>
      </c>
      <c r="P312" s="9">
        <v>15</v>
      </c>
      <c r="Q312" s="142"/>
      <c r="U312" s="9" t="s">
        <v>712</v>
      </c>
      <c r="X312" s="9">
        <f ca="1">IFERROR(OFFSET(ITEM_RES!$A$5,MATCH(BUILDING!W312,ITEM_RES!$J$5:$J$226,0)-1,0),0)</f>
        <v>0</v>
      </c>
      <c r="AA312" s="9">
        <f ca="1">IFERROR(OFFSET(ITEM_RES!$A$5,MATCH(BUILDING!Z312,ITEM_RES!$J$5:$J$226,0)-1,0),0)</f>
        <v>0</v>
      </c>
      <c r="AC312" s="9" t="s">
        <v>521</v>
      </c>
      <c r="AD312" s="9">
        <v>8</v>
      </c>
      <c r="AF312" s="11">
        <f ca="1">IFERROR(OFFSET(MANOR_LEVEL!$B$1,MATCH(AG312-1,MANOR_LEVEL!$A:$A,0)-1,0),0)</f>
        <v>4232000</v>
      </c>
      <c r="AG312" s="56">
        <v>16</v>
      </c>
      <c r="AI312" s="56">
        <f t="shared" ca="1" si="106"/>
        <v>200</v>
      </c>
      <c r="AJ312" s="10">
        <f ca="1">AO312+AQ312+(IFERROR(OFFSET(ITEM_RES!$S$1,MATCH(AU312,ITEM_RES!$A:$A,0)-1,0),0)*AW312+IFERROR(OFFSET(ITEM_RES!$S$1,MATCH(AZ312,ITEM_RES!$A:$A,0)-1,0),0)*BB312+IFERROR(OFFSET(ITEM_RES!$S$1,MATCH(BE312,ITEM_RES!$A:$A,0)-1,0),0)*BG312+IFERROR(OFFSET(ITEM_RES!$S$1,MATCH(BJ312,ITEM_RES!$A:$A,0)-1,0),0)*BL312+IFERROR(OFFSET(ITEM_RES!$S$1,MATCH(BO312,ITEM_RES!$A:$A,0)-1,0),0)*BQ312)/1000</f>
        <v>200.1</v>
      </c>
      <c r="AK312" s="183">
        <f t="shared" ca="1" si="117"/>
        <v>400</v>
      </c>
      <c r="AM312" s="11">
        <f t="shared" si="97"/>
        <v>40</v>
      </c>
      <c r="AN312" s="10">
        <v>40</v>
      </c>
      <c r="AO312" s="11">
        <f t="shared" si="104"/>
        <v>100</v>
      </c>
      <c r="AP312" s="10">
        <v>100</v>
      </c>
      <c r="AQ312" s="11">
        <f t="shared" si="104"/>
        <v>100</v>
      </c>
      <c r="AR312" s="10">
        <v>100</v>
      </c>
      <c r="AS312" s="56">
        <f t="shared" si="98"/>
        <v>1</v>
      </c>
      <c r="AU312" s="11">
        <f ca="1">IFERROR(OFFSET(ITEM_RES!$A$1,MATCH(AV312,ITEM_RES!$J:$J,0)-1,0),0)</f>
        <v>211020801</v>
      </c>
      <c r="AV312" s="10" t="s">
        <v>435</v>
      </c>
      <c r="AW312" s="11">
        <v>1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0</v>
      </c>
      <c r="BJ312" s="11">
        <f ca="1">IFERROR(OFFSET(ITEM_RES!$A$1,MATCH(BK312,ITEM_RES!$J:$J,0)-1,0),0)</f>
        <v>0</v>
      </c>
      <c r="BO312" s="11">
        <f ca="1">IFERROR(OFFSET(ITEM_RES!$A$1,MATCH(BP312,ITEM_RES!$J:$J,0)-1,0),0)</f>
        <v>0</v>
      </c>
    </row>
    <row r="313" spans="1:70" x14ac:dyDescent="0.3">
      <c r="A313" s="14">
        <f t="shared" si="100"/>
        <v>111070009</v>
      </c>
      <c r="B313" s="13">
        <v>11</v>
      </c>
      <c r="C313" s="12">
        <f t="shared" si="101"/>
        <v>1</v>
      </c>
      <c r="D313" s="13">
        <v>7</v>
      </c>
      <c r="E313" s="13">
        <v>0</v>
      </c>
      <c r="F313" s="12">
        <f t="shared" si="102"/>
        <v>9</v>
      </c>
      <c r="H313" s="9">
        <v>1</v>
      </c>
      <c r="I313" s="9">
        <v>9</v>
      </c>
      <c r="K313" s="9" t="s">
        <v>713</v>
      </c>
      <c r="M313" s="9" t="s">
        <v>955</v>
      </c>
      <c r="N313" s="9" t="s">
        <v>973</v>
      </c>
      <c r="O313" s="9">
        <v>1</v>
      </c>
      <c r="P313" s="9">
        <v>15</v>
      </c>
      <c r="Q313" s="142"/>
      <c r="U313" s="9" t="s">
        <v>712</v>
      </c>
      <c r="X313" s="9">
        <f ca="1">IFERROR(OFFSET(ITEM_RES!$A$5,MATCH(BUILDING!W313,ITEM_RES!$J$5:$J$226,0)-1,0),0)</f>
        <v>0</v>
      </c>
      <c r="AA313" s="9">
        <f ca="1">IFERROR(OFFSET(ITEM_RES!$A$5,MATCH(BUILDING!Z313,ITEM_RES!$J$5:$J$226,0)-1,0),0)</f>
        <v>0</v>
      </c>
      <c r="AC313" s="9" t="s">
        <v>521</v>
      </c>
      <c r="AD313" s="9">
        <v>9</v>
      </c>
      <c r="AF313" s="11">
        <f ca="1">IFERROR(OFFSET(MANOR_LEVEL!$B$1,MATCH(AG313-1,MANOR_LEVEL!$A:$A,0)-1,0),0)</f>
        <v>4232000</v>
      </c>
      <c r="AG313" s="56">
        <v>16</v>
      </c>
      <c r="AI313" s="56">
        <f t="shared" ca="1" si="106"/>
        <v>300</v>
      </c>
      <c r="AJ313" s="10">
        <f ca="1">AO313+AQ313+(IFERROR(OFFSET(ITEM_RES!$S$1,MATCH(AU313,ITEM_RES!$A:$A,0)-1,0),0)*AW313+IFERROR(OFFSET(ITEM_RES!$S$1,MATCH(AZ313,ITEM_RES!$A:$A,0)-1,0),0)*BB313+IFERROR(OFFSET(ITEM_RES!$S$1,MATCH(BE313,ITEM_RES!$A:$A,0)-1,0),0)*BG313+IFERROR(OFFSET(ITEM_RES!$S$1,MATCH(BJ313,ITEM_RES!$A:$A,0)-1,0),0)*BL313+IFERROR(OFFSET(ITEM_RES!$S$1,MATCH(BO313,ITEM_RES!$A:$A,0)-1,0),0)*BQ313)/1000</f>
        <v>300.10000000000002</v>
      </c>
      <c r="AK313" s="183">
        <f t="shared" ca="1" si="117"/>
        <v>500</v>
      </c>
      <c r="AM313" s="11">
        <f t="shared" si="97"/>
        <v>45</v>
      </c>
      <c r="AN313" s="10">
        <v>45</v>
      </c>
      <c r="AO313" s="11">
        <f t="shared" si="104"/>
        <v>150</v>
      </c>
      <c r="AP313" s="10">
        <v>150</v>
      </c>
      <c r="AQ313" s="11">
        <f t="shared" si="104"/>
        <v>150</v>
      </c>
      <c r="AR313" s="10">
        <v>150</v>
      </c>
      <c r="AS313" s="56">
        <f t="shared" si="98"/>
        <v>1</v>
      </c>
      <c r="AU313" s="11">
        <f ca="1">IFERROR(OFFSET(ITEM_RES!$A$1,MATCH(AV313,ITEM_RES!$J:$J,0)-1,0),0)</f>
        <v>211020801</v>
      </c>
      <c r="AV313" s="10" t="s">
        <v>435</v>
      </c>
      <c r="AW313" s="11">
        <v>1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  <c r="BO313" s="11">
        <f ca="1">IFERROR(OFFSET(ITEM_RES!$A$1,MATCH(BP313,ITEM_RES!$J:$J,0)-1,0),0)</f>
        <v>0</v>
      </c>
    </row>
    <row r="314" spans="1:70" x14ac:dyDescent="0.3">
      <c r="A314" s="14">
        <f t="shared" si="100"/>
        <v>111070010</v>
      </c>
      <c r="B314" s="13">
        <v>11</v>
      </c>
      <c r="C314" s="12">
        <f t="shared" si="101"/>
        <v>1</v>
      </c>
      <c r="D314" s="13">
        <v>7</v>
      </c>
      <c r="E314" s="13">
        <v>0</v>
      </c>
      <c r="F314" s="12">
        <f t="shared" si="102"/>
        <v>10</v>
      </c>
      <c r="H314" s="9">
        <v>1</v>
      </c>
      <c r="I314" s="9">
        <v>10</v>
      </c>
      <c r="K314" s="9" t="s">
        <v>713</v>
      </c>
      <c r="M314" s="9" t="s">
        <v>955</v>
      </c>
      <c r="N314" s="9" t="s">
        <v>973</v>
      </c>
      <c r="O314" s="9">
        <v>1</v>
      </c>
      <c r="P314" s="9">
        <v>15</v>
      </c>
      <c r="Q314" s="142"/>
      <c r="U314" s="9" t="s">
        <v>712</v>
      </c>
      <c r="X314" s="9">
        <f ca="1">IFERROR(OFFSET(ITEM_RES!$A$5,MATCH(BUILDING!W314,ITEM_RES!$J$5:$J$226,0)-1,0),0)</f>
        <v>0</v>
      </c>
      <c r="AA314" s="9">
        <f ca="1">IFERROR(OFFSET(ITEM_RES!$A$5,MATCH(BUILDING!Z314,ITEM_RES!$J$5:$J$226,0)-1,0),0)</f>
        <v>0</v>
      </c>
      <c r="AC314" s="9" t="s">
        <v>521</v>
      </c>
      <c r="AD314" s="9">
        <v>10</v>
      </c>
      <c r="AF314" s="11">
        <f ca="1">IFERROR(OFFSET(MANOR_LEVEL!$B$1,MATCH(AG314-1,MANOR_LEVEL!$A:$A,0)-1,0),0)</f>
        <v>4232000</v>
      </c>
      <c r="AG314" s="56">
        <v>16</v>
      </c>
      <c r="AI314" s="56">
        <f t="shared" ca="1" si="106"/>
        <v>400</v>
      </c>
      <c r="AJ314" s="10">
        <f ca="1">AO314+AQ314+(IFERROR(OFFSET(ITEM_RES!$S$1,MATCH(AU314,ITEM_RES!$A:$A,0)-1,0),0)*AW314+IFERROR(OFFSET(ITEM_RES!$S$1,MATCH(AZ314,ITEM_RES!$A:$A,0)-1,0),0)*BB314+IFERROR(OFFSET(ITEM_RES!$S$1,MATCH(BE314,ITEM_RES!$A:$A,0)-1,0),0)*BG314+IFERROR(OFFSET(ITEM_RES!$S$1,MATCH(BJ314,ITEM_RES!$A:$A,0)-1,0),0)*BL314+IFERROR(OFFSET(ITEM_RES!$S$1,MATCH(BO314,ITEM_RES!$A:$A,0)-1,0),0)*BQ314)/1000</f>
        <v>400.1</v>
      </c>
      <c r="AK314" s="183">
        <f t="shared" ca="1" si="117"/>
        <v>700</v>
      </c>
      <c r="AM314" s="11">
        <f t="shared" si="97"/>
        <v>50</v>
      </c>
      <c r="AN314" s="10">
        <v>50</v>
      </c>
      <c r="AO314" s="11">
        <f t="shared" si="104"/>
        <v>200</v>
      </c>
      <c r="AP314" s="10">
        <v>200</v>
      </c>
      <c r="AQ314" s="11">
        <f t="shared" si="104"/>
        <v>200</v>
      </c>
      <c r="AR314" s="10">
        <v>200</v>
      </c>
      <c r="AS314" s="56">
        <f t="shared" si="98"/>
        <v>1</v>
      </c>
      <c r="AU314" s="11">
        <f ca="1">IFERROR(OFFSET(ITEM_RES!$A$1,MATCH(AV314,ITEM_RES!$J:$J,0)-1,0),0)</f>
        <v>211020801</v>
      </c>
      <c r="AV314" s="10" t="s">
        <v>435</v>
      </c>
      <c r="AW314" s="11">
        <v>1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  <c r="BO314" s="11">
        <f ca="1">IFERROR(OFFSET(ITEM_RES!$A$1,MATCH(BP314,ITEM_RES!$J:$J,0)-1,0),0)</f>
        <v>0</v>
      </c>
    </row>
    <row r="315" spans="1:70" x14ac:dyDescent="0.3">
      <c r="A315" s="14">
        <f t="shared" si="100"/>
        <v>111070011</v>
      </c>
      <c r="B315" s="13">
        <v>11</v>
      </c>
      <c r="C315" s="12">
        <f t="shared" si="101"/>
        <v>1</v>
      </c>
      <c r="D315" s="13">
        <v>7</v>
      </c>
      <c r="E315" s="13">
        <v>0</v>
      </c>
      <c r="F315" s="12">
        <f t="shared" si="102"/>
        <v>11</v>
      </c>
      <c r="H315" s="9">
        <v>1</v>
      </c>
      <c r="I315" s="9">
        <v>11</v>
      </c>
      <c r="K315" s="9" t="s">
        <v>713</v>
      </c>
      <c r="M315" s="9" t="s">
        <v>955</v>
      </c>
      <c r="N315" s="9" t="s">
        <v>973</v>
      </c>
      <c r="O315" s="9">
        <v>1</v>
      </c>
      <c r="P315" s="9">
        <v>15</v>
      </c>
      <c r="Q315" s="142"/>
      <c r="U315" s="9" t="s">
        <v>712</v>
      </c>
      <c r="X315" s="9">
        <f ca="1">IFERROR(OFFSET(ITEM_RES!$A$5,MATCH(BUILDING!W315,ITEM_RES!$J$5:$J$226,0)-1,0),0)</f>
        <v>0</v>
      </c>
      <c r="AA315" s="9">
        <f ca="1">IFERROR(OFFSET(ITEM_RES!$A$5,MATCH(BUILDING!Z315,ITEM_RES!$J$5:$J$226,0)-1,0),0)</f>
        <v>0</v>
      </c>
      <c r="AC315" s="9" t="s">
        <v>521</v>
      </c>
      <c r="AD315" s="9">
        <v>11</v>
      </c>
      <c r="AF315" s="11">
        <f ca="1">IFERROR(OFFSET(MANOR_LEVEL!$B$1,MATCH(AG315-1,MANOR_LEVEL!$A:$A,0)-1,0),0)</f>
        <v>4232000</v>
      </c>
      <c r="AG315" s="56">
        <v>16</v>
      </c>
      <c r="AI315" s="56">
        <f t="shared" ca="1" si="106"/>
        <v>500</v>
      </c>
      <c r="AJ315" s="10">
        <f ca="1">AO315+AQ315+(IFERROR(OFFSET(ITEM_RES!$S$1,MATCH(AU315,ITEM_RES!$A:$A,0)-1,0),0)*AW315+IFERROR(OFFSET(ITEM_RES!$S$1,MATCH(AZ315,ITEM_RES!$A:$A,0)-1,0),0)*BB315+IFERROR(OFFSET(ITEM_RES!$S$1,MATCH(BE315,ITEM_RES!$A:$A,0)-1,0),0)*BG315+IFERROR(OFFSET(ITEM_RES!$S$1,MATCH(BJ315,ITEM_RES!$A:$A,0)-1,0),0)*BL315+IFERROR(OFFSET(ITEM_RES!$S$1,MATCH(BO315,ITEM_RES!$A:$A,0)-1,0),0)*BQ315)/1000</f>
        <v>500.1</v>
      </c>
      <c r="AK315" s="183">
        <f t="shared" ca="1" si="117"/>
        <v>900</v>
      </c>
      <c r="AM315" s="11">
        <f t="shared" si="97"/>
        <v>55</v>
      </c>
      <c r="AN315" s="10">
        <v>55</v>
      </c>
      <c r="AO315" s="11">
        <f t="shared" si="104"/>
        <v>250</v>
      </c>
      <c r="AP315" s="10">
        <v>250</v>
      </c>
      <c r="AQ315" s="11">
        <f t="shared" si="104"/>
        <v>250</v>
      </c>
      <c r="AR315" s="10">
        <v>250</v>
      </c>
      <c r="AS315" s="56">
        <f t="shared" si="98"/>
        <v>1</v>
      </c>
      <c r="AU315" s="11">
        <f ca="1">IFERROR(OFFSET(ITEM_RES!$A$1,MATCH(AV315,ITEM_RES!$J:$J,0)-1,0),0)</f>
        <v>211020801</v>
      </c>
      <c r="AV315" s="10" t="s">
        <v>435</v>
      </c>
      <c r="AW315" s="11">
        <v>1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  <c r="BO315" s="11">
        <f ca="1">IFERROR(OFFSET(ITEM_RES!$A$1,MATCH(BP315,ITEM_RES!$J:$J,0)-1,0),0)</f>
        <v>0</v>
      </c>
    </row>
    <row r="316" spans="1:70" x14ac:dyDescent="0.3">
      <c r="A316" s="14">
        <f t="shared" si="100"/>
        <v>111070012</v>
      </c>
      <c r="B316" s="13">
        <v>11</v>
      </c>
      <c r="C316" s="12">
        <f t="shared" si="101"/>
        <v>1</v>
      </c>
      <c r="D316" s="13">
        <v>7</v>
      </c>
      <c r="E316" s="13">
        <v>0</v>
      </c>
      <c r="F316" s="12">
        <f t="shared" si="102"/>
        <v>12</v>
      </c>
      <c r="H316" s="9">
        <v>1</v>
      </c>
      <c r="I316" s="9">
        <v>12</v>
      </c>
      <c r="K316" s="9" t="s">
        <v>713</v>
      </c>
      <c r="M316" s="9" t="s">
        <v>955</v>
      </c>
      <c r="N316" s="9" t="s">
        <v>973</v>
      </c>
      <c r="O316" s="9">
        <v>1</v>
      </c>
      <c r="P316" s="9">
        <v>15</v>
      </c>
      <c r="Q316" s="142"/>
      <c r="U316" s="9" t="s">
        <v>712</v>
      </c>
      <c r="X316" s="9">
        <f ca="1">IFERROR(OFFSET(ITEM_RES!$A$5,MATCH(BUILDING!W316,ITEM_RES!$J$5:$J$226,0)-1,0),0)</f>
        <v>0</v>
      </c>
      <c r="AA316" s="9">
        <f ca="1">IFERROR(OFFSET(ITEM_RES!$A$5,MATCH(BUILDING!Z316,ITEM_RES!$J$5:$J$226,0)-1,0),0)</f>
        <v>0</v>
      </c>
      <c r="AC316" s="9" t="s">
        <v>521</v>
      </c>
      <c r="AD316" s="9">
        <v>12</v>
      </c>
      <c r="AF316" s="11">
        <f ca="1">IFERROR(OFFSET(MANOR_LEVEL!$B$1,MATCH(AG316-1,MANOR_LEVEL!$A:$A,0)-1,0),0)</f>
        <v>4232000</v>
      </c>
      <c r="AG316" s="56">
        <v>16</v>
      </c>
      <c r="AI316" s="56">
        <f t="shared" ca="1" si="106"/>
        <v>600</v>
      </c>
      <c r="AJ316" s="10">
        <f ca="1">AO316+AQ316+(IFERROR(OFFSET(ITEM_RES!$S$1,MATCH(AU316,ITEM_RES!$A:$A,0)-1,0),0)*AW316+IFERROR(OFFSET(ITEM_RES!$S$1,MATCH(AZ316,ITEM_RES!$A:$A,0)-1,0),0)*BB316+IFERROR(OFFSET(ITEM_RES!$S$1,MATCH(BE316,ITEM_RES!$A:$A,0)-1,0),0)*BG316+IFERROR(OFFSET(ITEM_RES!$S$1,MATCH(BJ316,ITEM_RES!$A:$A,0)-1,0),0)*BL316+IFERROR(OFFSET(ITEM_RES!$S$1,MATCH(BO316,ITEM_RES!$A:$A,0)-1,0),0)*BQ316)/1000</f>
        <v>600.1</v>
      </c>
      <c r="AK316" s="183">
        <f t="shared" ca="1" si="117"/>
        <v>1100</v>
      </c>
      <c r="AM316" s="11">
        <f t="shared" si="97"/>
        <v>60</v>
      </c>
      <c r="AN316" s="10">
        <v>60</v>
      </c>
      <c r="AO316" s="11">
        <f t="shared" si="104"/>
        <v>300</v>
      </c>
      <c r="AP316" s="10">
        <v>300</v>
      </c>
      <c r="AQ316" s="11">
        <f t="shared" si="104"/>
        <v>300</v>
      </c>
      <c r="AR316" s="10">
        <v>300</v>
      </c>
      <c r="AS316" s="56">
        <f t="shared" si="98"/>
        <v>1</v>
      </c>
      <c r="AU316" s="11">
        <f ca="1">IFERROR(OFFSET(ITEM_RES!$A$1,MATCH(AV316,ITEM_RES!$J:$J,0)-1,0),0)</f>
        <v>211020801</v>
      </c>
      <c r="AV316" s="10" t="s">
        <v>435</v>
      </c>
      <c r="AW316" s="11">
        <v>1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  <c r="BO316" s="11">
        <f ca="1">IFERROR(OFFSET(ITEM_RES!$A$1,MATCH(BP316,ITEM_RES!$J:$J,0)-1,0),0)</f>
        <v>0</v>
      </c>
    </row>
    <row r="317" spans="1:70" x14ac:dyDescent="0.3">
      <c r="A317" s="14">
        <f t="shared" si="100"/>
        <v>111070013</v>
      </c>
      <c r="B317" s="13">
        <v>11</v>
      </c>
      <c r="C317" s="12">
        <f t="shared" si="101"/>
        <v>1</v>
      </c>
      <c r="D317" s="13">
        <v>7</v>
      </c>
      <c r="E317" s="13">
        <v>0</v>
      </c>
      <c r="F317" s="12">
        <f t="shared" si="102"/>
        <v>13</v>
      </c>
      <c r="H317" s="9">
        <v>1</v>
      </c>
      <c r="I317" s="9">
        <v>13</v>
      </c>
      <c r="K317" s="9" t="s">
        <v>713</v>
      </c>
      <c r="M317" s="9" t="s">
        <v>955</v>
      </c>
      <c r="N317" s="9" t="s">
        <v>973</v>
      </c>
      <c r="O317" s="9">
        <v>1</v>
      </c>
      <c r="P317" s="9">
        <v>15</v>
      </c>
      <c r="Q317" s="142"/>
      <c r="U317" s="9" t="s">
        <v>712</v>
      </c>
      <c r="X317" s="9">
        <f ca="1">IFERROR(OFFSET(ITEM_RES!$A$5,MATCH(BUILDING!W317,ITEM_RES!$J$5:$J$226,0)-1,0),0)</f>
        <v>0</v>
      </c>
      <c r="AA317" s="9">
        <f ca="1">IFERROR(OFFSET(ITEM_RES!$A$5,MATCH(BUILDING!Z317,ITEM_RES!$J$5:$J$226,0)-1,0),0)</f>
        <v>0</v>
      </c>
      <c r="AC317" s="9" t="s">
        <v>521</v>
      </c>
      <c r="AD317" s="9">
        <v>13</v>
      </c>
      <c r="AF317" s="11">
        <f ca="1">IFERROR(OFFSET(MANOR_LEVEL!$B$1,MATCH(AG317-1,MANOR_LEVEL!$A:$A,0)-1,0),0)</f>
        <v>4232000</v>
      </c>
      <c r="AG317" s="56">
        <v>16</v>
      </c>
      <c r="AI317" s="56">
        <f t="shared" ca="1" si="106"/>
        <v>700</v>
      </c>
      <c r="AJ317" s="10">
        <f ca="1">AO317+AQ317+(IFERROR(OFFSET(ITEM_RES!$S$1,MATCH(AU317,ITEM_RES!$A:$A,0)-1,0),0)*AW317+IFERROR(OFFSET(ITEM_RES!$S$1,MATCH(AZ317,ITEM_RES!$A:$A,0)-1,0),0)*BB317+IFERROR(OFFSET(ITEM_RES!$S$1,MATCH(BE317,ITEM_RES!$A:$A,0)-1,0),0)*BG317+IFERROR(OFFSET(ITEM_RES!$S$1,MATCH(BJ317,ITEM_RES!$A:$A,0)-1,0),0)*BL317+IFERROR(OFFSET(ITEM_RES!$S$1,MATCH(BO317,ITEM_RES!$A:$A,0)-1,0),0)*BQ317)/1000</f>
        <v>700.1</v>
      </c>
      <c r="AK317" s="183">
        <f t="shared" ca="1" si="117"/>
        <v>1300</v>
      </c>
      <c r="AM317" s="11">
        <f t="shared" si="97"/>
        <v>65</v>
      </c>
      <c r="AN317" s="10">
        <v>65</v>
      </c>
      <c r="AO317" s="11">
        <f t="shared" si="104"/>
        <v>350</v>
      </c>
      <c r="AP317" s="10">
        <v>350</v>
      </c>
      <c r="AQ317" s="11">
        <f t="shared" si="104"/>
        <v>350</v>
      </c>
      <c r="AR317" s="10">
        <v>350</v>
      </c>
      <c r="AS317" s="56">
        <f t="shared" si="98"/>
        <v>1</v>
      </c>
      <c r="AU317" s="11">
        <f ca="1">IFERROR(OFFSET(ITEM_RES!$A$1,MATCH(AV317,ITEM_RES!$J:$J,0)-1,0),0)</f>
        <v>211020801</v>
      </c>
      <c r="AV317" s="10" t="s">
        <v>435</v>
      </c>
      <c r="AW317" s="11">
        <v>1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  <c r="BO317" s="11">
        <f ca="1">IFERROR(OFFSET(ITEM_RES!$A$1,MATCH(BP317,ITEM_RES!$J:$J,0)-1,0),0)</f>
        <v>0</v>
      </c>
    </row>
    <row r="318" spans="1:70" x14ac:dyDescent="0.3">
      <c r="A318" s="14">
        <f t="shared" si="100"/>
        <v>111070014</v>
      </c>
      <c r="B318" s="13">
        <v>11</v>
      </c>
      <c r="C318" s="12">
        <f t="shared" si="101"/>
        <v>1</v>
      </c>
      <c r="D318" s="13">
        <v>7</v>
      </c>
      <c r="E318" s="13">
        <v>0</v>
      </c>
      <c r="F318" s="12">
        <f t="shared" si="102"/>
        <v>14</v>
      </c>
      <c r="H318" s="9">
        <v>1</v>
      </c>
      <c r="I318" s="9">
        <v>14</v>
      </c>
      <c r="K318" s="9" t="s">
        <v>713</v>
      </c>
      <c r="M318" s="9" t="s">
        <v>955</v>
      </c>
      <c r="N318" s="9" t="s">
        <v>973</v>
      </c>
      <c r="O318" s="9">
        <v>1</v>
      </c>
      <c r="P318" s="9">
        <v>15</v>
      </c>
      <c r="Q318" s="142"/>
      <c r="U318" s="9" t="s">
        <v>712</v>
      </c>
      <c r="X318" s="9">
        <f ca="1">IFERROR(OFFSET(ITEM_RES!$A$5,MATCH(BUILDING!W318,ITEM_RES!$J$5:$J$226,0)-1,0),0)</f>
        <v>0</v>
      </c>
      <c r="AA318" s="9">
        <f ca="1">IFERROR(OFFSET(ITEM_RES!$A$5,MATCH(BUILDING!Z318,ITEM_RES!$J$5:$J$226,0)-1,0),0)</f>
        <v>0</v>
      </c>
      <c r="AC318" s="9" t="s">
        <v>521</v>
      </c>
      <c r="AD318" s="9">
        <v>14</v>
      </c>
      <c r="AF318" s="11">
        <f ca="1">IFERROR(OFFSET(MANOR_LEVEL!$B$1,MATCH(AG318-1,MANOR_LEVEL!$A:$A,0)-1,0),0)</f>
        <v>4232000</v>
      </c>
      <c r="AG318" s="56">
        <v>16</v>
      </c>
      <c r="AI318" s="56">
        <f t="shared" ca="1" si="106"/>
        <v>1000</v>
      </c>
      <c r="AJ318" s="10">
        <f ca="1">AO318+AQ318+(IFERROR(OFFSET(ITEM_RES!$S$1,MATCH(AU318,ITEM_RES!$A:$A,0)-1,0),0)*AW318+IFERROR(OFFSET(ITEM_RES!$S$1,MATCH(AZ318,ITEM_RES!$A:$A,0)-1,0),0)*BB318+IFERROR(OFFSET(ITEM_RES!$S$1,MATCH(BE318,ITEM_RES!$A:$A,0)-1,0),0)*BG318+IFERROR(OFFSET(ITEM_RES!$S$1,MATCH(BJ318,ITEM_RES!$A:$A,0)-1,0),0)*BL318+IFERROR(OFFSET(ITEM_RES!$S$1,MATCH(BO318,ITEM_RES!$A:$A,0)-1,0),0)*BQ318)/1000</f>
        <v>1000.1</v>
      </c>
      <c r="AK318" s="183">
        <f t="shared" ca="1" si="117"/>
        <v>1700</v>
      </c>
      <c r="AM318" s="11">
        <f t="shared" si="97"/>
        <v>70</v>
      </c>
      <c r="AN318" s="10">
        <v>70</v>
      </c>
      <c r="AO318" s="11">
        <f t="shared" si="104"/>
        <v>450</v>
      </c>
      <c r="AP318" s="10">
        <v>450</v>
      </c>
      <c r="AQ318" s="11">
        <f t="shared" si="104"/>
        <v>450</v>
      </c>
      <c r="AR318" s="10">
        <v>450</v>
      </c>
      <c r="AS318" s="56">
        <f t="shared" si="98"/>
        <v>2</v>
      </c>
      <c r="AU318" s="11">
        <f ca="1">IFERROR(OFFSET(ITEM_RES!$A$1,MATCH(AV318,ITEM_RES!$J:$J,0)-1,0),0)</f>
        <v>211020801</v>
      </c>
      <c r="AV318" s="10" t="s">
        <v>435</v>
      </c>
      <c r="AW318" s="11">
        <v>1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0</v>
      </c>
      <c r="BJ318" s="11">
        <f ca="1">IFERROR(OFFSET(ITEM_RES!$A$1,MATCH(BK318,ITEM_RES!$J:$J,0)-1,0),0)</f>
        <v>213010901</v>
      </c>
      <c r="BK318" s="10" t="s">
        <v>464</v>
      </c>
      <c r="BL318" s="11">
        <v>1</v>
      </c>
      <c r="BO318" s="11">
        <f ca="1">IFERROR(OFFSET(ITEM_RES!$A$1,MATCH(BP318,ITEM_RES!$J:$J,0)-1,0),0)</f>
        <v>0</v>
      </c>
    </row>
    <row r="319" spans="1:70" x14ac:dyDescent="0.3">
      <c r="A319" s="14">
        <f t="shared" si="100"/>
        <v>111070015</v>
      </c>
      <c r="B319" s="13">
        <v>11</v>
      </c>
      <c r="C319" s="12">
        <f t="shared" si="101"/>
        <v>1</v>
      </c>
      <c r="D319" s="13">
        <v>7</v>
      </c>
      <c r="E319" s="13">
        <v>0</v>
      </c>
      <c r="F319" s="12">
        <f t="shared" si="102"/>
        <v>15</v>
      </c>
      <c r="H319" s="9">
        <v>1</v>
      </c>
      <c r="I319" s="9">
        <v>15</v>
      </c>
      <c r="K319" s="9" t="s">
        <v>713</v>
      </c>
      <c r="M319" s="9" t="s">
        <v>955</v>
      </c>
      <c r="N319" s="9" t="s">
        <v>973</v>
      </c>
      <c r="O319" s="9">
        <v>1</v>
      </c>
      <c r="P319" s="9">
        <v>15</v>
      </c>
      <c r="Q319" s="142"/>
      <c r="U319" s="9" t="s">
        <v>712</v>
      </c>
      <c r="X319" s="9">
        <f ca="1">IFERROR(OFFSET(ITEM_RES!$A$5,MATCH(BUILDING!W319,ITEM_RES!$J$5:$J$226,0)-1,0),0)</f>
        <v>0</v>
      </c>
      <c r="AA319" s="9">
        <f ca="1">IFERROR(OFFSET(ITEM_RES!$A$5,MATCH(BUILDING!Z319,ITEM_RES!$J$5:$J$226,0)-1,0),0)</f>
        <v>0</v>
      </c>
      <c r="AC319" s="9" t="s">
        <v>521</v>
      </c>
      <c r="AD319" s="9">
        <v>15</v>
      </c>
      <c r="AF319" s="11">
        <f ca="1">IFERROR(OFFSET(MANOR_LEVEL!$B$1,MATCH(AG319-1,MANOR_LEVEL!$A:$A,0)-1,0),0)</f>
        <v>4232000</v>
      </c>
      <c r="AG319" s="56">
        <v>16</v>
      </c>
      <c r="AI319" s="56">
        <f t="shared" ca="1" si="106"/>
        <v>1100</v>
      </c>
      <c r="AJ319" s="10">
        <f ca="1">AO319+AQ319+(IFERROR(OFFSET(ITEM_RES!$S$1,MATCH(AU319,ITEM_RES!$A:$A,0)-1,0),0)*AW319+IFERROR(OFFSET(ITEM_RES!$S$1,MATCH(AZ319,ITEM_RES!$A:$A,0)-1,0),0)*BB319+IFERROR(OFFSET(ITEM_RES!$S$1,MATCH(BE319,ITEM_RES!$A:$A,0)-1,0),0)*BG319+IFERROR(OFFSET(ITEM_RES!$S$1,MATCH(BJ319,ITEM_RES!$A:$A,0)-1,0),0)*BL319+IFERROR(OFFSET(ITEM_RES!$S$1,MATCH(BO319,ITEM_RES!$A:$A,0)-1,0),0)*BQ319)/1000</f>
        <v>1100.0999999999999</v>
      </c>
      <c r="AK319" s="183">
        <f t="shared" ca="1" si="117"/>
        <v>2100</v>
      </c>
      <c r="AM319" s="11">
        <f t="shared" si="97"/>
        <v>75</v>
      </c>
      <c r="AN319" s="10">
        <v>75</v>
      </c>
      <c r="AO319" s="11">
        <f t="shared" si="104"/>
        <v>550</v>
      </c>
      <c r="AP319" s="10">
        <v>550</v>
      </c>
      <c r="AQ319" s="11">
        <f t="shared" si="104"/>
        <v>550</v>
      </c>
      <c r="AR319" s="10">
        <v>550</v>
      </c>
      <c r="AS319" s="56">
        <f t="shared" si="98"/>
        <v>1</v>
      </c>
      <c r="AU319" s="11">
        <f ca="1">IFERROR(OFFSET(ITEM_RES!$A$1,MATCH(AV319,ITEM_RES!$J:$J,0)-1,0),0)</f>
        <v>211020801</v>
      </c>
      <c r="AV319" s="10" t="s">
        <v>435</v>
      </c>
      <c r="AW319" s="11">
        <v>1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  <c r="BO319" s="11">
        <f ca="1">IFERROR(OFFSET(ITEM_RES!$A$1,MATCH(BP319,ITEM_RES!$J:$J,0)-1,0),0)</f>
        <v>0</v>
      </c>
    </row>
    <row r="320" spans="1:70" x14ac:dyDescent="0.3">
      <c r="A320" s="14">
        <f t="shared" si="100"/>
        <v>111070016</v>
      </c>
      <c r="B320" s="13">
        <v>11</v>
      </c>
      <c r="C320" s="12">
        <f t="shared" si="101"/>
        <v>1</v>
      </c>
      <c r="D320" s="13">
        <v>7</v>
      </c>
      <c r="E320" s="13">
        <v>0</v>
      </c>
      <c r="F320" s="12">
        <f t="shared" si="102"/>
        <v>16</v>
      </c>
      <c r="H320" s="9">
        <v>1</v>
      </c>
      <c r="I320" s="9">
        <v>16</v>
      </c>
      <c r="K320" s="9" t="s">
        <v>713</v>
      </c>
      <c r="M320" s="9" t="s">
        <v>955</v>
      </c>
      <c r="N320" s="9" t="s">
        <v>973</v>
      </c>
      <c r="O320" s="9">
        <v>0</v>
      </c>
      <c r="P320" s="9">
        <v>15</v>
      </c>
      <c r="Q320" s="142"/>
      <c r="U320" s="9" t="s">
        <v>712</v>
      </c>
      <c r="X320" s="9">
        <f ca="1">IFERROR(OFFSET(ITEM_RES!$A$5,MATCH(BUILDING!W320,ITEM_RES!$J$5:$J$226,0)-1,0),0)</f>
        <v>0</v>
      </c>
      <c r="AA320" s="9">
        <f ca="1">IFERROR(OFFSET(ITEM_RES!$A$5,MATCH(BUILDING!Z320,ITEM_RES!$J$5:$J$226,0)-1,0),0)</f>
        <v>0</v>
      </c>
      <c r="AC320" s="9" t="s">
        <v>521</v>
      </c>
      <c r="AD320" s="9">
        <v>16</v>
      </c>
      <c r="AF320" s="11">
        <f ca="1">IFERROR(OFFSET(MANOR_LEVEL!$B$1,MATCH(AG320-1,MANOR_LEVEL!$A:$A,0)-1,0),0)</f>
        <v>4232000</v>
      </c>
      <c r="AG320" s="56">
        <v>16</v>
      </c>
      <c r="AI320" s="56">
        <f t="shared" ca="1" si="106"/>
        <v>1400</v>
      </c>
      <c r="AJ320" s="10">
        <f ca="1">AO320+AQ320+(IFERROR(OFFSET(ITEM_RES!$S$1,MATCH(AU320,ITEM_RES!$A:$A,0)-1,0),0)*AW320+IFERROR(OFFSET(ITEM_RES!$S$1,MATCH(AZ320,ITEM_RES!$A:$A,0)-1,0),0)*BB320+IFERROR(OFFSET(ITEM_RES!$S$1,MATCH(BE320,ITEM_RES!$A:$A,0)-1,0),0)*BG320+IFERROR(OFFSET(ITEM_RES!$S$1,MATCH(BJ320,ITEM_RES!$A:$A,0)-1,0),0)*BL320+IFERROR(OFFSET(ITEM_RES!$S$1,MATCH(BO320,ITEM_RES!$A:$A,0)-1,0),0)*BQ320)/1000</f>
        <v>1400.1</v>
      </c>
      <c r="AK320" s="183">
        <f t="shared" ca="1" si="117"/>
        <v>2500</v>
      </c>
      <c r="AM320" s="11">
        <f t="shared" si="97"/>
        <v>80</v>
      </c>
      <c r="AN320" s="10">
        <v>80</v>
      </c>
      <c r="AO320" s="11">
        <f t="shared" si="104"/>
        <v>700</v>
      </c>
      <c r="AP320" s="10">
        <v>700</v>
      </c>
      <c r="AQ320" s="11">
        <f t="shared" si="104"/>
        <v>700</v>
      </c>
      <c r="AR320" s="10">
        <v>700</v>
      </c>
      <c r="AS320" s="56">
        <f t="shared" si="98"/>
        <v>1</v>
      </c>
      <c r="AU320" s="11">
        <f ca="1">IFERROR(OFFSET(ITEM_RES!$A$1,MATCH(AV320,ITEM_RES!$J:$J,0)-1,0),0)</f>
        <v>211020801</v>
      </c>
      <c r="AV320" s="10" t="s">
        <v>435</v>
      </c>
      <c r="AW320" s="11">
        <v>1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  <c r="BO320" s="11">
        <f ca="1">IFERROR(OFFSET(ITEM_RES!$A$1,MATCH(BP320,ITEM_RES!$J:$J,0)-1,0),0)</f>
        <v>0</v>
      </c>
    </row>
    <row r="321" spans="1:70" x14ac:dyDescent="0.3">
      <c r="A321" s="14">
        <f t="shared" si="100"/>
        <v>111070017</v>
      </c>
      <c r="B321" s="13">
        <v>11</v>
      </c>
      <c r="C321" s="12">
        <f t="shared" si="101"/>
        <v>1</v>
      </c>
      <c r="D321" s="13">
        <v>7</v>
      </c>
      <c r="E321" s="13">
        <v>0</v>
      </c>
      <c r="F321" s="12">
        <f t="shared" si="102"/>
        <v>17</v>
      </c>
      <c r="H321" s="9">
        <v>1</v>
      </c>
      <c r="I321" s="9">
        <v>17</v>
      </c>
      <c r="K321" s="9" t="s">
        <v>713</v>
      </c>
      <c r="M321" s="9" t="s">
        <v>955</v>
      </c>
      <c r="N321" s="9" t="s">
        <v>973</v>
      </c>
      <c r="O321" s="9">
        <v>0</v>
      </c>
      <c r="P321" s="9">
        <v>15</v>
      </c>
      <c r="Q321" s="142"/>
      <c r="U321" s="9" t="s">
        <v>712</v>
      </c>
      <c r="X321" s="9">
        <f ca="1">IFERROR(OFFSET(ITEM_RES!$A$5,MATCH(BUILDING!W321,ITEM_RES!$J$5:$J$226,0)-1,0),0)</f>
        <v>0</v>
      </c>
      <c r="AA321" s="9">
        <f ca="1">IFERROR(OFFSET(ITEM_RES!$A$5,MATCH(BUILDING!Z321,ITEM_RES!$J$5:$J$226,0)-1,0),0)</f>
        <v>0</v>
      </c>
      <c r="AC321" s="9" t="s">
        <v>521</v>
      </c>
      <c r="AD321" s="9">
        <v>17</v>
      </c>
      <c r="AF321" s="11">
        <f ca="1">IFERROR(OFFSET(MANOR_LEVEL!$B$1,MATCH(AG321-1,MANOR_LEVEL!$A:$A,0)-1,0),0)</f>
        <v>4232000</v>
      </c>
      <c r="AG321" s="56">
        <v>16</v>
      </c>
      <c r="AI321" s="56">
        <f t="shared" ca="1" si="106"/>
        <v>1700</v>
      </c>
      <c r="AJ321" s="10">
        <f ca="1">AO321+AQ321+(IFERROR(OFFSET(ITEM_RES!$S$1,MATCH(AU321,ITEM_RES!$A:$A,0)-1,0),0)*AW321+IFERROR(OFFSET(ITEM_RES!$S$1,MATCH(AZ321,ITEM_RES!$A:$A,0)-1,0),0)*BB321+IFERROR(OFFSET(ITEM_RES!$S$1,MATCH(BE321,ITEM_RES!$A:$A,0)-1,0),0)*BG321+IFERROR(OFFSET(ITEM_RES!$S$1,MATCH(BJ321,ITEM_RES!$A:$A,0)-1,0),0)*BL321+IFERROR(OFFSET(ITEM_RES!$S$1,MATCH(BO321,ITEM_RES!$A:$A,0)-1,0),0)*BQ321)/1000</f>
        <v>1700.1</v>
      </c>
      <c r="AK321" s="183">
        <f t="shared" ca="1" si="117"/>
        <v>3100</v>
      </c>
      <c r="AM321" s="11">
        <f t="shared" ref="AM321:AM384" si="118">ROUND(AN321,0)</f>
        <v>85</v>
      </c>
      <c r="AN321" s="10">
        <v>85</v>
      </c>
      <c r="AO321" s="11">
        <f t="shared" si="104"/>
        <v>850</v>
      </c>
      <c r="AP321" s="10">
        <v>850</v>
      </c>
      <c r="AQ321" s="11">
        <f t="shared" si="104"/>
        <v>850</v>
      </c>
      <c r="AR321" s="10">
        <v>850</v>
      </c>
      <c r="AS321" s="56">
        <f t="shared" si="98"/>
        <v>1</v>
      </c>
      <c r="AU321" s="11">
        <f ca="1">IFERROR(OFFSET(ITEM_RES!$A$1,MATCH(AV321,ITEM_RES!$J:$J,0)-1,0),0)</f>
        <v>211020801</v>
      </c>
      <c r="AV321" s="10" t="s">
        <v>435</v>
      </c>
      <c r="AW321" s="11">
        <v>1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  <c r="BO321" s="11">
        <f ca="1">IFERROR(OFFSET(ITEM_RES!$A$1,MATCH(BP321,ITEM_RES!$J:$J,0)-1,0),0)</f>
        <v>0</v>
      </c>
    </row>
    <row r="322" spans="1:70" x14ac:dyDescent="0.3">
      <c r="A322" s="14">
        <f t="shared" si="100"/>
        <v>111070018</v>
      </c>
      <c r="B322" s="13">
        <v>11</v>
      </c>
      <c r="C322" s="12">
        <f t="shared" si="101"/>
        <v>1</v>
      </c>
      <c r="D322" s="13">
        <v>7</v>
      </c>
      <c r="E322" s="13">
        <v>0</v>
      </c>
      <c r="F322" s="12">
        <f t="shared" si="102"/>
        <v>18</v>
      </c>
      <c r="H322" s="9">
        <v>1</v>
      </c>
      <c r="I322" s="9">
        <v>18</v>
      </c>
      <c r="K322" s="9" t="s">
        <v>713</v>
      </c>
      <c r="M322" s="9" t="s">
        <v>955</v>
      </c>
      <c r="N322" s="9" t="s">
        <v>973</v>
      </c>
      <c r="O322" s="9">
        <v>0</v>
      </c>
      <c r="P322" s="9">
        <v>15</v>
      </c>
      <c r="Q322" s="142"/>
      <c r="U322" s="9" t="s">
        <v>712</v>
      </c>
      <c r="X322" s="9">
        <f ca="1">IFERROR(OFFSET(ITEM_RES!$A$5,MATCH(BUILDING!W322,ITEM_RES!$J$5:$J$226,0)-1,0),0)</f>
        <v>0</v>
      </c>
      <c r="AA322" s="9">
        <f ca="1">IFERROR(OFFSET(ITEM_RES!$A$5,MATCH(BUILDING!Z322,ITEM_RES!$J$5:$J$226,0)-1,0),0)</f>
        <v>0</v>
      </c>
      <c r="AC322" s="9" t="s">
        <v>521</v>
      </c>
      <c r="AD322" s="9">
        <v>18</v>
      </c>
      <c r="AF322" s="11">
        <f ca="1">IFERROR(OFFSET(MANOR_LEVEL!$B$1,MATCH(AG322-1,MANOR_LEVEL!$A:$A,0)-1,0),0)</f>
        <v>4232000</v>
      </c>
      <c r="AG322" s="56">
        <v>16</v>
      </c>
      <c r="AI322" s="56">
        <f t="shared" ca="1" si="106"/>
        <v>2100</v>
      </c>
      <c r="AJ322" s="10">
        <f ca="1">AO322+AQ322+(IFERROR(OFFSET(ITEM_RES!$S$1,MATCH(AU322,ITEM_RES!$A:$A,0)-1,0),0)*AW322+IFERROR(OFFSET(ITEM_RES!$S$1,MATCH(AZ322,ITEM_RES!$A:$A,0)-1,0),0)*BB322+IFERROR(OFFSET(ITEM_RES!$S$1,MATCH(BE322,ITEM_RES!$A:$A,0)-1,0),0)*BG322+IFERROR(OFFSET(ITEM_RES!$S$1,MATCH(BJ322,ITEM_RES!$A:$A,0)-1,0),0)*BL322+IFERROR(OFFSET(ITEM_RES!$S$1,MATCH(BO322,ITEM_RES!$A:$A,0)-1,0),0)*BQ322)/1000</f>
        <v>2100.1999999999998</v>
      </c>
      <c r="AK322" s="183">
        <f t="shared" ca="1" si="117"/>
        <v>3800</v>
      </c>
      <c r="AM322" s="11">
        <f t="shared" si="118"/>
        <v>90</v>
      </c>
      <c r="AN322" s="10">
        <v>90</v>
      </c>
      <c r="AO322" s="11">
        <f t="shared" si="104"/>
        <v>1050</v>
      </c>
      <c r="AP322" s="10">
        <v>1050</v>
      </c>
      <c r="AQ322" s="11">
        <f t="shared" si="104"/>
        <v>1050</v>
      </c>
      <c r="AR322" s="10">
        <v>1050</v>
      </c>
      <c r="AS322" s="56">
        <f t="shared" ref="AS322:AS385" si="119">(AW322&gt;0)*1+(BB322&gt;0)*1+(BG322&gt;0)*1+(BL322&gt;0)*1+(BQ322&gt;0)*1</f>
        <v>1</v>
      </c>
      <c r="AU322" s="11">
        <f ca="1">IFERROR(OFFSET(ITEM_RES!$A$1,MATCH(AV322,ITEM_RES!$J:$J,0)-1,0),0)</f>
        <v>211020901</v>
      </c>
      <c r="AV322" s="10" t="s">
        <v>444</v>
      </c>
      <c r="AW322" s="11">
        <v>1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  <c r="BO322" s="11">
        <f ca="1">IFERROR(OFFSET(ITEM_RES!$A$1,MATCH(BP322,ITEM_RES!$J:$J,0)-1,0),0)</f>
        <v>0</v>
      </c>
    </row>
    <row r="323" spans="1:70" x14ac:dyDescent="0.3">
      <c r="A323" s="14">
        <f t="shared" si="100"/>
        <v>111070019</v>
      </c>
      <c r="B323" s="13">
        <v>11</v>
      </c>
      <c r="C323" s="12">
        <f t="shared" si="101"/>
        <v>1</v>
      </c>
      <c r="D323" s="13">
        <v>7</v>
      </c>
      <c r="E323" s="13">
        <v>0</v>
      </c>
      <c r="F323" s="12">
        <f t="shared" si="102"/>
        <v>19</v>
      </c>
      <c r="H323" s="9">
        <v>1</v>
      </c>
      <c r="I323" s="9">
        <v>19</v>
      </c>
      <c r="K323" s="9" t="s">
        <v>713</v>
      </c>
      <c r="M323" s="9" t="s">
        <v>955</v>
      </c>
      <c r="N323" s="9" t="s">
        <v>973</v>
      </c>
      <c r="O323" s="9">
        <v>0</v>
      </c>
      <c r="P323" s="9">
        <v>15</v>
      </c>
      <c r="Q323" s="142"/>
      <c r="U323" s="9" t="s">
        <v>712</v>
      </c>
      <c r="X323" s="9">
        <f ca="1">IFERROR(OFFSET(ITEM_RES!$A$5,MATCH(BUILDING!W323,ITEM_RES!$J$5:$J$226,0)-1,0),0)</f>
        <v>0</v>
      </c>
      <c r="AA323" s="9">
        <f ca="1">IFERROR(OFFSET(ITEM_RES!$A$5,MATCH(BUILDING!Z323,ITEM_RES!$J$5:$J$226,0)-1,0),0)</f>
        <v>0</v>
      </c>
      <c r="AC323" s="9" t="s">
        <v>521</v>
      </c>
      <c r="AD323" s="9">
        <v>19</v>
      </c>
      <c r="AF323" s="11">
        <f ca="1">IFERROR(OFFSET(MANOR_LEVEL!$B$1,MATCH(AG323-1,MANOR_LEVEL!$A:$A,0)-1,0),0)</f>
        <v>4232000</v>
      </c>
      <c r="AG323" s="56">
        <v>16</v>
      </c>
      <c r="AI323" s="56">
        <f t="shared" ca="1" si="106"/>
        <v>2500</v>
      </c>
      <c r="AJ323" s="10">
        <f ca="1">AO323+AQ323+(IFERROR(OFFSET(ITEM_RES!$S$1,MATCH(AU323,ITEM_RES!$A:$A,0)-1,0),0)*AW323+IFERROR(OFFSET(ITEM_RES!$S$1,MATCH(AZ323,ITEM_RES!$A:$A,0)-1,0),0)*BB323+IFERROR(OFFSET(ITEM_RES!$S$1,MATCH(BE323,ITEM_RES!$A:$A,0)-1,0),0)*BG323+IFERROR(OFFSET(ITEM_RES!$S$1,MATCH(BJ323,ITEM_RES!$A:$A,0)-1,0),0)*BL323+IFERROR(OFFSET(ITEM_RES!$S$1,MATCH(BO323,ITEM_RES!$A:$A,0)-1,0),0)*BQ323)/1000</f>
        <v>2500.1999999999998</v>
      </c>
      <c r="AK323" s="183">
        <f t="shared" ca="1" si="117"/>
        <v>4600</v>
      </c>
      <c r="AM323" s="11">
        <f t="shared" si="118"/>
        <v>95</v>
      </c>
      <c r="AN323" s="10">
        <v>95</v>
      </c>
      <c r="AO323" s="11">
        <f t="shared" si="104"/>
        <v>1250</v>
      </c>
      <c r="AP323" s="10">
        <v>1250</v>
      </c>
      <c r="AQ323" s="11">
        <f t="shared" si="104"/>
        <v>1250</v>
      </c>
      <c r="AR323" s="10">
        <v>1250</v>
      </c>
      <c r="AS323" s="56">
        <f t="shared" si="119"/>
        <v>1</v>
      </c>
      <c r="AU323" s="11">
        <f ca="1">IFERROR(OFFSET(ITEM_RES!$A$1,MATCH(AV323,ITEM_RES!$J:$J,0)-1,0),0)</f>
        <v>211020901</v>
      </c>
      <c r="AV323" s="10" t="s">
        <v>444</v>
      </c>
      <c r="AW323" s="11">
        <v>1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  <c r="BO323" s="11">
        <f ca="1">IFERROR(OFFSET(ITEM_RES!$A$1,MATCH(BP323,ITEM_RES!$J:$J,0)-1,0),0)</f>
        <v>0</v>
      </c>
    </row>
    <row r="324" spans="1:70" ht="17.25" thickBot="1" x14ac:dyDescent="0.35">
      <c r="A324" s="14">
        <f t="shared" si="100"/>
        <v>111070020</v>
      </c>
      <c r="B324" s="13">
        <v>11</v>
      </c>
      <c r="C324" s="12">
        <f t="shared" si="101"/>
        <v>1</v>
      </c>
      <c r="D324" s="13">
        <v>7</v>
      </c>
      <c r="E324" s="13">
        <v>0</v>
      </c>
      <c r="F324" s="12">
        <f t="shared" si="102"/>
        <v>20</v>
      </c>
      <c r="H324" s="9">
        <v>1</v>
      </c>
      <c r="I324" s="9">
        <v>20</v>
      </c>
      <c r="K324" s="9" t="s">
        <v>713</v>
      </c>
      <c r="M324" s="9" t="s">
        <v>955</v>
      </c>
      <c r="N324" s="9" t="s">
        <v>973</v>
      </c>
      <c r="O324" s="9">
        <v>0</v>
      </c>
      <c r="P324" s="9">
        <v>15</v>
      </c>
      <c r="Q324" s="142"/>
      <c r="U324" s="9" t="s">
        <v>712</v>
      </c>
      <c r="X324" s="9">
        <f ca="1">IFERROR(OFFSET(ITEM_RES!$A$5,MATCH(BUILDING!W324,ITEM_RES!$J$5:$J$226,0)-1,0),0)</f>
        <v>0</v>
      </c>
      <c r="AA324" s="9">
        <f ca="1">IFERROR(OFFSET(ITEM_RES!$A$5,MATCH(BUILDING!Z324,ITEM_RES!$J$5:$J$226,0)-1,0),0)</f>
        <v>0</v>
      </c>
      <c r="AC324" s="9" t="s">
        <v>521</v>
      </c>
      <c r="AD324" s="9">
        <v>20</v>
      </c>
      <c r="AF324" s="11">
        <f ca="1">IFERROR(OFFSET(MANOR_LEVEL!$B$1,MATCH(AG324-1,MANOR_LEVEL!$A:$A,0)-1,0),0)</f>
        <v>4232000</v>
      </c>
      <c r="AG324" s="56">
        <v>16</v>
      </c>
      <c r="AI324" s="56">
        <f t="shared" ca="1" si="106"/>
        <v>3000</v>
      </c>
      <c r="AJ324" s="10">
        <f ca="1">AO324+AQ324+(IFERROR(OFFSET(ITEM_RES!$S$1,MATCH(AU324,ITEM_RES!$A:$A,0)-1,0),0)*AW324+IFERROR(OFFSET(ITEM_RES!$S$1,MATCH(AZ324,ITEM_RES!$A:$A,0)-1,0),0)*BB324+IFERROR(OFFSET(ITEM_RES!$S$1,MATCH(BE324,ITEM_RES!$A:$A,0)-1,0),0)*BG324+IFERROR(OFFSET(ITEM_RES!$S$1,MATCH(BJ324,ITEM_RES!$A:$A,0)-1,0),0)*BL324+IFERROR(OFFSET(ITEM_RES!$S$1,MATCH(BO324,ITEM_RES!$A:$A,0)-1,0),0)*BQ324)/1000</f>
        <v>3000.2</v>
      </c>
      <c r="AK324" s="183">
        <f t="shared" ca="1" si="117"/>
        <v>5500</v>
      </c>
      <c r="AM324" s="11">
        <f t="shared" si="118"/>
        <v>100</v>
      </c>
      <c r="AN324" s="10">
        <v>100</v>
      </c>
      <c r="AO324" s="11">
        <f t="shared" si="104"/>
        <v>1500</v>
      </c>
      <c r="AP324" s="10">
        <v>1500</v>
      </c>
      <c r="AQ324" s="11">
        <f t="shared" si="104"/>
        <v>1500</v>
      </c>
      <c r="AR324" s="10">
        <v>1500</v>
      </c>
      <c r="AS324" s="56">
        <f t="shared" si="119"/>
        <v>1</v>
      </c>
      <c r="AU324" s="11">
        <f ca="1">IFERROR(OFFSET(ITEM_RES!$A$1,MATCH(AV324,ITEM_RES!$J:$J,0)-1,0),0)</f>
        <v>211020901</v>
      </c>
      <c r="AV324" s="10" t="s">
        <v>444</v>
      </c>
      <c r="AW324" s="11">
        <v>1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  <c r="BO324" s="11">
        <f ca="1">IFERROR(OFFSET(ITEM_RES!$A$1,MATCH(BP324,ITEM_RES!$J:$J,0)-1,0),0)</f>
        <v>0</v>
      </c>
    </row>
    <row r="325" spans="1:70" s="15" customFormat="1" x14ac:dyDescent="0.3">
      <c r="A325" s="21">
        <f t="shared" si="100"/>
        <v>111080001</v>
      </c>
      <c r="B325" s="20">
        <v>11</v>
      </c>
      <c r="C325" s="19">
        <f t="shared" si="101"/>
        <v>1</v>
      </c>
      <c r="D325" s="20">
        <v>8</v>
      </c>
      <c r="E325" s="20">
        <v>0</v>
      </c>
      <c r="F325" s="19">
        <f t="shared" si="102"/>
        <v>1</v>
      </c>
      <c r="G325" s="79"/>
      <c r="H325" s="16">
        <v>1</v>
      </c>
      <c r="I325" s="16">
        <v>1</v>
      </c>
      <c r="J325" s="79"/>
      <c r="K325" s="16" t="s">
        <v>1023</v>
      </c>
      <c r="L325" s="16">
        <v>6</v>
      </c>
      <c r="M325" s="16" t="s">
        <v>1024</v>
      </c>
      <c r="N325" s="16" t="s">
        <v>1025</v>
      </c>
      <c r="O325" s="16">
        <v>1</v>
      </c>
      <c r="P325" s="16">
        <v>15</v>
      </c>
      <c r="Q325" s="16" t="s">
        <v>784</v>
      </c>
      <c r="R325" s="17"/>
      <c r="S325" s="17"/>
      <c r="T325" s="18"/>
      <c r="U325" s="16" t="s">
        <v>714</v>
      </c>
      <c r="V325" s="79"/>
      <c r="W325" s="87"/>
      <c r="X325" s="16">
        <f ca="1">IFERROR(OFFSET(ITEM_RES!$A$5,MATCH(BUILDING!W325,ITEM_RES!$J$5:$J$226,0)-1,0),0)</f>
        <v>0</v>
      </c>
      <c r="Y325" s="18"/>
      <c r="Z325" s="87"/>
      <c r="AA325" s="16">
        <f ca="1">IFERROR(OFFSET(ITEM_RES!$A$5,MATCH(BUILDING!Z325,ITEM_RES!$J$5:$J$226,0)-1,0),0)</f>
        <v>0</v>
      </c>
      <c r="AB325" s="79"/>
      <c r="AC325" s="16" t="s">
        <v>522</v>
      </c>
      <c r="AD325" s="16">
        <v>1</v>
      </c>
      <c r="AE325" s="79"/>
      <c r="AF325" s="18">
        <f ca="1">IFERROR(OFFSET(MANOR_LEVEL!$B$1,MATCH(AG325-1,MANOR_LEVEL!$A:$A,0)-1,0),0)</f>
        <v>32640</v>
      </c>
      <c r="AG325" s="57">
        <v>7</v>
      </c>
      <c r="AH325" s="79"/>
      <c r="AI325" s="57">
        <f t="shared" ca="1" si="106"/>
        <v>110</v>
      </c>
      <c r="AJ325" s="17">
        <f ca="1">AO325+AQ325+(IFERROR(OFFSET(ITEM_RES!$S$1,MATCH(AU325,ITEM_RES!$A:$A,0)-1,0),0)*AW325+IFERROR(OFFSET(ITEM_RES!$S$1,MATCH(AZ325,ITEM_RES!$A:$A,0)-1,0),0)*BB325+IFERROR(OFFSET(ITEM_RES!$S$1,MATCH(BE325,ITEM_RES!$A:$A,0)-1,0),0)*BG325+IFERROR(OFFSET(ITEM_RES!$S$1,MATCH(BJ325,ITEM_RES!$A:$A,0)-1,0),0)*BL325+IFERROR(OFFSET(ITEM_RES!$S$1,MATCH(BO325,ITEM_RES!$A:$A,0)-1,0),0)*BQ325)/1000</f>
        <v>110.1</v>
      </c>
      <c r="AK325" s="185">
        <f ca="1">AI325</f>
        <v>110</v>
      </c>
      <c r="AL325" s="79"/>
      <c r="AM325" s="18">
        <f t="shared" si="118"/>
        <v>5</v>
      </c>
      <c r="AN325" s="17">
        <v>5</v>
      </c>
      <c r="AO325" s="18">
        <f t="shared" si="104"/>
        <v>5</v>
      </c>
      <c r="AP325" s="17">
        <v>5</v>
      </c>
      <c r="AQ325" s="18">
        <f t="shared" si="104"/>
        <v>5</v>
      </c>
      <c r="AR325" s="17">
        <v>5</v>
      </c>
      <c r="AS325" s="57">
        <f t="shared" si="119"/>
        <v>2</v>
      </c>
      <c r="AT325" s="18"/>
      <c r="AU325" s="18">
        <f ca="1">IFERROR(OFFSET(ITEM_RES!$A$1,MATCH(AV325,ITEM_RES!$J:$J,0)-1,0),0)</f>
        <v>211020801</v>
      </c>
      <c r="AV325" s="17" t="s">
        <v>435</v>
      </c>
      <c r="AW325" s="18">
        <v>1</v>
      </c>
      <c r="AX325" s="17"/>
      <c r="AY325" s="18"/>
      <c r="AZ325" s="18">
        <f ca="1">IFERROR(OFFSET(ITEM_RES!$A$1,MATCH(BA325,ITEM_RES!$J:$J,0)-1,0),0)</f>
        <v>0</v>
      </c>
      <c r="BA325" s="17"/>
      <c r="BB325" s="18"/>
      <c r="BC325" s="17"/>
      <c r="BD325" s="18"/>
      <c r="BE325" s="18">
        <f ca="1">IFERROR(OFFSET(ITEM_RES!$A$1,MATCH(BF325,ITEM_RES!$J:$J,0)-1,0),0)</f>
        <v>213010101</v>
      </c>
      <c r="BF325" s="17" t="s">
        <v>452</v>
      </c>
      <c r="BG325" s="18">
        <v>1</v>
      </c>
      <c r="BH325" s="17"/>
      <c r="BI325" s="18"/>
      <c r="BJ325" s="18">
        <f ca="1">IFERROR(OFFSET(ITEM_RES!$A$1,MATCH(BK325,ITEM_RES!$J:$J,0)-1,0),0)</f>
        <v>0</v>
      </c>
      <c r="BK325" s="17"/>
      <c r="BL325" s="18"/>
      <c r="BM325" s="17"/>
      <c r="BN325" s="18"/>
      <c r="BO325" s="18">
        <f ca="1">IFERROR(OFFSET(ITEM_RES!$A$1,MATCH(BP325,ITEM_RES!$J:$J,0)-1,0),0)</f>
        <v>0</v>
      </c>
      <c r="BP325" s="17"/>
      <c r="BQ325" s="18"/>
      <c r="BR325" s="17"/>
    </row>
    <row r="326" spans="1:70" x14ac:dyDescent="0.3">
      <c r="A326" s="14">
        <f t="shared" si="100"/>
        <v>111080002</v>
      </c>
      <c r="B326" s="13">
        <v>11</v>
      </c>
      <c r="C326" s="12">
        <f t="shared" si="101"/>
        <v>1</v>
      </c>
      <c r="D326" s="13">
        <v>8</v>
      </c>
      <c r="E326" s="13">
        <v>0</v>
      </c>
      <c r="F326" s="12">
        <f t="shared" si="102"/>
        <v>2</v>
      </c>
      <c r="H326" s="9">
        <v>1</v>
      </c>
      <c r="I326" s="9">
        <v>2</v>
      </c>
      <c r="K326" s="9" t="s">
        <v>1023</v>
      </c>
      <c r="M326" s="9" t="s">
        <v>1024</v>
      </c>
      <c r="N326" s="9" t="s">
        <v>1025</v>
      </c>
      <c r="O326" s="9">
        <v>1</v>
      </c>
      <c r="P326" s="9">
        <v>15</v>
      </c>
      <c r="Q326" s="9" t="s">
        <v>784</v>
      </c>
      <c r="U326" s="9" t="s">
        <v>714</v>
      </c>
      <c r="X326" s="9">
        <f ca="1">IFERROR(OFFSET(ITEM_RES!$A$5,MATCH(BUILDING!W326,ITEM_RES!$J$5:$J$226,0)-1,0),0)</f>
        <v>0</v>
      </c>
      <c r="AA326" s="9">
        <f ca="1">IFERROR(OFFSET(ITEM_RES!$A$5,MATCH(BUILDING!Z326,ITEM_RES!$J$5:$J$226,0)-1,0),0)</f>
        <v>0</v>
      </c>
      <c r="AC326" s="9" t="s">
        <v>522</v>
      </c>
      <c r="AD326" s="9">
        <v>2</v>
      </c>
      <c r="AF326" s="11">
        <f ca="1">IFERROR(OFFSET(MANOR_LEVEL!$B$1,MATCH(AG326-1,MANOR_LEVEL!$A:$A,0)-1,0),0)</f>
        <v>94800</v>
      </c>
      <c r="AG326" s="56">
        <v>8</v>
      </c>
      <c r="AI326" s="56">
        <f t="shared" ca="1" si="106"/>
        <v>20</v>
      </c>
      <c r="AJ326" s="10">
        <f ca="1">AO326+AQ326+(IFERROR(OFFSET(ITEM_RES!$S$1,MATCH(AU326,ITEM_RES!$A:$A,0)-1,0),0)*AW326+IFERROR(OFFSET(ITEM_RES!$S$1,MATCH(AZ326,ITEM_RES!$A:$A,0)-1,0),0)*BB326+IFERROR(OFFSET(ITEM_RES!$S$1,MATCH(BE326,ITEM_RES!$A:$A,0)-1,0),0)*BG326+IFERROR(OFFSET(ITEM_RES!$S$1,MATCH(BJ326,ITEM_RES!$A:$A,0)-1,0),0)*BL326+IFERROR(OFFSET(ITEM_RES!$S$1,MATCH(BO326,ITEM_RES!$A:$A,0)-1,0),0)*BQ326)/1000</f>
        <v>20.100000000000001</v>
      </c>
      <c r="AK326" s="183">
        <f ca="1">AI325+AI326</f>
        <v>130</v>
      </c>
      <c r="AM326" s="11">
        <f t="shared" si="118"/>
        <v>10</v>
      </c>
      <c r="AN326" s="10">
        <v>10</v>
      </c>
      <c r="AO326" s="11">
        <f t="shared" si="104"/>
        <v>10</v>
      </c>
      <c r="AP326" s="10">
        <v>10</v>
      </c>
      <c r="AQ326" s="11">
        <f t="shared" si="104"/>
        <v>10</v>
      </c>
      <c r="AR326" s="10">
        <v>10</v>
      </c>
      <c r="AS326" s="56">
        <f t="shared" si="119"/>
        <v>1</v>
      </c>
      <c r="AU326" s="11">
        <f ca="1">IFERROR(OFFSET(ITEM_RES!$A$1,MATCH(AV326,ITEM_RES!$J:$J,0)-1,0),0)</f>
        <v>211020801</v>
      </c>
      <c r="AV326" s="10" t="s">
        <v>435</v>
      </c>
      <c r="AW326" s="11">
        <v>1</v>
      </c>
      <c r="AZ326" s="11">
        <f ca="1">IFERROR(OFFSET(ITEM_RES!$A$1,MATCH(BA326,ITEM_RES!$J:$J,0)-1,0),0)</f>
        <v>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  <c r="BO326" s="11">
        <f ca="1">IFERROR(OFFSET(ITEM_RES!$A$1,MATCH(BP326,ITEM_RES!$J:$J,0)-1,0),0)</f>
        <v>0</v>
      </c>
    </row>
    <row r="327" spans="1:70" x14ac:dyDescent="0.3">
      <c r="A327" s="14">
        <f t="shared" si="100"/>
        <v>111080003</v>
      </c>
      <c r="B327" s="13">
        <v>11</v>
      </c>
      <c r="C327" s="12">
        <f t="shared" si="101"/>
        <v>1</v>
      </c>
      <c r="D327" s="13">
        <v>8</v>
      </c>
      <c r="E327" s="13">
        <v>0</v>
      </c>
      <c r="F327" s="12">
        <f t="shared" si="102"/>
        <v>3</v>
      </c>
      <c r="H327" s="9">
        <v>1</v>
      </c>
      <c r="I327" s="9">
        <v>3</v>
      </c>
      <c r="K327" s="9" t="s">
        <v>1023</v>
      </c>
      <c r="M327" s="9" t="s">
        <v>1024</v>
      </c>
      <c r="N327" s="9" t="s">
        <v>1025</v>
      </c>
      <c r="O327" s="9">
        <v>1</v>
      </c>
      <c r="P327" s="9">
        <v>15</v>
      </c>
      <c r="Q327" s="9" t="s">
        <v>784</v>
      </c>
      <c r="U327" s="9" t="s">
        <v>714</v>
      </c>
      <c r="X327" s="9">
        <f ca="1">IFERROR(OFFSET(ITEM_RES!$A$5,MATCH(BUILDING!W327,ITEM_RES!$J$5:$J$226,0)-1,0),0)</f>
        <v>0</v>
      </c>
      <c r="AA327" s="9">
        <f ca="1">IFERROR(OFFSET(ITEM_RES!$A$5,MATCH(BUILDING!Z327,ITEM_RES!$J$5:$J$226,0)-1,0),0)</f>
        <v>0</v>
      </c>
      <c r="AC327" s="9" t="s">
        <v>522</v>
      </c>
      <c r="AD327" s="9">
        <v>3</v>
      </c>
      <c r="AF327" s="11">
        <f ca="1">IFERROR(OFFSET(MANOR_LEVEL!$B$1,MATCH(AG327-1,MANOR_LEVEL!$A:$A,0)-1,0),0)</f>
        <v>186400</v>
      </c>
      <c r="AG327" s="56">
        <v>9</v>
      </c>
      <c r="AI327" s="56">
        <f t="shared" ca="1" si="106"/>
        <v>30</v>
      </c>
      <c r="AJ327" s="10">
        <f ca="1">AO327+AQ327+(IFERROR(OFFSET(ITEM_RES!$S$1,MATCH(AU327,ITEM_RES!$A:$A,0)-1,0),0)*AW327+IFERROR(OFFSET(ITEM_RES!$S$1,MATCH(AZ327,ITEM_RES!$A:$A,0)-1,0),0)*BB327+IFERROR(OFFSET(ITEM_RES!$S$1,MATCH(BE327,ITEM_RES!$A:$A,0)-1,0),0)*BG327+IFERROR(OFFSET(ITEM_RES!$S$1,MATCH(BJ327,ITEM_RES!$A:$A,0)-1,0),0)*BL327+IFERROR(OFFSET(ITEM_RES!$S$1,MATCH(BO327,ITEM_RES!$A:$A,0)-1,0),0)*BQ327)/1000</f>
        <v>30.1</v>
      </c>
      <c r="AK327" s="183">
        <f t="shared" ref="AK327:AK344" ca="1" si="120">AI326+AI327</f>
        <v>50</v>
      </c>
      <c r="AM327" s="11">
        <f t="shared" si="118"/>
        <v>15</v>
      </c>
      <c r="AN327" s="10">
        <v>15</v>
      </c>
      <c r="AO327" s="11">
        <f t="shared" si="104"/>
        <v>15</v>
      </c>
      <c r="AP327" s="10">
        <v>15</v>
      </c>
      <c r="AQ327" s="11">
        <f t="shared" si="104"/>
        <v>15</v>
      </c>
      <c r="AR327" s="10">
        <v>15</v>
      </c>
      <c r="AS327" s="56">
        <f t="shared" si="119"/>
        <v>1</v>
      </c>
      <c r="AU327" s="11">
        <f ca="1">IFERROR(OFFSET(ITEM_RES!$A$1,MATCH(AV327,ITEM_RES!$J:$J,0)-1,0),0)</f>
        <v>211020801</v>
      </c>
      <c r="AV327" s="10" t="s">
        <v>435</v>
      </c>
      <c r="AW327" s="11">
        <v>1</v>
      </c>
      <c r="AZ327" s="11">
        <f ca="1">IFERROR(OFFSET(ITEM_RES!$A$1,MATCH(BA327,ITEM_RES!$J:$J,0)-1,0),0)</f>
        <v>0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  <c r="BO327" s="11">
        <f ca="1">IFERROR(OFFSET(ITEM_RES!$A$1,MATCH(BP327,ITEM_RES!$J:$J,0)-1,0),0)</f>
        <v>0</v>
      </c>
    </row>
    <row r="328" spans="1:70" x14ac:dyDescent="0.3">
      <c r="A328" s="14">
        <f t="shared" si="100"/>
        <v>111080004</v>
      </c>
      <c r="B328" s="13">
        <v>11</v>
      </c>
      <c r="C328" s="12">
        <f t="shared" si="101"/>
        <v>1</v>
      </c>
      <c r="D328" s="13">
        <v>8</v>
      </c>
      <c r="E328" s="13">
        <v>0</v>
      </c>
      <c r="F328" s="12">
        <f t="shared" si="102"/>
        <v>4</v>
      </c>
      <c r="H328" s="9">
        <v>1</v>
      </c>
      <c r="I328" s="9">
        <v>4</v>
      </c>
      <c r="K328" s="9" t="s">
        <v>1023</v>
      </c>
      <c r="M328" s="9" t="s">
        <v>1024</v>
      </c>
      <c r="N328" s="9" t="s">
        <v>1025</v>
      </c>
      <c r="O328" s="9">
        <v>1</v>
      </c>
      <c r="P328" s="9">
        <v>15</v>
      </c>
      <c r="Q328" s="9" t="s">
        <v>784</v>
      </c>
      <c r="U328" s="9" t="s">
        <v>714</v>
      </c>
      <c r="X328" s="9">
        <f ca="1">IFERROR(OFFSET(ITEM_RES!$A$5,MATCH(BUILDING!W328,ITEM_RES!$J$5:$J$226,0)-1,0),0)</f>
        <v>0</v>
      </c>
      <c r="AA328" s="9">
        <f ca="1">IFERROR(OFFSET(ITEM_RES!$A$5,MATCH(BUILDING!Z328,ITEM_RES!$J$5:$J$226,0)-1,0),0)</f>
        <v>0</v>
      </c>
      <c r="AC328" s="9" t="s">
        <v>522</v>
      </c>
      <c r="AD328" s="9">
        <v>4</v>
      </c>
      <c r="AF328" s="11">
        <f ca="1">IFERROR(OFFSET(MANOR_LEVEL!$B$1,MATCH(AG328-1,MANOR_LEVEL!$A:$A,0)-1,0),0)</f>
        <v>186400</v>
      </c>
      <c r="AG328" s="56">
        <v>9</v>
      </c>
      <c r="AI328" s="56">
        <f t="shared" ca="1" si="106"/>
        <v>50</v>
      </c>
      <c r="AJ328" s="10">
        <f ca="1">AO328+AQ328+(IFERROR(OFFSET(ITEM_RES!$S$1,MATCH(AU328,ITEM_RES!$A:$A,0)-1,0),0)*AW328+IFERROR(OFFSET(ITEM_RES!$S$1,MATCH(AZ328,ITEM_RES!$A:$A,0)-1,0),0)*BB328+IFERROR(OFFSET(ITEM_RES!$S$1,MATCH(BE328,ITEM_RES!$A:$A,0)-1,0),0)*BG328+IFERROR(OFFSET(ITEM_RES!$S$1,MATCH(BJ328,ITEM_RES!$A:$A,0)-1,0),0)*BL328+IFERROR(OFFSET(ITEM_RES!$S$1,MATCH(BO328,ITEM_RES!$A:$A,0)-1,0),0)*BQ328)/1000</f>
        <v>50.1</v>
      </c>
      <c r="AK328" s="183">
        <f t="shared" ca="1" si="120"/>
        <v>80</v>
      </c>
      <c r="AM328" s="11">
        <f t="shared" si="118"/>
        <v>20</v>
      </c>
      <c r="AN328" s="10">
        <v>20</v>
      </c>
      <c r="AO328" s="11">
        <f t="shared" si="104"/>
        <v>25</v>
      </c>
      <c r="AP328" s="10">
        <v>25</v>
      </c>
      <c r="AQ328" s="11">
        <f t="shared" si="104"/>
        <v>25</v>
      </c>
      <c r="AR328" s="10">
        <v>25</v>
      </c>
      <c r="AS328" s="56">
        <f t="shared" si="119"/>
        <v>1</v>
      </c>
      <c r="AU328" s="11">
        <f ca="1">IFERROR(OFFSET(ITEM_RES!$A$1,MATCH(AV328,ITEM_RES!$J:$J,0)-1,0),0)</f>
        <v>211020801</v>
      </c>
      <c r="AV328" s="10" t="s">
        <v>435</v>
      </c>
      <c r="AW328" s="11">
        <v>1</v>
      </c>
      <c r="AZ328" s="11">
        <f ca="1">IFERROR(OFFSET(ITEM_RES!$A$1,MATCH(BA328,ITEM_RES!$J:$J,0)-1,0),0)</f>
        <v>0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  <c r="BO328" s="11">
        <f ca="1">IFERROR(OFFSET(ITEM_RES!$A$1,MATCH(BP328,ITEM_RES!$J:$J,0)-1,0),0)</f>
        <v>0</v>
      </c>
    </row>
    <row r="329" spans="1:70" x14ac:dyDescent="0.3">
      <c r="A329" s="14">
        <f t="shared" si="100"/>
        <v>111080005</v>
      </c>
      <c r="B329" s="13">
        <v>11</v>
      </c>
      <c r="C329" s="12">
        <f t="shared" si="101"/>
        <v>1</v>
      </c>
      <c r="D329" s="13">
        <v>8</v>
      </c>
      <c r="E329" s="13">
        <v>0</v>
      </c>
      <c r="F329" s="12">
        <f t="shared" si="102"/>
        <v>5</v>
      </c>
      <c r="H329" s="9">
        <v>1</v>
      </c>
      <c r="I329" s="9">
        <v>5</v>
      </c>
      <c r="K329" s="9" t="s">
        <v>1023</v>
      </c>
      <c r="M329" s="9" t="s">
        <v>1024</v>
      </c>
      <c r="N329" s="9" t="s">
        <v>1025</v>
      </c>
      <c r="O329" s="9">
        <v>1</v>
      </c>
      <c r="P329" s="9">
        <v>15</v>
      </c>
      <c r="Q329" s="9" t="s">
        <v>784</v>
      </c>
      <c r="U329" s="9" t="s">
        <v>714</v>
      </c>
      <c r="X329" s="9">
        <f ca="1">IFERROR(OFFSET(ITEM_RES!$A$5,MATCH(BUILDING!W329,ITEM_RES!$J$5:$J$226,0)-1,0),0)</f>
        <v>0</v>
      </c>
      <c r="AA329" s="9">
        <f ca="1">IFERROR(OFFSET(ITEM_RES!$A$5,MATCH(BUILDING!Z329,ITEM_RES!$J$5:$J$226,0)-1,0),0)</f>
        <v>0</v>
      </c>
      <c r="AC329" s="9" t="s">
        <v>522</v>
      </c>
      <c r="AD329" s="9">
        <v>5</v>
      </c>
      <c r="AF329" s="11">
        <f ca="1">IFERROR(OFFSET(MANOR_LEVEL!$B$1,MATCH(AG329-1,MANOR_LEVEL!$A:$A,0)-1,0),0)</f>
        <v>311600</v>
      </c>
      <c r="AG329" s="56">
        <v>10</v>
      </c>
      <c r="AI329" s="56">
        <f t="shared" ca="1" si="106"/>
        <v>80</v>
      </c>
      <c r="AJ329" s="10">
        <f ca="1">AO329+AQ329+(IFERROR(OFFSET(ITEM_RES!$S$1,MATCH(AU329,ITEM_RES!$A:$A,0)-1,0),0)*AW329+IFERROR(OFFSET(ITEM_RES!$S$1,MATCH(AZ329,ITEM_RES!$A:$A,0)-1,0),0)*BB329+IFERROR(OFFSET(ITEM_RES!$S$1,MATCH(BE329,ITEM_RES!$A:$A,0)-1,0),0)*BG329+IFERROR(OFFSET(ITEM_RES!$S$1,MATCH(BJ329,ITEM_RES!$A:$A,0)-1,0),0)*BL329+IFERROR(OFFSET(ITEM_RES!$S$1,MATCH(BO329,ITEM_RES!$A:$A,0)-1,0),0)*BQ329)/1000</f>
        <v>80.099999999999994</v>
      </c>
      <c r="AK329" s="183">
        <f t="shared" ca="1" si="120"/>
        <v>130</v>
      </c>
      <c r="AM329" s="11">
        <f t="shared" si="118"/>
        <v>25</v>
      </c>
      <c r="AN329" s="10">
        <v>25</v>
      </c>
      <c r="AO329" s="11">
        <f t="shared" si="104"/>
        <v>40</v>
      </c>
      <c r="AP329" s="10">
        <v>40</v>
      </c>
      <c r="AQ329" s="11">
        <f t="shared" si="104"/>
        <v>40</v>
      </c>
      <c r="AR329" s="10">
        <v>40</v>
      </c>
      <c r="AS329" s="56">
        <f t="shared" si="119"/>
        <v>1</v>
      </c>
      <c r="AU329" s="11">
        <f ca="1">IFERROR(OFFSET(ITEM_RES!$A$1,MATCH(AV329,ITEM_RES!$J:$J,0)-1,0),0)</f>
        <v>211020801</v>
      </c>
      <c r="AV329" s="10" t="s">
        <v>435</v>
      </c>
      <c r="AW329" s="11">
        <v>1</v>
      </c>
      <c r="AZ329" s="11">
        <f ca="1">IFERROR(OFFSET(ITEM_RES!$A$1,MATCH(BA329,ITEM_RES!$J:$J,0)-1,0),0)</f>
        <v>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  <c r="BO329" s="11">
        <f ca="1">IFERROR(OFFSET(ITEM_RES!$A$1,MATCH(BP329,ITEM_RES!$J:$J,0)-1,0),0)</f>
        <v>0</v>
      </c>
    </row>
    <row r="330" spans="1:70" x14ac:dyDescent="0.3">
      <c r="A330" s="14">
        <f t="shared" si="100"/>
        <v>111080006</v>
      </c>
      <c r="B330" s="13">
        <v>11</v>
      </c>
      <c r="C330" s="12">
        <f t="shared" si="101"/>
        <v>1</v>
      </c>
      <c r="D330" s="13">
        <v>8</v>
      </c>
      <c r="E330" s="13">
        <v>0</v>
      </c>
      <c r="F330" s="12">
        <f t="shared" si="102"/>
        <v>6</v>
      </c>
      <c r="H330" s="9">
        <v>1</v>
      </c>
      <c r="I330" s="9">
        <v>6</v>
      </c>
      <c r="K330" s="9" t="s">
        <v>1023</v>
      </c>
      <c r="M330" s="9" t="s">
        <v>1024</v>
      </c>
      <c r="N330" s="9" t="s">
        <v>1025</v>
      </c>
      <c r="O330" s="9">
        <v>1</v>
      </c>
      <c r="P330" s="9">
        <v>15</v>
      </c>
      <c r="Q330" s="9" t="s">
        <v>784</v>
      </c>
      <c r="U330" s="9" t="s">
        <v>714</v>
      </c>
      <c r="X330" s="9">
        <f ca="1">IFERROR(OFFSET(ITEM_RES!$A$5,MATCH(BUILDING!W330,ITEM_RES!$J$5:$J$226,0)-1,0),0)</f>
        <v>0</v>
      </c>
      <c r="AA330" s="9">
        <f ca="1">IFERROR(OFFSET(ITEM_RES!$A$5,MATCH(BUILDING!Z330,ITEM_RES!$J$5:$J$226,0)-1,0),0)</f>
        <v>0</v>
      </c>
      <c r="AC330" s="9" t="s">
        <v>522</v>
      </c>
      <c r="AD330" s="9">
        <v>6</v>
      </c>
      <c r="AF330" s="11">
        <f ca="1">IFERROR(OFFSET(MANOR_LEVEL!$B$1,MATCH(AG330-1,MANOR_LEVEL!$A:$A,0)-1,0),0)</f>
        <v>311600</v>
      </c>
      <c r="AG330" s="56">
        <v>10</v>
      </c>
      <c r="AI330" s="56">
        <f t="shared" ca="1" si="106"/>
        <v>100</v>
      </c>
      <c r="AJ330" s="10">
        <f ca="1">AO330+AQ330+(IFERROR(OFFSET(ITEM_RES!$S$1,MATCH(AU330,ITEM_RES!$A:$A,0)-1,0),0)*AW330+IFERROR(OFFSET(ITEM_RES!$S$1,MATCH(AZ330,ITEM_RES!$A:$A,0)-1,0),0)*BB330+IFERROR(OFFSET(ITEM_RES!$S$1,MATCH(BE330,ITEM_RES!$A:$A,0)-1,0),0)*BG330+IFERROR(OFFSET(ITEM_RES!$S$1,MATCH(BJ330,ITEM_RES!$A:$A,0)-1,0),0)*BL330+IFERROR(OFFSET(ITEM_RES!$S$1,MATCH(BO330,ITEM_RES!$A:$A,0)-1,0),0)*BQ330)/1000</f>
        <v>100.1</v>
      </c>
      <c r="AK330" s="183">
        <f t="shared" ca="1" si="120"/>
        <v>180</v>
      </c>
      <c r="AM330" s="11">
        <f t="shared" si="118"/>
        <v>30</v>
      </c>
      <c r="AN330" s="10">
        <v>30</v>
      </c>
      <c r="AO330" s="11">
        <f t="shared" si="104"/>
        <v>50</v>
      </c>
      <c r="AP330" s="10">
        <v>50</v>
      </c>
      <c r="AQ330" s="11">
        <f t="shared" si="104"/>
        <v>50</v>
      </c>
      <c r="AR330" s="10">
        <v>50</v>
      </c>
      <c r="AS330" s="56">
        <f t="shared" si="119"/>
        <v>1</v>
      </c>
      <c r="AU330" s="11">
        <f ca="1">IFERROR(OFFSET(ITEM_RES!$A$1,MATCH(AV330,ITEM_RES!$J:$J,0)-1,0),0)</f>
        <v>211020801</v>
      </c>
      <c r="AV330" s="10" t="s">
        <v>435</v>
      </c>
      <c r="AW330" s="11">
        <v>1</v>
      </c>
      <c r="AZ330" s="11">
        <f ca="1">IFERROR(OFFSET(ITEM_RES!$A$1,MATCH(BA330,ITEM_RES!$J:$J,0)-1,0),0)</f>
        <v>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  <c r="BO330" s="11">
        <f ca="1">IFERROR(OFFSET(ITEM_RES!$A$1,MATCH(BP330,ITEM_RES!$J:$J,0)-1,0),0)</f>
        <v>0</v>
      </c>
    </row>
    <row r="331" spans="1:70" x14ac:dyDescent="0.3">
      <c r="A331" s="14">
        <f t="shared" si="100"/>
        <v>111080007</v>
      </c>
      <c r="B331" s="13">
        <v>11</v>
      </c>
      <c r="C331" s="12">
        <f t="shared" si="101"/>
        <v>1</v>
      </c>
      <c r="D331" s="13">
        <v>8</v>
      </c>
      <c r="E331" s="13">
        <v>0</v>
      </c>
      <c r="F331" s="12">
        <f t="shared" si="102"/>
        <v>7</v>
      </c>
      <c r="H331" s="9">
        <v>1</v>
      </c>
      <c r="I331" s="9">
        <v>7</v>
      </c>
      <c r="K331" s="9" t="s">
        <v>1023</v>
      </c>
      <c r="M331" s="9" t="s">
        <v>1024</v>
      </c>
      <c r="N331" s="9" t="s">
        <v>1025</v>
      </c>
      <c r="O331" s="9">
        <v>1</v>
      </c>
      <c r="P331" s="9">
        <v>15</v>
      </c>
      <c r="Q331" s="9" t="s">
        <v>784</v>
      </c>
      <c r="U331" s="9" t="s">
        <v>714</v>
      </c>
      <c r="X331" s="9">
        <f ca="1">IFERROR(OFFSET(ITEM_RES!$A$5,MATCH(BUILDING!W331,ITEM_RES!$J$5:$J$226,0)-1,0),0)</f>
        <v>0</v>
      </c>
      <c r="AA331" s="9">
        <f ca="1">IFERROR(OFFSET(ITEM_RES!$A$5,MATCH(BUILDING!Z331,ITEM_RES!$J$5:$J$226,0)-1,0),0)</f>
        <v>0</v>
      </c>
      <c r="AC331" s="9" t="s">
        <v>522</v>
      </c>
      <c r="AD331" s="9">
        <v>7</v>
      </c>
      <c r="AF331" s="11">
        <f ca="1">IFERROR(OFFSET(MANOR_LEVEL!$B$1,MATCH(AG331-1,MANOR_LEVEL!$A:$A,0)-1,0),0)</f>
        <v>456800</v>
      </c>
      <c r="AG331" s="56">
        <v>11</v>
      </c>
      <c r="AI331" s="56">
        <f t="shared" ca="1" si="106"/>
        <v>200</v>
      </c>
      <c r="AJ331" s="10">
        <f ca="1">AO331+AQ331+(IFERROR(OFFSET(ITEM_RES!$S$1,MATCH(AU331,ITEM_RES!$A:$A,0)-1,0),0)*AW331+IFERROR(OFFSET(ITEM_RES!$S$1,MATCH(AZ331,ITEM_RES!$A:$A,0)-1,0),0)*BB331+IFERROR(OFFSET(ITEM_RES!$S$1,MATCH(BE331,ITEM_RES!$A:$A,0)-1,0),0)*BG331+IFERROR(OFFSET(ITEM_RES!$S$1,MATCH(BJ331,ITEM_RES!$A:$A,0)-1,0),0)*BL331+IFERROR(OFFSET(ITEM_RES!$S$1,MATCH(BO331,ITEM_RES!$A:$A,0)-1,0),0)*BQ331)/1000</f>
        <v>200.1</v>
      </c>
      <c r="AK331" s="183">
        <f t="shared" ca="1" si="120"/>
        <v>300</v>
      </c>
      <c r="AM331" s="11">
        <f t="shared" si="118"/>
        <v>35</v>
      </c>
      <c r="AN331" s="10">
        <v>35</v>
      </c>
      <c r="AO331" s="11">
        <f t="shared" si="104"/>
        <v>100</v>
      </c>
      <c r="AP331" s="10">
        <v>100</v>
      </c>
      <c r="AQ331" s="11">
        <f t="shared" si="104"/>
        <v>100</v>
      </c>
      <c r="AR331" s="10">
        <v>100</v>
      </c>
      <c r="AS331" s="56">
        <f t="shared" si="119"/>
        <v>1</v>
      </c>
      <c r="AU331" s="11">
        <f ca="1">IFERROR(OFFSET(ITEM_RES!$A$1,MATCH(AV331,ITEM_RES!$J:$J,0)-1,0),0)</f>
        <v>211020801</v>
      </c>
      <c r="AV331" s="10" t="s">
        <v>435</v>
      </c>
      <c r="AW331" s="11">
        <v>1</v>
      </c>
      <c r="AZ331" s="11">
        <f ca="1">IFERROR(OFFSET(ITEM_RES!$A$1,MATCH(BA331,ITEM_RES!$J:$J,0)-1,0),0)</f>
        <v>0</v>
      </c>
      <c r="BE331" s="11">
        <f ca="1">IFERROR(OFFSET(ITEM_RES!$A$1,MATCH(BF331,ITEM_RES!$J:$J,0)-1,0),0)</f>
        <v>0</v>
      </c>
      <c r="BJ331" s="11">
        <f ca="1">IFERROR(OFFSET(ITEM_RES!$A$1,MATCH(BK331,ITEM_RES!$J:$J,0)-1,0),0)</f>
        <v>0</v>
      </c>
      <c r="BO331" s="11">
        <f ca="1">IFERROR(OFFSET(ITEM_RES!$A$1,MATCH(BP331,ITEM_RES!$J:$J,0)-1,0),0)</f>
        <v>0</v>
      </c>
    </row>
    <row r="332" spans="1:70" x14ac:dyDescent="0.3">
      <c r="A332" s="14">
        <f t="shared" si="100"/>
        <v>111080008</v>
      </c>
      <c r="B332" s="13">
        <v>11</v>
      </c>
      <c r="C332" s="12">
        <f t="shared" si="101"/>
        <v>1</v>
      </c>
      <c r="D332" s="13">
        <v>8</v>
      </c>
      <c r="E332" s="13">
        <v>0</v>
      </c>
      <c r="F332" s="12">
        <f t="shared" si="102"/>
        <v>8</v>
      </c>
      <c r="H332" s="9">
        <v>1</v>
      </c>
      <c r="I332" s="9">
        <v>8</v>
      </c>
      <c r="K332" s="9" t="s">
        <v>1023</v>
      </c>
      <c r="M332" s="9" t="s">
        <v>1024</v>
      </c>
      <c r="N332" s="9" t="s">
        <v>1025</v>
      </c>
      <c r="O332" s="9">
        <v>1</v>
      </c>
      <c r="P332" s="9">
        <v>15</v>
      </c>
      <c r="Q332" s="9" t="s">
        <v>784</v>
      </c>
      <c r="U332" s="9" t="s">
        <v>714</v>
      </c>
      <c r="X332" s="9">
        <f ca="1">IFERROR(OFFSET(ITEM_RES!$A$5,MATCH(BUILDING!W332,ITEM_RES!$J$5:$J$226,0)-1,0),0)</f>
        <v>0</v>
      </c>
      <c r="AA332" s="9">
        <f ca="1">IFERROR(OFFSET(ITEM_RES!$A$5,MATCH(BUILDING!Z332,ITEM_RES!$J$5:$J$226,0)-1,0),0)</f>
        <v>0</v>
      </c>
      <c r="AC332" s="9" t="s">
        <v>522</v>
      </c>
      <c r="AD332" s="9">
        <v>8</v>
      </c>
      <c r="AF332" s="11">
        <f ca="1">IFERROR(OFFSET(MANOR_LEVEL!$B$1,MATCH(AG332-1,MANOR_LEVEL!$A:$A,0)-1,0),0)</f>
        <v>796000</v>
      </c>
      <c r="AG332" s="56">
        <v>12</v>
      </c>
      <c r="AI332" s="56">
        <f t="shared" ca="1" si="106"/>
        <v>200</v>
      </c>
      <c r="AJ332" s="10">
        <f ca="1">AO332+AQ332+(IFERROR(OFFSET(ITEM_RES!$S$1,MATCH(AU332,ITEM_RES!$A:$A,0)-1,0),0)*AW332+IFERROR(OFFSET(ITEM_RES!$S$1,MATCH(AZ332,ITEM_RES!$A:$A,0)-1,0),0)*BB332+IFERROR(OFFSET(ITEM_RES!$S$1,MATCH(BE332,ITEM_RES!$A:$A,0)-1,0),0)*BG332+IFERROR(OFFSET(ITEM_RES!$S$1,MATCH(BJ332,ITEM_RES!$A:$A,0)-1,0),0)*BL332+IFERROR(OFFSET(ITEM_RES!$S$1,MATCH(BO332,ITEM_RES!$A:$A,0)-1,0),0)*BQ332)/1000</f>
        <v>200.1</v>
      </c>
      <c r="AK332" s="183">
        <f t="shared" ca="1" si="120"/>
        <v>400</v>
      </c>
      <c r="AM332" s="11">
        <f t="shared" si="118"/>
        <v>40</v>
      </c>
      <c r="AN332" s="10">
        <v>40</v>
      </c>
      <c r="AO332" s="11">
        <f t="shared" si="104"/>
        <v>100</v>
      </c>
      <c r="AP332" s="10">
        <v>100</v>
      </c>
      <c r="AQ332" s="11">
        <f t="shared" si="104"/>
        <v>100</v>
      </c>
      <c r="AR332" s="10">
        <v>100</v>
      </c>
      <c r="AS332" s="56">
        <f t="shared" si="119"/>
        <v>1</v>
      </c>
      <c r="AU332" s="11">
        <f ca="1">IFERROR(OFFSET(ITEM_RES!$A$1,MATCH(AV332,ITEM_RES!$J:$J,0)-1,0),0)</f>
        <v>211020801</v>
      </c>
      <c r="AV332" s="10" t="s">
        <v>435</v>
      </c>
      <c r="AW332" s="11">
        <v>1</v>
      </c>
      <c r="AZ332" s="11">
        <f ca="1">IFERROR(OFFSET(ITEM_RES!$A$1,MATCH(BA332,ITEM_RES!$J:$J,0)-1,0),0)</f>
        <v>0</v>
      </c>
      <c r="BE332" s="11">
        <f ca="1">IFERROR(OFFSET(ITEM_RES!$A$1,MATCH(BF332,ITEM_RES!$J:$J,0)-1,0),0)</f>
        <v>0</v>
      </c>
      <c r="BJ332" s="11">
        <f ca="1">IFERROR(OFFSET(ITEM_RES!$A$1,MATCH(BK332,ITEM_RES!$J:$J,0)-1,0),0)</f>
        <v>0</v>
      </c>
      <c r="BO332" s="11">
        <f ca="1">IFERROR(OFFSET(ITEM_RES!$A$1,MATCH(BP332,ITEM_RES!$J:$J,0)-1,0),0)</f>
        <v>0</v>
      </c>
    </row>
    <row r="333" spans="1:70" x14ac:dyDescent="0.3">
      <c r="A333" s="14">
        <f t="shared" si="100"/>
        <v>111080009</v>
      </c>
      <c r="B333" s="13">
        <v>11</v>
      </c>
      <c r="C333" s="12">
        <f t="shared" si="101"/>
        <v>1</v>
      </c>
      <c r="D333" s="13">
        <v>8</v>
      </c>
      <c r="E333" s="13">
        <v>0</v>
      </c>
      <c r="F333" s="12">
        <f t="shared" si="102"/>
        <v>9</v>
      </c>
      <c r="H333" s="9">
        <v>1</v>
      </c>
      <c r="I333" s="9">
        <v>9</v>
      </c>
      <c r="K333" s="9" t="s">
        <v>1023</v>
      </c>
      <c r="M333" s="9" t="s">
        <v>1024</v>
      </c>
      <c r="N333" s="9" t="s">
        <v>1025</v>
      </c>
      <c r="O333" s="9">
        <v>1</v>
      </c>
      <c r="P333" s="9">
        <v>15</v>
      </c>
      <c r="Q333" s="9" t="s">
        <v>784</v>
      </c>
      <c r="U333" s="9" t="s">
        <v>714</v>
      </c>
      <c r="X333" s="9">
        <f ca="1">IFERROR(OFFSET(ITEM_RES!$A$5,MATCH(BUILDING!W333,ITEM_RES!$J$5:$J$226,0)-1,0),0)</f>
        <v>0</v>
      </c>
      <c r="AA333" s="9">
        <f ca="1">IFERROR(OFFSET(ITEM_RES!$A$5,MATCH(BUILDING!Z333,ITEM_RES!$J$5:$J$226,0)-1,0),0)</f>
        <v>0</v>
      </c>
      <c r="AC333" s="9" t="s">
        <v>522</v>
      </c>
      <c r="AD333" s="9">
        <v>9</v>
      </c>
      <c r="AF333" s="11">
        <f ca="1">IFERROR(OFFSET(MANOR_LEVEL!$B$1,MATCH(AG333-1,MANOR_LEVEL!$A:$A,0)-1,0),0)</f>
        <v>1156400</v>
      </c>
      <c r="AG333" s="56">
        <v>13</v>
      </c>
      <c r="AI333" s="56">
        <f t="shared" ca="1" si="106"/>
        <v>300</v>
      </c>
      <c r="AJ333" s="10">
        <f ca="1">AO333+AQ333+(IFERROR(OFFSET(ITEM_RES!$S$1,MATCH(AU333,ITEM_RES!$A:$A,0)-1,0),0)*AW333+IFERROR(OFFSET(ITEM_RES!$S$1,MATCH(AZ333,ITEM_RES!$A:$A,0)-1,0),0)*BB333+IFERROR(OFFSET(ITEM_RES!$S$1,MATCH(BE333,ITEM_RES!$A:$A,0)-1,0),0)*BG333+IFERROR(OFFSET(ITEM_RES!$S$1,MATCH(BJ333,ITEM_RES!$A:$A,0)-1,0),0)*BL333+IFERROR(OFFSET(ITEM_RES!$S$1,MATCH(BO333,ITEM_RES!$A:$A,0)-1,0),0)*BQ333)/1000</f>
        <v>300.10000000000002</v>
      </c>
      <c r="AK333" s="183">
        <f t="shared" ca="1" si="120"/>
        <v>500</v>
      </c>
      <c r="AM333" s="11">
        <f t="shared" si="118"/>
        <v>45</v>
      </c>
      <c r="AN333" s="10">
        <v>45</v>
      </c>
      <c r="AO333" s="11">
        <f t="shared" si="104"/>
        <v>150</v>
      </c>
      <c r="AP333" s="10">
        <v>150</v>
      </c>
      <c r="AQ333" s="11">
        <f t="shared" si="104"/>
        <v>150</v>
      </c>
      <c r="AR333" s="10">
        <v>150</v>
      </c>
      <c r="AS333" s="56">
        <f t="shared" si="119"/>
        <v>1</v>
      </c>
      <c r="AU333" s="11">
        <f ca="1">IFERROR(OFFSET(ITEM_RES!$A$1,MATCH(AV333,ITEM_RES!$J:$J,0)-1,0),0)</f>
        <v>211020801</v>
      </c>
      <c r="AV333" s="10" t="s">
        <v>435</v>
      </c>
      <c r="AW333" s="11">
        <v>1</v>
      </c>
      <c r="AZ333" s="11">
        <f ca="1">IFERROR(OFFSET(ITEM_RES!$A$1,MATCH(BA333,ITEM_RES!$J:$J,0)-1,0),0)</f>
        <v>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  <c r="BO333" s="11">
        <f ca="1">IFERROR(OFFSET(ITEM_RES!$A$1,MATCH(BP333,ITEM_RES!$J:$J,0)-1,0),0)</f>
        <v>0</v>
      </c>
    </row>
    <row r="334" spans="1:70" x14ac:dyDescent="0.3">
      <c r="A334" s="14">
        <f t="shared" si="100"/>
        <v>111080010</v>
      </c>
      <c r="B334" s="13">
        <v>11</v>
      </c>
      <c r="C334" s="12">
        <f t="shared" si="101"/>
        <v>1</v>
      </c>
      <c r="D334" s="13">
        <v>8</v>
      </c>
      <c r="E334" s="13">
        <v>0</v>
      </c>
      <c r="F334" s="12">
        <f t="shared" si="102"/>
        <v>10</v>
      </c>
      <c r="H334" s="9">
        <v>1</v>
      </c>
      <c r="I334" s="9">
        <v>10</v>
      </c>
      <c r="K334" s="9" t="s">
        <v>1023</v>
      </c>
      <c r="M334" s="9" t="s">
        <v>1024</v>
      </c>
      <c r="N334" s="9" t="s">
        <v>1025</v>
      </c>
      <c r="O334" s="9">
        <v>1</v>
      </c>
      <c r="P334" s="9">
        <v>15</v>
      </c>
      <c r="Q334" s="9" t="s">
        <v>784</v>
      </c>
      <c r="U334" s="9" t="s">
        <v>714</v>
      </c>
      <c r="X334" s="9">
        <f ca="1">IFERROR(OFFSET(ITEM_RES!$A$5,MATCH(BUILDING!W334,ITEM_RES!$J$5:$J$226,0)-1,0),0)</f>
        <v>0</v>
      </c>
      <c r="AA334" s="9">
        <f ca="1">IFERROR(OFFSET(ITEM_RES!$A$5,MATCH(BUILDING!Z334,ITEM_RES!$J$5:$J$226,0)-1,0),0)</f>
        <v>0</v>
      </c>
      <c r="AC334" s="9" t="s">
        <v>522</v>
      </c>
      <c r="AD334" s="9">
        <v>10</v>
      </c>
      <c r="AF334" s="11">
        <f ca="1">IFERROR(OFFSET(MANOR_LEVEL!$B$1,MATCH(AG334-1,MANOR_LEVEL!$A:$A,0)-1,0),0)</f>
        <v>1156400</v>
      </c>
      <c r="AG334" s="56">
        <v>13</v>
      </c>
      <c r="AI334" s="56">
        <f t="shared" ca="1" si="106"/>
        <v>400</v>
      </c>
      <c r="AJ334" s="10">
        <f ca="1">AO334+AQ334+(IFERROR(OFFSET(ITEM_RES!$S$1,MATCH(AU334,ITEM_RES!$A:$A,0)-1,0),0)*AW334+IFERROR(OFFSET(ITEM_RES!$S$1,MATCH(AZ334,ITEM_RES!$A:$A,0)-1,0),0)*BB334+IFERROR(OFFSET(ITEM_RES!$S$1,MATCH(BE334,ITEM_RES!$A:$A,0)-1,0),0)*BG334+IFERROR(OFFSET(ITEM_RES!$S$1,MATCH(BJ334,ITEM_RES!$A:$A,0)-1,0),0)*BL334+IFERROR(OFFSET(ITEM_RES!$S$1,MATCH(BO334,ITEM_RES!$A:$A,0)-1,0),0)*BQ334)/1000</f>
        <v>400.1</v>
      </c>
      <c r="AK334" s="183">
        <f t="shared" ca="1" si="120"/>
        <v>700</v>
      </c>
      <c r="AM334" s="11">
        <f t="shared" si="118"/>
        <v>50</v>
      </c>
      <c r="AN334" s="10">
        <v>50</v>
      </c>
      <c r="AO334" s="11">
        <f t="shared" si="104"/>
        <v>200</v>
      </c>
      <c r="AP334" s="10">
        <v>200</v>
      </c>
      <c r="AQ334" s="11">
        <f t="shared" si="104"/>
        <v>200</v>
      </c>
      <c r="AR334" s="10">
        <v>200</v>
      </c>
      <c r="AS334" s="56">
        <f t="shared" si="119"/>
        <v>1</v>
      </c>
      <c r="AU334" s="11">
        <f ca="1">IFERROR(OFFSET(ITEM_RES!$A$1,MATCH(AV334,ITEM_RES!$J:$J,0)-1,0),0)</f>
        <v>211020801</v>
      </c>
      <c r="AV334" s="10" t="s">
        <v>435</v>
      </c>
      <c r="AW334" s="11">
        <v>1</v>
      </c>
      <c r="AZ334" s="11">
        <f ca="1">IFERROR(OFFSET(ITEM_RES!$A$1,MATCH(BA334,ITEM_RES!$J:$J,0)-1,0),0)</f>
        <v>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  <c r="BO334" s="11">
        <f ca="1">IFERROR(OFFSET(ITEM_RES!$A$1,MATCH(BP334,ITEM_RES!$J:$J,0)-1,0),0)</f>
        <v>0</v>
      </c>
    </row>
    <row r="335" spans="1:70" x14ac:dyDescent="0.3">
      <c r="A335" s="14">
        <f t="shared" si="100"/>
        <v>111080011</v>
      </c>
      <c r="B335" s="13">
        <v>11</v>
      </c>
      <c r="C335" s="12">
        <f t="shared" si="101"/>
        <v>1</v>
      </c>
      <c r="D335" s="13">
        <v>8</v>
      </c>
      <c r="E335" s="13">
        <v>0</v>
      </c>
      <c r="F335" s="12">
        <f t="shared" si="102"/>
        <v>11</v>
      </c>
      <c r="H335" s="9">
        <v>1</v>
      </c>
      <c r="I335" s="9">
        <v>11</v>
      </c>
      <c r="K335" s="9" t="s">
        <v>1023</v>
      </c>
      <c r="M335" s="9" t="s">
        <v>1024</v>
      </c>
      <c r="N335" s="9" t="s">
        <v>1025</v>
      </c>
      <c r="O335" s="9">
        <v>1</v>
      </c>
      <c r="P335" s="9">
        <v>15</v>
      </c>
      <c r="Q335" s="9" t="s">
        <v>784</v>
      </c>
      <c r="U335" s="9" t="s">
        <v>714</v>
      </c>
      <c r="X335" s="9">
        <f ca="1">IFERROR(OFFSET(ITEM_RES!$A$5,MATCH(BUILDING!W335,ITEM_RES!$J$5:$J$226,0)-1,0),0)</f>
        <v>0</v>
      </c>
      <c r="AA335" s="9">
        <f ca="1">IFERROR(OFFSET(ITEM_RES!$A$5,MATCH(BUILDING!Z335,ITEM_RES!$J$5:$J$226,0)-1,0),0)</f>
        <v>0</v>
      </c>
      <c r="AC335" s="9" t="s">
        <v>522</v>
      </c>
      <c r="AD335" s="9">
        <v>11</v>
      </c>
      <c r="AF335" s="11">
        <f ca="1">IFERROR(OFFSET(MANOR_LEVEL!$B$1,MATCH(AG335-1,MANOR_LEVEL!$A:$A,0)-1,0),0)</f>
        <v>1661200</v>
      </c>
      <c r="AG335" s="56">
        <v>14</v>
      </c>
      <c r="AI335" s="56">
        <f t="shared" ca="1" si="106"/>
        <v>500</v>
      </c>
      <c r="AJ335" s="10">
        <f ca="1">AO335+AQ335+(IFERROR(OFFSET(ITEM_RES!$S$1,MATCH(AU335,ITEM_RES!$A:$A,0)-1,0),0)*AW335+IFERROR(OFFSET(ITEM_RES!$S$1,MATCH(AZ335,ITEM_RES!$A:$A,0)-1,0),0)*BB335+IFERROR(OFFSET(ITEM_RES!$S$1,MATCH(BE335,ITEM_RES!$A:$A,0)-1,0),0)*BG335+IFERROR(OFFSET(ITEM_RES!$S$1,MATCH(BJ335,ITEM_RES!$A:$A,0)-1,0),0)*BL335+IFERROR(OFFSET(ITEM_RES!$S$1,MATCH(BO335,ITEM_RES!$A:$A,0)-1,0),0)*BQ335)/1000</f>
        <v>500.1</v>
      </c>
      <c r="AK335" s="183">
        <f t="shared" ca="1" si="120"/>
        <v>900</v>
      </c>
      <c r="AM335" s="11">
        <f t="shared" si="118"/>
        <v>55</v>
      </c>
      <c r="AN335" s="10">
        <v>55</v>
      </c>
      <c r="AO335" s="11">
        <f t="shared" si="104"/>
        <v>250</v>
      </c>
      <c r="AP335" s="10">
        <v>250</v>
      </c>
      <c r="AQ335" s="11">
        <f t="shared" si="104"/>
        <v>250</v>
      </c>
      <c r="AR335" s="10">
        <v>250</v>
      </c>
      <c r="AS335" s="56">
        <f t="shared" si="119"/>
        <v>1</v>
      </c>
      <c r="AU335" s="11">
        <f ca="1">IFERROR(OFFSET(ITEM_RES!$A$1,MATCH(AV335,ITEM_RES!$J:$J,0)-1,0),0)</f>
        <v>211020801</v>
      </c>
      <c r="AV335" s="10" t="s">
        <v>435</v>
      </c>
      <c r="AW335" s="11">
        <v>1</v>
      </c>
      <c r="AZ335" s="11">
        <f ca="1">IFERROR(OFFSET(ITEM_RES!$A$1,MATCH(BA335,ITEM_RES!$J:$J,0)-1,0),0)</f>
        <v>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  <c r="BO335" s="11">
        <f ca="1">IFERROR(OFFSET(ITEM_RES!$A$1,MATCH(BP335,ITEM_RES!$J:$J,0)-1,0),0)</f>
        <v>0</v>
      </c>
    </row>
    <row r="336" spans="1:70" x14ac:dyDescent="0.3">
      <c r="A336" s="14">
        <f t="shared" si="100"/>
        <v>111080012</v>
      </c>
      <c r="B336" s="13">
        <v>11</v>
      </c>
      <c r="C336" s="12">
        <f t="shared" si="101"/>
        <v>1</v>
      </c>
      <c r="D336" s="13">
        <v>8</v>
      </c>
      <c r="E336" s="13">
        <v>0</v>
      </c>
      <c r="F336" s="12">
        <f t="shared" si="102"/>
        <v>12</v>
      </c>
      <c r="H336" s="9">
        <v>1</v>
      </c>
      <c r="I336" s="9">
        <v>12</v>
      </c>
      <c r="K336" s="9" t="s">
        <v>1023</v>
      </c>
      <c r="M336" s="9" t="s">
        <v>1024</v>
      </c>
      <c r="N336" s="9" t="s">
        <v>1025</v>
      </c>
      <c r="O336" s="9">
        <v>1</v>
      </c>
      <c r="P336" s="9">
        <v>15</v>
      </c>
      <c r="Q336" s="9" t="s">
        <v>784</v>
      </c>
      <c r="U336" s="9" t="s">
        <v>714</v>
      </c>
      <c r="X336" s="9">
        <f ca="1">IFERROR(OFFSET(ITEM_RES!$A$5,MATCH(BUILDING!W336,ITEM_RES!$J$5:$J$226,0)-1,0),0)</f>
        <v>0</v>
      </c>
      <c r="AA336" s="9">
        <f ca="1">IFERROR(OFFSET(ITEM_RES!$A$5,MATCH(BUILDING!Z336,ITEM_RES!$J$5:$J$226,0)-1,0),0)</f>
        <v>0</v>
      </c>
      <c r="AC336" s="9" t="s">
        <v>522</v>
      </c>
      <c r="AD336" s="9">
        <v>12</v>
      </c>
      <c r="AF336" s="11">
        <f ca="1">IFERROR(OFFSET(MANOR_LEVEL!$B$1,MATCH(AG336-1,MANOR_LEVEL!$A:$A,0)-1,0),0)</f>
        <v>2622400</v>
      </c>
      <c r="AG336" s="56">
        <v>15</v>
      </c>
      <c r="AI336" s="56">
        <f t="shared" ca="1" si="106"/>
        <v>600</v>
      </c>
      <c r="AJ336" s="10">
        <f ca="1">AO336+AQ336+(IFERROR(OFFSET(ITEM_RES!$S$1,MATCH(AU336,ITEM_RES!$A:$A,0)-1,0),0)*AW336+IFERROR(OFFSET(ITEM_RES!$S$1,MATCH(AZ336,ITEM_RES!$A:$A,0)-1,0),0)*BB336+IFERROR(OFFSET(ITEM_RES!$S$1,MATCH(BE336,ITEM_RES!$A:$A,0)-1,0),0)*BG336+IFERROR(OFFSET(ITEM_RES!$S$1,MATCH(BJ336,ITEM_RES!$A:$A,0)-1,0),0)*BL336+IFERROR(OFFSET(ITEM_RES!$S$1,MATCH(BO336,ITEM_RES!$A:$A,0)-1,0),0)*BQ336)/1000</f>
        <v>600.1</v>
      </c>
      <c r="AK336" s="183">
        <f t="shared" ca="1" si="120"/>
        <v>1100</v>
      </c>
      <c r="AM336" s="11">
        <f t="shared" si="118"/>
        <v>60</v>
      </c>
      <c r="AN336" s="10">
        <v>60</v>
      </c>
      <c r="AO336" s="11">
        <f t="shared" si="104"/>
        <v>300</v>
      </c>
      <c r="AP336" s="10">
        <v>300</v>
      </c>
      <c r="AQ336" s="11">
        <f t="shared" si="104"/>
        <v>300</v>
      </c>
      <c r="AR336" s="10">
        <v>300</v>
      </c>
      <c r="AS336" s="56">
        <f t="shared" si="119"/>
        <v>1</v>
      </c>
      <c r="AU336" s="11">
        <f ca="1">IFERROR(OFFSET(ITEM_RES!$A$1,MATCH(AV336,ITEM_RES!$J:$J,0)-1,0),0)</f>
        <v>211020801</v>
      </c>
      <c r="AV336" s="10" t="s">
        <v>435</v>
      </c>
      <c r="AW336" s="11">
        <v>1</v>
      </c>
      <c r="AZ336" s="11">
        <f ca="1">IFERROR(OFFSET(ITEM_RES!$A$1,MATCH(BA336,ITEM_RES!$J:$J,0)-1,0),0)</f>
        <v>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  <c r="BO336" s="11">
        <f ca="1">IFERROR(OFFSET(ITEM_RES!$A$1,MATCH(BP336,ITEM_RES!$J:$J,0)-1,0),0)</f>
        <v>0</v>
      </c>
    </row>
    <row r="337" spans="1:70" x14ac:dyDescent="0.3">
      <c r="A337" s="14">
        <f t="shared" si="100"/>
        <v>111080013</v>
      </c>
      <c r="B337" s="13">
        <v>11</v>
      </c>
      <c r="C337" s="12">
        <f t="shared" si="101"/>
        <v>1</v>
      </c>
      <c r="D337" s="13">
        <v>8</v>
      </c>
      <c r="E337" s="13">
        <v>0</v>
      </c>
      <c r="F337" s="12">
        <f t="shared" si="102"/>
        <v>13</v>
      </c>
      <c r="H337" s="9">
        <v>1</v>
      </c>
      <c r="I337" s="9">
        <v>13</v>
      </c>
      <c r="K337" s="9" t="s">
        <v>1023</v>
      </c>
      <c r="M337" s="9" t="s">
        <v>1024</v>
      </c>
      <c r="N337" s="9" t="s">
        <v>1025</v>
      </c>
      <c r="O337" s="9">
        <v>1</v>
      </c>
      <c r="P337" s="9">
        <v>15</v>
      </c>
      <c r="Q337" s="9" t="s">
        <v>784</v>
      </c>
      <c r="U337" s="9" t="s">
        <v>714</v>
      </c>
      <c r="X337" s="9">
        <f ca="1">IFERROR(OFFSET(ITEM_RES!$A$5,MATCH(BUILDING!W337,ITEM_RES!$J$5:$J$226,0)-1,0),0)</f>
        <v>0</v>
      </c>
      <c r="AA337" s="9">
        <f ca="1">IFERROR(OFFSET(ITEM_RES!$A$5,MATCH(BUILDING!Z337,ITEM_RES!$J$5:$J$226,0)-1,0),0)</f>
        <v>0</v>
      </c>
      <c r="AC337" s="9" t="s">
        <v>522</v>
      </c>
      <c r="AD337" s="9">
        <v>13</v>
      </c>
      <c r="AF337" s="11">
        <f ca="1">IFERROR(OFFSET(MANOR_LEVEL!$B$1,MATCH(AG337-1,MANOR_LEVEL!$A:$A,0)-1,0),0)</f>
        <v>4232000</v>
      </c>
      <c r="AG337" s="56">
        <v>16</v>
      </c>
      <c r="AI337" s="56">
        <f t="shared" ca="1" si="106"/>
        <v>700</v>
      </c>
      <c r="AJ337" s="10">
        <f ca="1">AO337+AQ337+(IFERROR(OFFSET(ITEM_RES!$S$1,MATCH(AU337,ITEM_RES!$A:$A,0)-1,0),0)*AW337+IFERROR(OFFSET(ITEM_RES!$S$1,MATCH(AZ337,ITEM_RES!$A:$A,0)-1,0),0)*BB337+IFERROR(OFFSET(ITEM_RES!$S$1,MATCH(BE337,ITEM_RES!$A:$A,0)-1,0),0)*BG337+IFERROR(OFFSET(ITEM_RES!$S$1,MATCH(BJ337,ITEM_RES!$A:$A,0)-1,0),0)*BL337+IFERROR(OFFSET(ITEM_RES!$S$1,MATCH(BO337,ITEM_RES!$A:$A,0)-1,0),0)*BQ337)/1000</f>
        <v>700.1</v>
      </c>
      <c r="AK337" s="183">
        <f t="shared" ca="1" si="120"/>
        <v>1300</v>
      </c>
      <c r="AM337" s="11">
        <f t="shared" si="118"/>
        <v>65</v>
      </c>
      <c r="AN337" s="10">
        <v>65</v>
      </c>
      <c r="AO337" s="11">
        <f t="shared" si="104"/>
        <v>350</v>
      </c>
      <c r="AP337" s="10">
        <v>350</v>
      </c>
      <c r="AQ337" s="11">
        <f t="shared" si="104"/>
        <v>350</v>
      </c>
      <c r="AR337" s="10">
        <v>350</v>
      </c>
      <c r="AS337" s="56">
        <f t="shared" si="119"/>
        <v>1</v>
      </c>
      <c r="AU337" s="11">
        <f ca="1">IFERROR(OFFSET(ITEM_RES!$A$1,MATCH(AV337,ITEM_RES!$J:$J,0)-1,0),0)</f>
        <v>211020801</v>
      </c>
      <c r="AV337" s="10" t="s">
        <v>435</v>
      </c>
      <c r="AW337" s="11">
        <v>1</v>
      </c>
      <c r="AZ337" s="11">
        <f ca="1">IFERROR(OFFSET(ITEM_RES!$A$1,MATCH(BA337,ITEM_RES!$J:$J,0)-1,0),0)</f>
        <v>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  <c r="BO337" s="11">
        <f ca="1">IFERROR(OFFSET(ITEM_RES!$A$1,MATCH(BP337,ITEM_RES!$J:$J,0)-1,0),0)</f>
        <v>0</v>
      </c>
    </row>
    <row r="338" spans="1:70" x14ac:dyDescent="0.3">
      <c r="A338" s="14">
        <f t="shared" si="100"/>
        <v>111080014</v>
      </c>
      <c r="B338" s="13">
        <v>11</v>
      </c>
      <c r="C338" s="12">
        <f t="shared" si="101"/>
        <v>1</v>
      </c>
      <c r="D338" s="13">
        <v>8</v>
      </c>
      <c r="E338" s="13">
        <v>0</v>
      </c>
      <c r="F338" s="12">
        <f t="shared" si="102"/>
        <v>14</v>
      </c>
      <c r="H338" s="9">
        <v>1</v>
      </c>
      <c r="I338" s="9">
        <v>14</v>
      </c>
      <c r="K338" s="9" t="s">
        <v>1023</v>
      </c>
      <c r="M338" s="9" t="s">
        <v>1024</v>
      </c>
      <c r="N338" s="9" t="s">
        <v>1025</v>
      </c>
      <c r="O338" s="9">
        <v>1</v>
      </c>
      <c r="P338" s="9">
        <v>15</v>
      </c>
      <c r="Q338" s="9" t="s">
        <v>784</v>
      </c>
      <c r="U338" s="9" t="s">
        <v>714</v>
      </c>
      <c r="X338" s="9">
        <f ca="1">IFERROR(OFFSET(ITEM_RES!$A$5,MATCH(BUILDING!W338,ITEM_RES!$J$5:$J$226,0)-1,0),0)</f>
        <v>0</v>
      </c>
      <c r="AA338" s="9">
        <f ca="1">IFERROR(OFFSET(ITEM_RES!$A$5,MATCH(BUILDING!Z338,ITEM_RES!$J$5:$J$226,0)-1,0),0)</f>
        <v>0</v>
      </c>
      <c r="AC338" s="9" t="s">
        <v>522</v>
      </c>
      <c r="AD338" s="9">
        <v>14</v>
      </c>
      <c r="AF338" s="11">
        <f ca="1">IFERROR(OFFSET(MANOR_LEVEL!$B$1,MATCH(AG338-1,MANOR_LEVEL!$A:$A,0)-1,0),0)</f>
        <v>7450000</v>
      </c>
      <c r="AG338" s="56">
        <v>17</v>
      </c>
      <c r="AI338" s="56">
        <f t="shared" ca="1" si="106"/>
        <v>1000</v>
      </c>
      <c r="AJ338" s="10">
        <f ca="1">AO338+AQ338+(IFERROR(OFFSET(ITEM_RES!$S$1,MATCH(AU338,ITEM_RES!$A:$A,0)-1,0),0)*AW338+IFERROR(OFFSET(ITEM_RES!$S$1,MATCH(AZ338,ITEM_RES!$A:$A,0)-1,0),0)*BB338+IFERROR(OFFSET(ITEM_RES!$S$1,MATCH(BE338,ITEM_RES!$A:$A,0)-1,0),0)*BG338+IFERROR(OFFSET(ITEM_RES!$S$1,MATCH(BJ338,ITEM_RES!$A:$A,0)-1,0),0)*BL338+IFERROR(OFFSET(ITEM_RES!$S$1,MATCH(BO338,ITEM_RES!$A:$A,0)-1,0),0)*BQ338)/1000</f>
        <v>1000.1</v>
      </c>
      <c r="AK338" s="183">
        <f t="shared" ca="1" si="120"/>
        <v>1700</v>
      </c>
      <c r="AM338" s="11">
        <f t="shared" si="118"/>
        <v>70</v>
      </c>
      <c r="AN338" s="10">
        <v>70</v>
      </c>
      <c r="AO338" s="11">
        <f t="shared" si="104"/>
        <v>450</v>
      </c>
      <c r="AP338" s="10">
        <v>450</v>
      </c>
      <c r="AQ338" s="11">
        <f t="shared" si="104"/>
        <v>450</v>
      </c>
      <c r="AR338" s="10">
        <v>450</v>
      </c>
      <c r="AS338" s="56">
        <f t="shared" si="119"/>
        <v>2</v>
      </c>
      <c r="AU338" s="11">
        <f ca="1">IFERROR(OFFSET(ITEM_RES!$A$1,MATCH(AV338,ITEM_RES!$J:$J,0)-1,0),0)</f>
        <v>211020801</v>
      </c>
      <c r="AV338" s="10" t="s">
        <v>435</v>
      </c>
      <c r="AW338" s="11">
        <v>1</v>
      </c>
      <c r="AZ338" s="11">
        <f ca="1">IFERROR(OFFSET(ITEM_RES!$A$1,MATCH(BA338,ITEM_RES!$J:$J,0)-1,0),0)</f>
        <v>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213010901</v>
      </c>
      <c r="BK338" s="10" t="s">
        <v>464</v>
      </c>
      <c r="BL338" s="11">
        <v>1</v>
      </c>
      <c r="BO338" s="11">
        <f ca="1">IFERROR(OFFSET(ITEM_RES!$A$1,MATCH(BP338,ITEM_RES!$J:$J,0)-1,0),0)</f>
        <v>0</v>
      </c>
    </row>
    <row r="339" spans="1:70" x14ac:dyDescent="0.3">
      <c r="A339" s="14">
        <f t="shared" si="100"/>
        <v>111080015</v>
      </c>
      <c r="B339" s="13">
        <v>11</v>
      </c>
      <c r="C339" s="12">
        <f t="shared" si="101"/>
        <v>1</v>
      </c>
      <c r="D339" s="13">
        <v>8</v>
      </c>
      <c r="E339" s="13">
        <v>0</v>
      </c>
      <c r="F339" s="12">
        <f t="shared" si="102"/>
        <v>15</v>
      </c>
      <c r="H339" s="9">
        <v>1</v>
      </c>
      <c r="I339" s="9">
        <v>15</v>
      </c>
      <c r="K339" s="9" t="s">
        <v>1023</v>
      </c>
      <c r="M339" s="9" t="s">
        <v>1024</v>
      </c>
      <c r="N339" s="9" t="s">
        <v>1025</v>
      </c>
      <c r="O339" s="9">
        <v>1</v>
      </c>
      <c r="P339" s="9">
        <v>15</v>
      </c>
      <c r="Q339" s="9" t="s">
        <v>784</v>
      </c>
      <c r="U339" s="9" t="s">
        <v>714</v>
      </c>
      <c r="X339" s="9">
        <f ca="1">IFERROR(OFFSET(ITEM_RES!$A$5,MATCH(BUILDING!W339,ITEM_RES!$J$5:$J$226,0)-1,0),0)</f>
        <v>0</v>
      </c>
      <c r="AA339" s="9">
        <f ca="1">IFERROR(OFFSET(ITEM_RES!$A$5,MATCH(BUILDING!Z339,ITEM_RES!$J$5:$J$226,0)-1,0),0)</f>
        <v>0</v>
      </c>
      <c r="AC339" s="9" t="s">
        <v>522</v>
      </c>
      <c r="AD339" s="9">
        <v>15</v>
      </c>
      <c r="AF339" s="11">
        <f ca="1">IFERROR(OFFSET(MANOR_LEVEL!$B$1,MATCH(AG339-1,MANOR_LEVEL!$A:$A,0)-1,0),0)</f>
        <v>12172400</v>
      </c>
      <c r="AG339" s="56">
        <v>18</v>
      </c>
      <c r="AI339" s="56">
        <f t="shared" ca="1" si="106"/>
        <v>1100</v>
      </c>
      <c r="AJ339" s="10">
        <f ca="1">AO339+AQ339+(IFERROR(OFFSET(ITEM_RES!$S$1,MATCH(AU339,ITEM_RES!$A:$A,0)-1,0),0)*AW339+IFERROR(OFFSET(ITEM_RES!$S$1,MATCH(AZ339,ITEM_RES!$A:$A,0)-1,0),0)*BB339+IFERROR(OFFSET(ITEM_RES!$S$1,MATCH(BE339,ITEM_RES!$A:$A,0)-1,0),0)*BG339+IFERROR(OFFSET(ITEM_RES!$S$1,MATCH(BJ339,ITEM_RES!$A:$A,0)-1,0),0)*BL339+IFERROR(OFFSET(ITEM_RES!$S$1,MATCH(BO339,ITEM_RES!$A:$A,0)-1,0),0)*BQ339)/1000</f>
        <v>1100.0999999999999</v>
      </c>
      <c r="AK339" s="183">
        <f t="shared" ca="1" si="120"/>
        <v>2100</v>
      </c>
      <c r="AM339" s="11">
        <f t="shared" si="118"/>
        <v>75</v>
      </c>
      <c r="AN339" s="10">
        <v>75</v>
      </c>
      <c r="AO339" s="11">
        <f t="shared" si="104"/>
        <v>550</v>
      </c>
      <c r="AP339" s="10">
        <v>550</v>
      </c>
      <c r="AQ339" s="11">
        <f t="shared" si="104"/>
        <v>550</v>
      </c>
      <c r="AR339" s="10">
        <v>550</v>
      </c>
      <c r="AS339" s="56">
        <f t="shared" si="119"/>
        <v>1</v>
      </c>
      <c r="AU339" s="11">
        <f ca="1">IFERROR(OFFSET(ITEM_RES!$A$1,MATCH(AV339,ITEM_RES!$J:$J,0)-1,0),0)</f>
        <v>211020801</v>
      </c>
      <c r="AV339" s="10" t="s">
        <v>435</v>
      </c>
      <c r="AW339" s="11">
        <v>1</v>
      </c>
      <c r="AZ339" s="11">
        <f ca="1">IFERROR(OFFSET(ITEM_RES!$A$1,MATCH(BA339,ITEM_RES!$J:$J,0)-1,0),0)</f>
        <v>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  <c r="BO339" s="11">
        <f ca="1">IFERROR(OFFSET(ITEM_RES!$A$1,MATCH(BP339,ITEM_RES!$J:$J,0)-1,0),0)</f>
        <v>0</v>
      </c>
    </row>
    <row r="340" spans="1:70" x14ac:dyDescent="0.3">
      <c r="A340" s="14">
        <f t="shared" si="100"/>
        <v>111080016</v>
      </c>
      <c r="B340" s="13">
        <v>11</v>
      </c>
      <c r="C340" s="12">
        <f t="shared" si="101"/>
        <v>1</v>
      </c>
      <c r="D340" s="13">
        <v>8</v>
      </c>
      <c r="E340" s="13">
        <v>0</v>
      </c>
      <c r="F340" s="12">
        <f t="shared" si="102"/>
        <v>16</v>
      </c>
      <c r="H340" s="9">
        <v>1</v>
      </c>
      <c r="I340" s="9">
        <v>16</v>
      </c>
      <c r="K340" s="9" t="s">
        <v>1023</v>
      </c>
      <c r="M340" s="9" t="s">
        <v>1024</v>
      </c>
      <c r="N340" s="9" t="s">
        <v>1025</v>
      </c>
      <c r="O340" s="9">
        <v>0</v>
      </c>
      <c r="P340" s="9">
        <v>15</v>
      </c>
      <c r="Q340" s="9" t="s">
        <v>784</v>
      </c>
      <c r="U340" s="9" t="s">
        <v>714</v>
      </c>
      <c r="X340" s="9">
        <f ca="1">IFERROR(OFFSET(ITEM_RES!$A$5,MATCH(BUILDING!W340,ITEM_RES!$J$5:$J$226,0)-1,0),0)</f>
        <v>0</v>
      </c>
      <c r="AA340" s="9">
        <f ca="1">IFERROR(OFFSET(ITEM_RES!$A$5,MATCH(BUILDING!Z340,ITEM_RES!$J$5:$J$226,0)-1,0),0)</f>
        <v>0</v>
      </c>
      <c r="AC340" s="9" t="s">
        <v>522</v>
      </c>
      <c r="AD340" s="9">
        <v>16</v>
      </c>
      <c r="AF340" s="11">
        <f ca="1">IFERROR(OFFSET(MANOR_LEVEL!$B$1,MATCH(AG340-1,MANOR_LEVEL!$A:$A,0)-1,0),0)</f>
        <v>12172400</v>
      </c>
      <c r="AG340" s="56">
        <v>18</v>
      </c>
      <c r="AI340" s="56">
        <f t="shared" ca="1" si="106"/>
        <v>1400</v>
      </c>
      <c r="AJ340" s="10">
        <f ca="1">AO340+AQ340+(IFERROR(OFFSET(ITEM_RES!$S$1,MATCH(AU340,ITEM_RES!$A:$A,0)-1,0),0)*AW340+IFERROR(OFFSET(ITEM_RES!$S$1,MATCH(AZ340,ITEM_RES!$A:$A,0)-1,0),0)*BB340+IFERROR(OFFSET(ITEM_RES!$S$1,MATCH(BE340,ITEM_RES!$A:$A,0)-1,0),0)*BG340+IFERROR(OFFSET(ITEM_RES!$S$1,MATCH(BJ340,ITEM_RES!$A:$A,0)-1,0),0)*BL340+IFERROR(OFFSET(ITEM_RES!$S$1,MATCH(BO340,ITEM_RES!$A:$A,0)-1,0),0)*BQ340)/1000</f>
        <v>1400.1</v>
      </c>
      <c r="AK340" s="183">
        <f t="shared" ca="1" si="120"/>
        <v>2500</v>
      </c>
      <c r="AM340" s="11">
        <f t="shared" si="118"/>
        <v>80</v>
      </c>
      <c r="AN340" s="10">
        <v>80</v>
      </c>
      <c r="AO340" s="11">
        <f t="shared" si="104"/>
        <v>700</v>
      </c>
      <c r="AP340" s="10">
        <v>700</v>
      </c>
      <c r="AQ340" s="11">
        <f t="shared" si="104"/>
        <v>700</v>
      </c>
      <c r="AR340" s="10">
        <v>700</v>
      </c>
      <c r="AS340" s="56">
        <f t="shared" si="119"/>
        <v>1</v>
      </c>
      <c r="AU340" s="11">
        <f ca="1">IFERROR(OFFSET(ITEM_RES!$A$1,MATCH(AV340,ITEM_RES!$J:$J,0)-1,0),0)</f>
        <v>211020801</v>
      </c>
      <c r="AV340" s="10" t="s">
        <v>435</v>
      </c>
      <c r="AW340" s="11">
        <v>1</v>
      </c>
      <c r="AZ340" s="11">
        <f ca="1">IFERROR(OFFSET(ITEM_RES!$A$1,MATCH(BA340,ITEM_RES!$J:$J,0)-1,0),0)</f>
        <v>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  <c r="BO340" s="11">
        <f ca="1">IFERROR(OFFSET(ITEM_RES!$A$1,MATCH(BP340,ITEM_RES!$J:$J,0)-1,0),0)</f>
        <v>0</v>
      </c>
    </row>
    <row r="341" spans="1:70" x14ac:dyDescent="0.3">
      <c r="A341" s="14">
        <f t="shared" ref="A341:A404" si="121">B341*10000000+C341*1000000+D341*10000+E341*100+F341</f>
        <v>111080017</v>
      </c>
      <c r="B341" s="13">
        <v>11</v>
      </c>
      <c r="C341" s="12">
        <f t="shared" ref="C341:C404" si="122">H341</f>
        <v>1</v>
      </c>
      <c r="D341" s="13">
        <v>8</v>
      </c>
      <c r="E341" s="13">
        <v>0</v>
      </c>
      <c r="F341" s="12">
        <f t="shared" ref="F341:F404" si="123">I341</f>
        <v>17</v>
      </c>
      <c r="H341" s="9">
        <v>1</v>
      </c>
      <c r="I341" s="9">
        <v>17</v>
      </c>
      <c r="K341" s="9" t="s">
        <v>1023</v>
      </c>
      <c r="M341" s="9" t="s">
        <v>1024</v>
      </c>
      <c r="N341" s="9" t="s">
        <v>1025</v>
      </c>
      <c r="O341" s="9">
        <v>0</v>
      </c>
      <c r="P341" s="9">
        <v>15</v>
      </c>
      <c r="Q341" s="9" t="s">
        <v>784</v>
      </c>
      <c r="U341" s="9" t="s">
        <v>714</v>
      </c>
      <c r="X341" s="9">
        <f ca="1">IFERROR(OFFSET(ITEM_RES!$A$5,MATCH(BUILDING!W341,ITEM_RES!$J$5:$J$226,0)-1,0),0)</f>
        <v>0</v>
      </c>
      <c r="AA341" s="9">
        <f ca="1">IFERROR(OFFSET(ITEM_RES!$A$5,MATCH(BUILDING!Z341,ITEM_RES!$J$5:$J$226,0)-1,0),0)</f>
        <v>0</v>
      </c>
      <c r="AC341" s="9" t="s">
        <v>522</v>
      </c>
      <c r="AD341" s="9">
        <v>17</v>
      </c>
      <c r="AF341" s="11">
        <f ca="1">IFERROR(OFFSET(MANOR_LEVEL!$B$1,MATCH(AG341-1,MANOR_LEVEL!$A:$A,0)-1,0),0)</f>
        <v>12172400</v>
      </c>
      <c r="AG341" s="56">
        <v>18</v>
      </c>
      <c r="AI341" s="56">
        <f t="shared" ca="1" si="106"/>
        <v>1700</v>
      </c>
      <c r="AJ341" s="10">
        <f ca="1">AO341+AQ341+(IFERROR(OFFSET(ITEM_RES!$S$1,MATCH(AU341,ITEM_RES!$A:$A,0)-1,0),0)*AW341+IFERROR(OFFSET(ITEM_RES!$S$1,MATCH(AZ341,ITEM_RES!$A:$A,0)-1,0),0)*BB341+IFERROR(OFFSET(ITEM_RES!$S$1,MATCH(BE341,ITEM_RES!$A:$A,0)-1,0),0)*BG341+IFERROR(OFFSET(ITEM_RES!$S$1,MATCH(BJ341,ITEM_RES!$A:$A,0)-1,0),0)*BL341+IFERROR(OFFSET(ITEM_RES!$S$1,MATCH(BO341,ITEM_RES!$A:$A,0)-1,0),0)*BQ341)/1000</f>
        <v>1700.1</v>
      </c>
      <c r="AK341" s="183">
        <f t="shared" ca="1" si="120"/>
        <v>3100</v>
      </c>
      <c r="AM341" s="11">
        <f t="shared" si="118"/>
        <v>85</v>
      </c>
      <c r="AN341" s="10">
        <v>85</v>
      </c>
      <c r="AO341" s="11">
        <f t="shared" si="104"/>
        <v>850</v>
      </c>
      <c r="AP341" s="10">
        <v>850</v>
      </c>
      <c r="AQ341" s="11">
        <f t="shared" si="104"/>
        <v>850</v>
      </c>
      <c r="AR341" s="10">
        <v>850</v>
      </c>
      <c r="AS341" s="56">
        <f t="shared" si="119"/>
        <v>1</v>
      </c>
      <c r="AU341" s="11">
        <f ca="1">IFERROR(OFFSET(ITEM_RES!$A$1,MATCH(AV341,ITEM_RES!$J:$J,0)-1,0),0)</f>
        <v>211020801</v>
      </c>
      <c r="AV341" s="10" t="s">
        <v>435</v>
      </c>
      <c r="AW341" s="11">
        <v>1</v>
      </c>
      <c r="AZ341" s="11">
        <f ca="1">IFERROR(OFFSET(ITEM_RES!$A$1,MATCH(BA341,ITEM_RES!$J:$J,0)-1,0),0)</f>
        <v>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  <c r="BO341" s="11">
        <f ca="1">IFERROR(OFFSET(ITEM_RES!$A$1,MATCH(BP341,ITEM_RES!$J:$J,0)-1,0),0)</f>
        <v>0</v>
      </c>
    </row>
    <row r="342" spans="1:70" x14ac:dyDescent="0.3">
      <c r="A342" s="14">
        <f t="shared" si="121"/>
        <v>111080018</v>
      </c>
      <c r="B342" s="13">
        <v>11</v>
      </c>
      <c r="C342" s="12">
        <f t="shared" si="122"/>
        <v>1</v>
      </c>
      <c r="D342" s="13">
        <v>8</v>
      </c>
      <c r="E342" s="13">
        <v>0</v>
      </c>
      <c r="F342" s="12">
        <f t="shared" si="123"/>
        <v>18</v>
      </c>
      <c r="H342" s="9">
        <v>1</v>
      </c>
      <c r="I342" s="9">
        <v>18</v>
      </c>
      <c r="K342" s="9" t="s">
        <v>1023</v>
      </c>
      <c r="M342" s="9" t="s">
        <v>1024</v>
      </c>
      <c r="N342" s="9" t="s">
        <v>1025</v>
      </c>
      <c r="O342" s="9">
        <v>0</v>
      </c>
      <c r="P342" s="9">
        <v>15</v>
      </c>
      <c r="Q342" s="9" t="s">
        <v>784</v>
      </c>
      <c r="U342" s="9" t="s">
        <v>714</v>
      </c>
      <c r="X342" s="9">
        <f ca="1">IFERROR(OFFSET(ITEM_RES!$A$5,MATCH(BUILDING!W342,ITEM_RES!$J$5:$J$226,0)-1,0),0)</f>
        <v>0</v>
      </c>
      <c r="AA342" s="9">
        <f ca="1">IFERROR(OFFSET(ITEM_RES!$A$5,MATCH(BUILDING!Z342,ITEM_RES!$J$5:$J$226,0)-1,0),0)</f>
        <v>0</v>
      </c>
      <c r="AC342" s="9" t="s">
        <v>522</v>
      </c>
      <c r="AD342" s="9">
        <v>18</v>
      </c>
      <c r="AF342" s="11">
        <f ca="1">IFERROR(OFFSET(MANOR_LEVEL!$B$1,MATCH(AG342-1,MANOR_LEVEL!$A:$A,0)-1,0),0)</f>
        <v>12172400</v>
      </c>
      <c r="AG342" s="56">
        <v>18</v>
      </c>
      <c r="AI342" s="56">
        <f t="shared" ca="1" si="106"/>
        <v>2100</v>
      </c>
      <c r="AJ342" s="10">
        <f ca="1">AO342+AQ342+(IFERROR(OFFSET(ITEM_RES!$S$1,MATCH(AU342,ITEM_RES!$A:$A,0)-1,0),0)*AW342+IFERROR(OFFSET(ITEM_RES!$S$1,MATCH(AZ342,ITEM_RES!$A:$A,0)-1,0),0)*BB342+IFERROR(OFFSET(ITEM_RES!$S$1,MATCH(BE342,ITEM_RES!$A:$A,0)-1,0),0)*BG342+IFERROR(OFFSET(ITEM_RES!$S$1,MATCH(BJ342,ITEM_RES!$A:$A,0)-1,0),0)*BL342+IFERROR(OFFSET(ITEM_RES!$S$1,MATCH(BO342,ITEM_RES!$A:$A,0)-1,0),0)*BQ342)/1000</f>
        <v>2100.1</v>
      </c>
      <c r="AK342" s="183">
        <f t="shared" ca="1" si="120"/>
        <v>3800</v>
      </c>
      <c r="AM342" s="11">
        <f t="shared" si="118"/>
        <v>90</v>
      </c>
      <c r="AN342" s="10">
        <v>90</v>
      </c>
      <c r="AO342" s="11">
        <f t="shared" ref="AO342:AQ404" si="124">ROUND(AP342,0)</f>
        <v>1050</v>
      </c>
      <c r="AP342" s="10">
        <v>1050</v>
      </c>
      <c r="AQ342" s="11">
        <f t="shared" si="124"/>
        <v>1050</v>
      </c>
      <c r="AR342" s="10">
        <v>1050</v>
      </c>
      <c r="AS342" s="56">
        <f t="shared" si="119"/>
        <v>1</v>
      </c>
      <c r="AU342" s="11">
        <f ca="1">IFERROR(OFFSET(ITEM_RES!$A$1,MATCH(AV342,ITEM_RES!$J:$J,0)-1,0),0)</f>
        <v>211020801</v>
      </c>
      <c r="AV342" s="10" t="s">
        <v>435</v>
      </c>
      <c r="AW342" s="11">
        <v>1</v>
      </c>
      <c r="AZ342" s="11">
        <f ca="1">IFERROR(OFFSET(ITEM_RES!$A$1,MATCH(BA342,ITEM_RES!$J:$J,0)-1,0),0)</f>
        <v>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  <c r="BO342" s="11">
        <f ca="1">IFERROR(OFFSET(ITEM_RES!$A$1,MATCH(BP342,ITEM_RES!$J:$J,0)-1,0),0)</f>
        <v>0</v>
      </c>
    </row>
    <row r="343" spans="1:70" x14ac:dyDescent="0.3">
      <c r="A343" s="14">
        <f t="shared" si="121"/>
        <v>111080019</v>
      </c>
      <c r="B343" s="13">
        <v>11</v>
      </c>
      <c r="C343" s="12">
        <f t="shared" si="122"/>
        <v>1</v>
      </c>
      <c r="D343" s="13">
        <v>8</v>
      </c>
      <c r="E343" s="13">
        <v>0</v>
      </c>
      <c r="F343" s="12">
        <f t="shared" si="123"/>
        <v>19</v>
      </c>
      <c r="H343" s="9">
        <v>1</v>
      </c>
      <c r="I343" s="9">
        <v>19</v>
      </c>
      <c r="K343" s="9" t="s">
        <v>1023</v>
      </c>
      <c r="M343" s="9" t="s">
        <v>1024</v>
      </c>
      <c r="N343" s="9" t="s">
        <v>1025</v>
      </c>
      <c r="O343" s="9">
        <v>0</v>
      </c>
      <c r="P343" s="9">
        <v>15</v>
      </c>
      <c r="Q343" s="9" t="s">
        <v>784</v>
      </c>
      <c r="U343" s="9" t="s">
        <v>714</v>
      </c>
      <c r="X343" s="9">
        <f ca="1">IFERROR(OFFSET(ITEM_RES!$A$5,MATCH(BUILDING!W343,ITEM_RES!$J$5:$J$226,0)-1,0),0)</f>
        <v>0</v>
      </c>
      <c r="AA343" s="9">
        <f ca="1">IFERROR(OFFSET(ITEM_RES!$A$5,MATCH(BUILDING!Z343,ITEM_RES!$J$5:$J$226,0)-1,0),0)</f>
        <v>0</v>
      </c>
      <c r="AC343" s="9" t="s">
        <v>522</v>
      </c>
      <c r="AD343" s="9">
        <v>19</v>
      </c>
      <c r="AF343" s="11">
        <f ca="1">IFERROR(OFFSET(MANOR_LEVEL!$B$1,MATCH(AG343-1,MANOR_LEVEL!$A:$A,0)-1,0),0)</f>
        <v>12172400</v>
      </c>
      <c r="AG343" s="56">
        <v>18</v>
      </c>
      <c r="AI343" s="56">
        <f t="shared" ca="1" si="106"/>
        <v>2500</v>
      </c>
      <c r="AJ343" s="10">
        <f ca="1">AO343+AQ343+(IFERROR(OFFSET(ITEM_RES!$S$1,MATCH(AU343,ITEM_RES!$A:$A,0)-1,0),0)*AW343+IFERROR(OFFSET(ITEM_RES!$S$1,MATCH(AZ343,ITEM_RES!$A:$A,0)-1,0),0)*BB343+IFERROR(OFFSET(ITEM_RES!$S$1,MATCH(BE343,ITEM_RES!$A:$A,0)-1,0),0)*BG343+IFERROR(OFFSET(ITEM_RES!$S$1,MATCH(BJ343,ITEM_RES!$A:$A,0)-1,0),0)*BL343+IFERROR(OFFSET(ITEM_RES!$S$1,MATCH(BO343,ITEM_RES!$A:$A,0)-1,0),0)*BQ343)/1000</f>
        <v>2500.1999999999998</v>
      </c>
      <c r="AK343" s="183">
        <f t="shared" ca="1" si="120"/>
        <v>4600</v>
      </c>
      <c r="AM343" s="11">
        <f t="shared" si="118"/>
        <v>95</v>
      </c>
      <c r="AN343" s="10">
        <v>95</v>
      </c>
      <c r="AO343" s="11">
        <f t="shared" si="124"/>
        <v>1250</v>
      </c>
      <c r="AP343" s="10">
        <v>1250</v>
      </c>
      <c r="AQ343" s="11">
        <f t="shared" si="124"/>
        <v>1250</v>
      </c>
      <c r="AR343" s="10">
        <v>1250</v>
      </c>
      <c r="AS343" s="56">
        <f t="shared" si="119"/>
        <v>1</v>
      </c>
      <c r="AU343" s="11">
        <f ca="1">IFERROR(OFFSET(ITEM_RES!$A$1,MATCH(AV343,ITEM_RES!$J:$J,0)-1,0),0)</f>
        <v>211020901</v>
      </c>
      <c r="AV343" s="10" t="s">
        <v>444</v>
      </c>
      <c r="AW343" s="11">
        <v>1</v>
      </c>
      <c r="AZ343" s="11">
        <f ca="1">IFERROR(OFFSET(ITEM_RES!$A$1,MATCH(BA343,ITEM_RES!$J:$J,0)-1,0),0)</f>
        <v>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  <c r="BO343" s="11">
        <f ca="1">IFERROR(OFFSET(ITEM_RES!$A$1,MATCH(BP343,ITEM_RES!$J:$J,0)-1,0),0)</f>
        <v>0</v>
      </c>
    </row>
    <row r="344" spans="1:70" ht="17.25" thickBot="1" x14ac:dyDescent="0.35">
      <c r="A344" s="14">
        <f t="shared" si="121"/>
        <v>111080020</v>
      </c>
      <c r="B344" s="13">
        <v>11</v>
      </c>
      <c r="C344" s="12">
        <f t="shared" si="122"/>
        <v>1</v>
      </c>
      <c r="D344" s="13">
        <v>8</v>
      </c>
      <c r="E344" s="13">
        <v>0</v>
      </c>
      <c r="F344" s="12">
        <f t="shared" si="123"/>
        <v>20</v>
      </c>
      <c r="H344" s="9">
        <v>1</v>
      </c>
      <c r="I344" s="9">
        <v>20</v>
      </c>
      <c r="K344" s="9" t="s">
        <v>1023</v>
      </c>
      <c r="M344" s="9" t="s">
        <v>1024</v>
      </c>
      <c r="N344" s="9" t="s">
        <v>1025</v>
      </c>
      <c r="O344" s="9">
        <v>0</v>
      </c>
      <c r="P344" s="9">
        <v>15</v>
      </c>
      <c r="Q344" s="9" t="s">
        <v>784</v>
      </c>
      <c r="U344" s="9" t="s">
        <v>714</v>
      </c>
      <c r="X344" s="9">
        <f ca="1">IFERROR(OFFSET(ITEM_RES!$A$5,MATCH(BUILDING!W344,ITEM_RES!$J$5:$J$226,0)-1,0),0)</f>
        <v>0</v>
      </c>
      <c r="AA344" s="9">
        <f ca="1">IFERROR(OFFSET(ITEM_RES!$A$5,MATCH(BUILDING!Z344,ITEM_RES!$J$5:$J$226,0)-1,0),0)</f>
        <v>0</v>
      </c>
      <c r="AC344" s="9" t="s">
        <v>522</v>
      </c>
      <c r="AD344" s="9">
        <v>20</v>
      </c>
      <c r="AF344" s="11">
        <f ca="1">IFERROR(OFFSET(MANOR_LEVEL!$B$1,MATCH(AG344-1,MANOR_LEVEL!$A:$A,0)-1,0),0)</f>
        <v>12172400</v>
      </c>
      <c r="AG344" s="56">
        <v>18</v>
      </c>
      <c r="AI344" s="56">
        <f t="shared" ca="1" si="106"/>
        <v>3000</v>
      </c>
      <c r="AJ344" s="10">
        <f ca="1">AO344+AQ344+(IFERROR(OFFSET(ITEM_RES!$S$1,MATCH(AU344,ITEM_RES!$A:$A,0)-1,0),0)*AW344+IFERROR(OFFSET(ITEM_RES!$S$1,MATCH(AZ344,ITEM_RES!$A:$A,0)-1,0),0)*BB344+IFERROR(OFFSET(ITEM_RES!$S$1,MATCH(BE344,ITEM_RES!$A:$A,0)-1,0),0)*BG344+IFERROR(OFFSET(ITEM_RES!$S$1,MATCH(BJ344,ITEM_RES!$A:$A,0)-1,0),0)*BL344+IFERROR(OFFSET(ITEM_RES!$S$1,MATCH(BO344,ITEM_RES!$A:$A,0)-1,0),0)*BQ344)/1000</f>
        <v>3000.2</v>
      </c>
      <c r="AK344" s="183">
        <f t="shared" ca="1" si="120"/>
        <v>5500</v>
      </c>
      <c r="AM344" s="11">
        <f t="shared" si="118"/>
        <v>100</v>
      </c>
      <c r="AN344" s="10">
        <v>100</v>
      </c>
      <c r="AO344" s="11">
        <f t="shared" si="124"/>
        <v>1500</v>
      </c>
      <c r="AP344" s="10">
        <v>1500</v>
      </c>
      <c r="AQ344" s="11">
        <f t="shared" si="124"/>
        <v>1500</v>
      </c>
      <c r="AR344" s="10">
        <v>1500</v>
      </c>
      <c r="AS344" s="56">
        <f t="shared" si="119"/>
        <v>1</v>
      </c>
      <c r="AU344" s="11">
        <f ca="1">IFERROR(OFFSET(ITEM_RES!$A$1,MATCH(AV344,ITEM_RES!$J:$J,0)-1,0),0)</f>
        <v>211020901</v>
      </c>
      <c r="AV344" s="10" t="s">
        <v>444</v>
      </c>
      <c r="AW344" s="11">
        <v>1</v>
      </c>
      <c r="AZ344" s="11">
        <f ca="1">IFERROR(OFFSET(ITEM_RES!$A$1,MATCH(BA344,ITEM_RES!$J:$J,0)-1,0),0)</f>
        <v>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  <c r="BO344" s="11">
        <f ca="1">IFERROR(OFFSET(ITEM_RES!$A$1,MATCH(BP344,ITEM_RES!$J:$J,0)-1,0),0)</f>
        <v>0</v>
      </c>
    </row>
    <row r="345" spans="1:70" s="15" customFormat="1" x14ac:dyDescent="0.3">
      <c r="A345" s="21">
        <f t="shared" si="121"/>
        <v>112040001</v>
      </c>
      <c r="B345" s="20">
        <v>11</v>
      </c>
      <c r="C345" s="19">
        <f t="shared" si="122"/>
        <v>2</v>
      </c>
      <c r="D345" s="20">
        <v>4</v>
      </c>
      <c r="E345" s="20">
        <v>0</v>
      </c>
      <c r="F345" s="19">
        <f t="shared" si="123"/>
        <v>1</v>
      </c>
      <c r="G345" s="79"/>
      <c r="H345" s="16">
        <v>2</v>
      </c>
      <c r="I345" s="16">
        <v>1</v>
      </c>
      <c r="J345" s="79"/>
      <c r="K345" s="16" t="s">
        <v>367</v>
      </c>
      <c r="L345" s="16">
        <v>10</v>
      </c>
      <c r="M345" s="16" t="s">
        <v>956</v>
      </c>
      <c r="N345" s="16" t="s">
        <v>974</v>
      </c>
      <c r="O345" s="16">
        <v>1</v>
      </c>
      <c r="P345" s="16">
        <v>15</v>
      </c>
      <c r="Q345" s="16" t="s">
        <v>782</v>
      </c>
      <c r="R345" s="17"/>
      <c r="S345" s="17"/>
      <c r="T345" s="18"/>
      <c r="U345" s="16" t="s">
        <v>715</v>
      </c>
      <c r="V345" s="79"/>
      <c r="W345" s="87" t="s">
        <v>551</v>
      </c>
      <c r="X345" s="16">
        <f ca="1">IFERROR(OFFSET(ITEM_RES!$A$5,MATCH(BUILDING!W345,ITEM_RES!$J$5:$J$226,0)-1,0),0)</f>
        <v>211020601</v>
      </c>
      <c r="Y345" s="18">
        <v>2</v>
      </c>
      <c r="Z345" s="87" t="s">
        <v>546</v>
      </c>
      <c r="AA345" s="16">
        <f ca="1">IFERROR(OFFSET(ITEM_RES!$A$5,MATCH(BUILDING!Z345,ITEM_RES!$J$5:$J$226,0)-1,0),0)</f>
        <v>211020701</v>
      </c>
      <c r="AB345" s="79"/>
      <c r="AC345" s="16" t="s">
        <v>523</v>
      </c>
      <c r="AD345" s="16">
        <v>1</v>
      </c>
      <c r="AE345" s="79"/>
      <c r="AF345" s="18">
        <f ca="1">IFERROR(OFFSET(MANOR_LEVEL!$B$1,MATCH(AG345-1,MANOR_LEVEL!$A:$A,0)-1,0),0)</f>
        <v>456800</v>
      </c>
      <c r="AG345" s="57">
        <v>11</v>
      </c>
      <c r="AH345" s="79"/>
      <c r="AI345" s="57">
        <f t="shared" ca="1" si="106"/>
        <v>110</v>
      </c>
      <c r="AJ345" s="17">
        <f ca="1">AO345+AQ345+(IFERROR(OFFSET(ITEM_RES!$S$1,MATCH(AU345,ITEM_RES!$A:$A,0)-1,0),0)*AW345+IFERROR(OFFSET(ITEM_RES!$S$1,MATCH(AZ345,ITEM_RES!$A:$A,0)-1,0),0)*BB345+IFERROR(OFFSET(ITEM_RES!$S$1,MATCH(BE345,ITEM_RES!$A:$A,0)-1,0),0)*BG345+IFERROR(OFFSET(ITEM_RES!$S$1,MATCH(BJ345,ITEM_RES!$A:$A,0)-1,0),0)*BL345+IFERROR(OFFSET(ITEM_RES!$S$1,MATCH(BO345,ITEM_RES!$A:$A,0)-1,0),0)*BQ345)/1000</f>
        <v>110.11</v>
      </c>
      <c r="AK345" s="185">
        <f ca="1">AI345</f>
        <v>110</v>
      </c>
      <c r="AL345" s="79"/>
      <c r="AM345" s="18">
        <f t="shared" si="118"/>
        <v>5</v>
      </c>
      <c r="AN345" s="17">
        <v>5</v>
      </c>
      <c r="AO345" s="18">
        <f t="shared" si="124"/>
        <v>5</v>
      </c>
      <c r="AP345" s="17">
        <v>5</v>
      </c>
      <c r="AQ345" s="18">
        <f t="shared" si="124"/>
        <v>5</v>
      </c>
      <c r="AR345" s="17">
        <v>5</v>
      </c>
      <c r="AS345" s="57">
        <f t="shared" si="119"/>
        <v>3</v>
      </c>
      <c r="AT345" s="18"/>
      <c r="AU345" s="18">
        <f ca="1">IFERROR(OFFSET(ITEM_RES!$A$1,MATCH(AV345,ITEM_RES!$J:$J,0)-1,0),0)</f>
        <v>211020401</v>
      </c>
      <c r="AV345" s="17" t="s">
        <v>436</v>
      </c>
      <c r="AW345" s="18">
        <v>1</v>
      </c>
      <c r="AX345" s="17"/>
      <c r="AY345" s="18"/>
      <c r="AZ345" s="18">
        <f ca="1">IFERROR(OFFSET(ITEM_RES!$A$1,MATCH(BA345,ITEM_RES!$J:$J,0)-1,0),0)</f>
        <v>211020801</v>
      </c>
      <c r="BA345" s="17" t="s">
        <v>435</v>
      </c>
      <c r="BB345" s="18">
        <v>1</v>
      </c>
      <c r="BC345" s="17"/>
      <c r="BD345" s="18"/>
      <c r="BE345" s="18">
        <f ca="1">IFERROR(OFFSET(ITEM_RES!$A$1,MATCH(BF345,ITEM_RES!$J:$J,0)-1,0),0)</f>
        <v>213010101</v>
      </c>
      <c r="BF345" s="17" t="s">
        <v>452</v>
      </c>
      <c r="BG345" s="18">
        <v>1</v>
      </c>
      <c r="BH345" s="17"/>
      <c r="BI345" s="18"/>
      <c r="BJ345" s="18">
        <f ca="1">IFERROR(OFFSET(ITEM_RES!$A$1,MATCH(BK345,ITEM_RES!$J:$J,0)-1,0),0)</f>
        <v>0</v>
      </c>
      <c r="BK345" s="17"/>
      <c r="BL345" s="18"/>
      <c r="BM345" s="17"/>
      <c r="BN345" s="18"/>
      <c r="BO345" s="18">
        <f ca="1">IFERROR(OFFSET(ITEM_RES!$A$1,MATCH(BP345,ITEM_RES!$J:$J,0)-1,0),0)</f>
        <v>0</v>
      </c>
      <c r="BP345" s="17"/>
      <c r="BQ345" s="18"/>
      <c r="BR345" s="17"/>
    </row>
    <row r="346" spans="1:70" x14ac:dyDescent="0.3">
      <c r="A346" s="14">
        <f t="shared" si="121"/>
        <v>112040002</v>
      </c>
      <c r="B346" s="13">
        <v>11</v>
      </c>
      <c r="C346" s="12">
        <f t="shared" si="122"/>
        <v>2</v>
      </c>
      <c r="D346" s="13">
        <v>4</v>
      </c>
      <c r="E346" s="13">
        <v>0</v>
      </c>
      <c r="F346" s="12">
        <f t="shared" si="123"/>
        <v>2</v>
      </c>
      <c r="H346" s="9">
        <v>2</v>
      </c>
      <c r="I346" s="9">
        <v>2</v>
      </c>
      <c r="K346" s="9" t="s">
        <v>367</v>
      </c>
      <c r="M346" s="9" t="s">
        <v>956</v>
      </c>
      <c r="N346" s="9" t="s">
        <v>974</v>
      </c>
      <c r="O346" s="9">
        <v>1</v>
      </c>
      <c r="P346" s="9">
        <v>15</v>
      </c>
      <c r="Q346" s="9" t="s">
        <v>782</v>
      </c>
      <c r="U346" s="9" t="s">
        <v>715</v>
      </c>
      <c r="W346" s="85" t="s">
        <v>551</v>
      </c>
      <c r="X346" s="9">
        <f ca="1">IFERROR(OFFSET(ITEM_RES!$A$5,MATCH(BUILDING!W346,ITEM_RES!$J$5:$J$226,0)-1,0),0)</f>
        <v>211020601</v>
      </c>
      <c r="Y346" s="11">
        <v>2</v>
      </c>
      <c r="Z346" s="85" t="s">
        <v>546</v>
      </c>
      <c r="AA346" s="9">
        <f ca="1">IFERROR(OFFSET(ITEM_RES!$A$5,MATCH(BUILDING!Z346,ITEM_RES!$J$5:$J$226,0)-1,0),0)</f>
        <v>211020701</v>
      </c>
      <c r="AC346" s="9" t="s">
        <v>523</v>
      </c>
      <c r="AD346" s="9">
        <v>2</v>
      </c>
      <c r="AF346" s="11">
        <f ca="1">IFERROR(OFFSET(MANOR_LEVEL!$B$1,MATCH(AG346-1,MANOR_LEVEL!$A:$A,0)-1,0),0)</f>
        <v>456800</v>
      </c>
      <c r="AG346" s="56">
        <v>11</v>
      </c>
      <c r="AI346" s="56">
        <f t="shared" ca="1" si="106"/>
        <v>20</v>
      </c>
      <c r="AJ346" s="10">
        <f ca="1">AO346+AQ346+(IFERROR(OFFSET(ITEM_RES!$S$1,MATCH(AU346,ITEM_RES!$A:$A,0)-1,0),0)*AW346+IFERROR(OFFSET(ITEM_RES!$S$1,MATCH(AZ346,ITEM_RES!$A:$A,0)-1,0),0)*BB346+IFERROR(OFFSET(ITEM_RES!$S$1,MATCH(BE346,ITEM_RES!$A:$A,0)-1,0),0)*BG346+IFERROR(OFFSET(ITEM_RES!$S$1,MATCH(BJ346,ITEM_RES!$A:$A,0)-1,0),0)*BL346+IFERROR(OFFSET(ITEM_RES!$S$1,MATCH(BO346,ITEM_RES!$A:$A,0)-1,0),0)*BQ346)/1000</f>
        <v>20.11</v>
      </c>
      <c r="AK346" s="183">
        <f ca="1">AI345+AI346</f>
        <v>130</v>
      </c>
      <c r="AM346" s="11">
        <f t="shared" si="118"/>
        <v>10</v>
      </c>
      <c r="AN346" s="10">
        <v>10</v>
      </c>
      <c r="AO346" s="11">
        <f t="shared" si="124"/>
        <v>10</v>
      </c>
      <c r="AP346" s="10">
        <v>10</v>
      </c>
      <c r="AQ346" s="11">
        <f t="shared" si="124"/>
        <v>10</v>
      </c>
      <c r="AR346" s="10">
        <v>10</v>
      </c>
      <c r="AS346" s="56">
        <f t="shared" si="119"/>
        <v>2</v>
      </c>
      <c r="AU346" s="11">
        <f ca="1">IFERROR(OFFSET(ITEM_RES!$A$1,MATCH(AV346,ITEM_RES!$J:$J,0)-1,0),0)</f>
        <v>211020401</v>
      </c>
      <c r="AV346" s="10" t="s">
        <v>436</v>
      </c>
      <c r="AW346" s="11">
        <v>1</v>
      </c>
      <c r="AZ346" s="11">
        <f ca="1">IFERROR(OFFSET(ITEM_RES!$A$1,MATCH(BA346,ITEM_RES!$J:$J,0)-1,0),0)</f>
        <v>211020801</v>
      </c>
      <c r="BA346" s="10" t="s">
        <v>435</v>
      </c>
      <c r="BB346" s="11">
        <v>1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  <c r="BO346" s="11">
        <f ca="1">IFERROR(OFFSET(ITEM_RES!$A$1,MATCH(BP346,ITEM_RES!$J:$J,0)-1,0),0)</f>
        <v>0</v>
      </c>
    </row>
    <row r="347" spans="1:70" x14ac:dyDescent="0.3">
      <c r="A347" s="14">
        <f t="shared" si="121"/>
        <v>112040003</v>
      </c>
      <c r="B347" s="13">
        <v>11</v>
      </c>
      <c r="C347" s="12">
        <f t="shared" si="122"/>
        <v>2</v>
      </c>
      <c r="D347" s="13">
        <v>4</v>
      </c>
      <c r="E347" s="13">
        <v>0</v>
      </c>
      <c r="F347" s="12">
        <f t="shared" si="123"/>
        <v>3</v>
      </c>
      <c r="H347" s="9">
        <v>2</v>
      </c>
      <c r="I347" s="9">
        <v>3</v>
      </c>
      <c r="K347" s="9" t="s">
        <v>367</v>
      </c>
      <c r="M347" s="9" t="s">
        <v>956</v>
      </c>
      <c r="N347" s="9" t="s">
        <v>974</v>
      </c>
      <c r="O347" s="9">
        <v>1</v>
      </c>
      <c r="P347" s="9">
        <v>15</v>
      </c>
      <c r="Q347" s="9" t="s">
        <v>782</v>
      </c>
      <c r="U347" s="9" t="s">
        <v>715</v>
      </c>
      <c r="W347" s="85" t="s">
        <v>551</v>
      </c>
      <c r="X347" s="9">
        <f ca="1">IFERROR(OFFSET(ITEM_RES!$A$5,MATCH(BUILDING!W347,ITEM_RES!$J$5:$J$226,0)-1,0),0)</f>
        <v>211020601</v>
      </c>
      <c r="Y347" s="11">
        <v>2</v>
      </c>
      <c r="Z347" s="85" t="s">
        <v>546</v>
      </c>
      <c r="AA347" s="9">
        <f ca="1">IFERROR(OFFSET(ITEM_RES!$A$5,MATCH(BUILDING!Z347,ITEM_RES!$J$5:$J$226,0)-1,0),0)</f>
        <v>211020701</v>
      </c>
      <c r="AC347" s="9" t="s">
        <v>523</v>
      </c>
      <c r="AD347" s="9">
        <v>3</v>
      </c>
      <c r="AF347" s="11">
        <f ca="1">IFERROR(OFFSET(MANOR_LEVEL!$B$1,MATCH(AG347-1,MANOR_LEVEL!$A:$A,0)-1,0),0)</f>
        <v>796000</v>
      </c>
      <c r="AG347" s="56">
        <v>12</v>
      </c>
      <c r="AI347" s="56">
        <f t="shared" ca="1" si="106"/>
        <v>30</v>
      </c>
      <c r="AJ347" s="10">
        <f ca="1">AO347+AQ347+(IFERROR(OFFSET(ITEM_RES!$S$1,MATCH(AU347,ITEM_RES!$A:$A,0)-1,0),0)*AW347+IFERROR(OFFSET(ITEM_RES!$S$1,MATCH(AZ347,ITEM_RES!$A:$A,0)-1,0),0)*BB347+IFERROR(OFFSET(ITEM_RES!$S$1,MATCH(BE347,ITEM_RES!$A:$A,0)-1,0),0)*BG347+IFERROR(OFFSET(ITEM_RES!$S$1,MATCH(BJ347,ITEM_RES!$A:$A,0)-1,0),0)*BL347+IFERROR(OFFSET(ITEM_RES!$S$1,MATCH(BO347,ITEM_RES!$A:$A,0)-1,0),0)*BQ347)/1000</f>
        <v>30.11</v>
      </c>
      <c r="AK347" s="183">
        <f t="shared" ref="AK347:AK364" ca="1" si="125">AI346+AI347</f>
        <v>50</v>
      </c>
      <c r="AM347" s="11">
        <f t="shared" si="118"/>
        <v>15</v>
      </c>
      <c r="AN347" s="10">
        <v>15</v>
      </c>
      <c r="AO347" s="11">
        <f t="shared" si="124"/>
        <v>15</v>
      </c>
      <c r="AP347" s="10">
        <v>15</v>
      </c>
      <c r="AQ347" s="11">
        <f t="shared" si="124"/>
        <v>15</v>
      </c>
      <c r="AR347" s="10">
        <v>15</v>
      </c>
      <c r="AS347" s="56">
        <f t="shared" si="119"/>
        <v>2</v>
      </c>
      <c r="AU347" s="11">
        <f ca="1">IFERROR(OFFSET(ITEM_RES!$A$1,MATCH(AV347,ITEM_RES!$J:$J,0)-1,0),0)</f>
        <v>211020401</v>
      </c>
      <c r="AV347" s="10" t="s">
        <v>436</v>
      </c>
      <c r="AW347" s="11">
        <v>1</v>
      </c>
      <c r="AZ347" s="11">
        <f ca="1">IFERROR(OFFSET(ITEM_RES!$A$1,MATCH(BA347,ITEM_RES!$J:$J,0)-1,0),0)</f>
        <v>211020801</v>
      </c>
      <c r="BA347" s="10" t="s">
        <v>435</v>
      </c>
      <c r="BB347" s="11">
        <v>1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  <c r="BO347" s="11">
        <f ca="1">IFERROR(OFFSET(ITEM_RES!$A$1,MATCH(BP347,ITEM_RES!$J:$J,0)-1,0),0)</f>
        <v>0</v>
      </c>
    </row>
    <row r="348" spans="1:70" x14ac:dyDescent="0.3">
      <c r="A348" s="14">
        <f t="shared" si="121"/>
        <v>112040004</v>
      </c>
      <c r="B348" s="13">
        <v>11</v>
      </c>
      <c r="C348" s="12">
        <f t="shared" si="122"/>
        <v>2</v>
      </c>
      <c r="D348" s="13">
        <v>4</v>
      </c>
      <c r="E348" s="13">
        <v>0</v>
      </c>
      <c r="F348" s="12">
        <f t="shared" si="123"/>
        <v>4</v>
      </c>
      <c r="H348" s="9">
        <v>2</v>
      </c>
      <c r="I348" s="9">
        <v>4</v>
      </c>
      <c r="K348" s="9" t="s">
        <v>367</v>
      </c>
      <c r="M348" s="9" t="s">
        <v>956</v>
      </c>
      <c r="N348" s="9" t="s">
        <v>974</v>
      </c>
      <c r="O348" s="9">
        <v>1</v>
      </c>
      <c r="P348" s="9">
        <v>15</v>
      </c>
      <c r="Q348" s="9" t="s">
        <v>782</v>
      </c>
      <c r="U348" s="9" t="s">
        <v>715</v>
      </c>
      <c r="W348" s="85" t="s">
        <v>551</v>
      </c>
      <c r="X348" s="9">
        <f ca="1">IFERROR(OFFSET(ITEM_RES!$A$5,MATCH(BUILDING!W348,ITEM_RES!$J$5:$J$226,0)-1,0),0)</f>
        <v>211020601</v>
      </c>
      <c r="Y348" s="11">
        <v>2</v>
      </c>
      <c r="Z348" s="85" t="s">
        <v>546</v>
      </c>
      <c r="AA348" s="9">
        <f ca="1">IFERROR(OFFSET(ITEM_RES!$A$5,MATCH(BUILDING!Z348,ITEM_RES!$J$5:$J$226,0)-1,0),0)</f>
        <v>211020701</v>
      </c>
      <c r="AC348" s="9" t="s">
        <v>523</v>
      </c>
      <c r="AD348" s="9">
        <v>4</v>
      </c>
      <c r="AF348" s="11">
        <f ca="1">IFERROR(OFFSET(MANOR_LEVEL!$B$1,MATCH(AG348-1,MANOR_LEVEL!$A:$A,0)-1,0),0)</f>
        <v>1156400</v>
      </c>
      <c r="AG348" s="56">
        <v>13</v>
      </c>
      <c r="AI348" s="56">
        <f t="shared" ca="1" si="106"/>
        <v>50</v>
      </c>
      <c r="AJ348" s="10">
        <f ca="1">AO348+AQ348+(IFERROR(OFFSET(ITEM_RES!$S$1,MATCH(AU348,ITEM_RES!$A:$A,0)-1,0),0)*AW348+IFERROR(OFFSET(ITEM_RES!$S$1,MATCH(AZ348,ITEM_RES!$A:$A,0)-1,0),0)*BB348+IFERROR(OFFSET(ITEM_RES!$S$1,MATCH(BE348,ITEM_RES!$A:$A,0)-1,0),0)*BG348+IFERROR(OFFSET(ITEM_RES!$S$1,MATCH(BJ348,ITEM_RES!$A:$A,0)-1,0),0)*BL348+IFERROR(OFFSET(ITEM_RES!$S$1,MATCH(BO348,ITEM_RES!$A:$A,0)-1,0),0)*BQ348)/1000</f>
        <v>50.11</v>
      </c>
      <c r="AK348" s="183">
        <f t="shared" ca="1" si="125"/>
        <v>80</v>
      </c>
      <c r="AM348" s="11">
        <f t="shared" si="118"/>
        <v>20</v>
      </c>
      <c r="AN348" s="10">
        <v>20</v>
      </c>
      <c r="AO348" s="11">
        <f t="shared" si="124"/>
        <v>25</v>
      </c>
      <c r="AP348" s="10">
        <v>25</v>
      </c>
      <c r="AQ348" s="11">
        <f t="shared" si="124"/>
        <v>25</v>
      </c>
      <c r="AR348" s="10">
        <v>25</v>
      </c>
      <c r="AS348" s="56">
        <f t="shared" si="119"/>
        <v>2</v>
      </c>
      <c r="AU348" s="11">
        <f ca="1">IFERROR(OFFSET(ITEM_RES!$A$1,MATCH(AV348,ITEM_RES!$J:$J,0)-1,0),0)</f>
        <v>211020401</v>
      </c>
      <c r="AV348" s="10" t="s">
        <v>436</v>
      </c>
      <c r="AW348" s="11">
        <v>1</v>
      </c>
      <c r="AZ348" s="11">
        <f ca="1">IFERROR(OFFSET(ITEM_RES!$A$1,MATCH(BA348,ITEM_RES!$J:$J,0)-1,0),0)</f>
        <v>211020801</v>
      </c>
      <c r="BA348" s="10" t="s">
        <v>435</v>
      </c>
      <c r="BB348" s="11">
        <v>1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  <c r="BO348" s="11">
        <f ca="1">IFERROR(OFFSET(ITEM_RES!$A$1,MATCH(BP348,ITEM_RES!$J:$J,0)-1,0),0)</f>
        <v>0</v>
      </c>
    </row>
    <row r="349" spans="1:70" x14ac:dyDescent="0.3">
      <c r="A349" s="14">
        <f t="shared" si="121"/>
        <v>112040005</v>
      </c>
      <c r="B349" s="13">
        <v>11</v>
      </c>
      <c r="C349" s="12">
        <f t="shared" si="122"/>
        <v>2</v>
      </c>
      <c r="D349" s="13">
        <v>4</v>
      </c>
      <c r="E349" s="13">
        <v>0</v>
      </c>
      <c r="F349" s="12">
        <f t="shared" si="123"/>
        <v>5</v>
      </c>
      <c r="H349" s="9">
        <v>2</v>
      </c>
      <c r="I349" s="9">
        <v>5</v>
      </c>
      <c r="K349" s="9" t="s">
        <v>367</v>
      </c>
      <c r="M349" s="9" t="s">
        <v>956</v>
      </c>
      <c r="N349" s="9" t="s">
        <v>974</v>
      </c>
      <c r="O349" s="9">
        <v>1</v>
      </c>
      <c r="P349" s="9">
        <v>15</v>
      </c>
      <c r="Q349" s="9" t="s">
        <v>782</v>
      </c>
      <c r="U349" s="9" t="s">
        <v>715</v>
      </c>
      <c r="W349" s="85" t="s">
        <v>551</v>
      </c>
      <c r="X349" s="9">
        <f ca="1">IFERROR(OFFSET(ITEM_RES!$A$5,MATCH(BUILDING!W349,ITEM_RES!$J$5:$J$226,0)-1,0),0)</f>
        <v>211020601</v>
      </c>
      <c r="Y349" s="11">
        <v>2</v>
      </c>
      <c r="Z349" s="85" t="s">
        <v>546</v>
      </c>
      <c r="AA349" s="9">
        <f ca="1">IFERROR(OFFSET(ITEM_RES!$A$5,MATCH(BUILDING!Z349,ITEM_RES!$J$5:$J$226,0)-1,0),0)</f>
        <v>211020701</v>
      </c>
      <c r="AC349" s="9" t="s">
        <v>523</v>
      </c>
      <c r="AD349" s="9">
        <v>5</v>
      </c>
      <c r="AF349" s="11">
        <f ca="1">IFERROR(OFFSET(MANOR_LEVEL!$B$1,MATCH(AG349-1,MANOR_LEVEL!$A:$A,0)-1,0),0)</f>
        <v>1156400</v>
      </c>
      <c r="AG349" s="56">
        <v>13</v>
      </c>
      <c r="AI349" s="56">
        <f t="shared" ca="1" si="106"/>
        <v>80</v>
      </c>
      <c r="AJ349" s="10">
        <f ca="1">AO349+AQ349+(IFERROR(OFFSET(ITEM_RES!$S$1,MATCH(AU349,ITEM_RES!$A:$A,0)-1,0),0)*AW349+IFERROR(OFFSET(ITEM_RES!$S$1,MATCH(AZ349,ITEM_RES!$A:$A,0)-1,0),0)*BB349+IFERROR(OFFSET(ITEM_RES!$S$1,MATCH(BE349,ITEM_RES!$A:$A,0)-1,0),0)*BG349+IFERROR(OFFSET(ITEM_RES!$S$1,MATCH(BJ349,ITEM_RES!$A:$A,0)-1,0),0)*BL349+IFERROR(OFFSET(ITEM_RES!$S$1,MATCH(BO349,ITEM_RES!$A:$A,0)-1,0),0)*BQ349)/1000</f>
        <v>80.11</v>
      </c>
      <c r="AK349" s="183">
        <f t="shared" ca="1" si="125"/>
        <v>130</v>
      </c>
      <c r="AM349" s="11">
        <f t="shared" si="118"/>
        <v>25</v>
      </c>
      <c r="AN349" s="10">
        <v>25</v>
      </c>
      <c r="AO349" s="11">
        <f t="shared" si="124"/>
        <v>40</v>
      </c>
      <c r="AP349" s="10">
        <v>40</v>
      </c>
      <c r="AQ349" s="11">
        <f t="shared" si="124"/>
        <v>40</v>
      </c>
      <c r="AR349" s="10">
        <v>40</v>
      </c>
      <c r="AS349" s="56">
        <f t="shared" si="119"/>
        <v>2</v>
      </c>
      <c r="AU349" s="11">
        <f ca="1">IFERROR(OFFSET(ITEM_RES!$A$1,MATCH(AV349,ITEM_RES!$J:$J,0)-1,0),0)</f>
        <v>211020401</v>
      </c>
      <c r="AV349" s="10" t="s">
        <v>436</v>
      </c>
      <c r="AW349" s="11">
        <v>1</v>
      </c>
      <c r="AZ349" s="11">
        <f ca="1">IFERROR(OFFSET(ITEM_RES!$A$1,MATCH(BA349,ITEM_RES!$J:$J,0)-1,0),0)</f>
        <v>211020801</v>
      </c>
      <c r="BA349" s="10" t="s">
        <v>435</v>
      </c>
      <c r="BB349" s="11">
        <v>1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  <c r="BO349" s="11">
        <f ca="1">IFERROR(OFFSET(ITEM_RES!$A$1,MATCH(BP349,ITEM_RES!$J:$J,0)-1,0),0)</f>
        <v>0</v>
      </c>
    </row>
    <row r="350" spans="1:70" x14ac:dyDescent="0.3">
      <c r="A350" s="14">
        <f t="shared" si="121"/>
        <v>112040006</v>
      </c>
      <c r="B350" s="13">
        <v>11</v>
      </c>
      <c r="C350" s="12">
        <f t="shared" si="122"/>
        <v>2</v>
      </c>
      <c r="D350" s="13">
        <v>4</v>
      </c>
      <c r="E350" s="13">
        <v>0</v>
      </c>
      <c r="F350" s="12">
        <f t="shared" si="123"/>
        <v>6</v>
      </c>
      <c r="H350" s="9">
        <v>2</v>
      </c>
      <c r="I350" s="9">
        <v>6</v>
      </c>
      <c r="K350" s="9" t="s">
        <v>367</v>
      </c>
      <c r="M350" s="9" t="s">
        <v>956</v>
      </c>
      <c r="N350" s="9" t="s">
        <v>974</v>
      </c>
      <c r="O350" s="9">
        <v>1</v>
      </c>
      <c r="P350" s="9">
        <v>15</v>
      </c>
      <c r="Q350" s="9" t="s">
        <v>782</v>
      </c>
      <c r="U350" s="9" t="s">
        <v>715</v>
      </c>
      <c r="W350" s="85" t="s">
        <v>551</v>
      </c>
      <c r="X350" s="9">
        <f ca="1">IFERROR(OFFSET(ITEM_RES!$A$5,MATCH(BUILDING!W350,ITEM_RES!$J$5:$J$226,0)-1,0),0)</f>
        <v>211020601</v>
      </c>
      <c r="Y350" s="11">
        <v>2</v>
      </c>
      <c r="Z350" s="85" t="s">
        <v>546</v>
      </c>
      <c r="AA350" s="9">
        <f ca="1">IFERROR(OFFSET(ITEM_RES!$A$5,MATCH(BUILDING!Z350,ITEM_RES!$J$5:$J$226,0)-1,0),0)</f>
        <v>211020701</v>
      </c>
      <c r="AC350" s="9" t="s">
        <v>523</v>
      </c>
      <c r="AD350" s="9">
        <v>6</v>
      </c>
      <c r="AF350" s="11">
        <f ca="1">IFERROR(OFFSET(MANOR_LEVEL!$B$1,MATCH(AG350-1,MANOR_LEVEL!$A:$A,0)-1,0),0)</f>
        <v>4232000</v>
      </c>
      <c r="AG350" s="56">
        <v>16</v>
      </c>
      <c r="AI350" s="56">
        <f t="shared" ca="1" si="106"/>
        <v>100</v>
      </c>
      <c r="AJ350" s="10">
        <f ca="1">AO350+AQ350+(IFERROR(OFFSET(ITEM_RES!$S$1,MATCH(AU350,ITEM_RES!$A:$A,0)-1,0),0)*AW350+IFERROR(OFFSET(ITEM_RES!$S$1,MATCH(AZ350,ITEM_RES!$A:$A,0)-1,0),0)*BB350+IFERROR(OFFSET(ITEM_RES!$S$1,MATCH(BE350,ITEM_RES!$A:$A,0)-1,0),0)*BG350+IFERROR(OFFSET(ITEM_RES!$S$1,MATCH(BJ350,ITEM_RES!$A:$A,0)-1,0),0)*BL350+IFERROR(OFFSET(ITEM_RES!$S$1,MATCH(BO350,ITEM_RES!$A:$A,0)-1,0),0)*BQ350)/1000</f>
        <v>100.11</v>
      </c>
      <c r="AK350" s="183">
        <f t="shared" ca="1" si="125"/>
        <v>180</v>
      </c>
      <c r="AM350" s="11">
        <f t="shared" si="118"/>
        <v>30</v>
      </c>
      <c r="AN350" s="10">
        <v>30</v>
      </c>
      <c r="AO350" s="11">
        <f t="shared" si="124"/>
        <v>50</v>
      </c>
      <c r="AP350" s="10">
        <v>50</v>
      </c>
      <c r="AQ350" s="11">
        <f t="shared" si="124"/>
        <v>50</v>
      </c>
      <c r="AR350" s="10">
        <v>50</v>
      </c>
      <c r="AS350" s="56">
        <f t="shared" si="119"/>
        <v>2</v>
      </c>
      <c r="AU350" s="11">
        <f ca="1">IFERROR(OFFSET(ITEM_RES!$A$1,MATCH(AV350,ITEM_RES!$J:$J,0)-1,0),0)</f>
        <v>211020401</v>
      </c>
      <c r="AV350" s="10" t="s">
        <v>436</v>
      </c>
      <c r="AW350" s="11">
        <v>1</v>
      </c>
      <c r="AZ350" s="11">
        <f ca="1">IFERROR(OFFSET(ITEM_RES!$A$1,MATCH(BA350,ITEM_RES!$J:$J,0)-1,0),0)</f>
        <v>211020801</v>
      </c>
      <c r="BA350" s="10" t="s">
        <v>435</v>
      </c>
      <c r="BB350" s="11">
        <v>1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  <c r="BO350" s="11">
        <f ca="1">IFERROR(OFFSET(ITEM_RES!$A$1,MATCH(BP350,ITEM_RES!$J:$J,0)-1,0),0)</f>
        <v>0</v>
      </c>
    </row>
    <row r="351" spans="1:70" x14ac:dyDescent="0.3">
      <c r="A351" s="14">
        <f t="shared" si="121"/>
        <v>112040007</v>
      </c>
      <c r="B351" s="13">
        <v>11</v>
      </c>
      <c r="C351" s="12">
        <f t="shared" si="122"/>
        <v>2</v>
      </c>
      <c r="D351" s="13">
        <v>4</v>
      </c>
      <c r="E351" s="13">
        <v>0</v>
      </c>
      <c r="F351" s="12">
        <f t="shared" si="123"/>
        <v>7</v>
      </c>
      <c r="H351" s="9">
        <v>2</v>
      </c>
      <c r="I351" s="9">
        <v>7</v>
      </c>
      <c r="K351" s="9" t="s">
        <v>366</v>
      </c>
      <c r="M351" s="9" t="s">
        <v>956</v>
      </c>
      <c r="N351" s="9" t="s">
        <v>974</v>
      </c>
      <c r="O351" s="9">
        <v>1</v>
      </c>
      <c r="P351" s="9">
        <v>15</v>
      </c>
      <c r="Q351" s="9" t="s">
        <v>782</v>
      </c>
      <c r="U351" s="9" t="s">
        <v>715</v>
      </c>
      <c r="W351" s="85" t="s">
        <v>551</v>
      </c>
      <c r="X351" s="9">
        <f ca="1">IFERROR(OFFSET(ITEM_RES!$A$5,MATCH(BUILDING!W351,ITEM_RES!$J$5:$J$226,0)-1,0),0)</f>
        <v>211020601</v>
      </c>
      <c r="Y351" s="11">
        <v>2</v>
      </c>
      <c r="Z351" s="85" t="s">
        <v>546</v>
      </c>
      <c r="AA351" s="9">
        <f ca="1">IFERROR(OFFSET(ITEM_RES!$A$5,MATCH(BUILDING!Z351,ITEM_RES!$J$5:$J$226,0)-1,0),0)</f>
        <v>211020701</v>
      </c>
      <c r="AC351" s="9" t="s">
        <v>523</v>
      </c>
      <c r="AD351" s="9">
        <v>7</v>
      </c>
      <c r="AF351" s="11">
        <f ca="1">IFERROR(OFFSET(MANOR_LEVEL!$B$1,MATCH(AG351-1,MANOR_LEVEL!$A:$A,0)-1,0),0)</f>
        <v>4232000</v>
      </c>
      <c r="AG351" s="56">
        <v>16</v>
      </c>
      <c r="AI351" s="56">
        <f t="shared" ca="1" si="106"/>
        <v>200</v>
      </c>
      <c r="AJ351" s="10">
        <f ca="1">AO351+AQ351+(IFERROR(OFFSET(ITEM_RES!$S$1,MATCH(AU351,ITEM_RES!$A:$A,0)-1,0),0)*AW351+IFERROR(OFFSET(ITEM_RES!$S$1,MATCH(AZ351,ITEM_RES!$A:$A,0)-1,0),0)*BB351+IFERROR(OFFSET(ITEM_RES!$S$1,MATCH(BE351,ITEM_RES!$A:$A,0)-1,0),0)*BG351+IFERROR(OFFSET(ITEM_RES!$S$1,MATCH(BJ351,ITEM_RES!$A:$A,0)-1,0),0)*BL351+IFERROR(OFFSET(ITEM_RES!$S$1,MATCH(BO351,ITEM_RES!$A:$A,0)-1,0),0)*BQ351)/1000</f>
        <v>200.11</v>
      </c>
      <c r="AK351" s="183">
        <f t="shared" ca="1" si="125"/>
        <v>300</v>
      </c>
      <c r="AM351" s="11">
        <f t="shared" si="118"/>
        <v>35</v>
      </c>
      <c r="AN351" s="10">
        <v>35</v>
      </c>
      <c r="AO351" s="11">
        <f t="shared" si="124"/>
        <v>100</v>
      </c>
      <c r="AP351" s="10">
        <v>100</v>
      </c>
      <c r="AQ351" s="11">
        <f t="shared" si="124"/>
        <v>100</v>
      </c>
      <c r="AR351" s="10">
        <v>100</v>
      </c>
      <c r="AS351" s="56">
        <f t="shared" si="119"/>
        <v>2</v>
      </c>
      <c r="AU351" s="11">
        <f ca="1">IFERROR(OFFSET(ITEM_RES!$A$1,MATCH(AV351,ITEM_RES!$J:$J,0)-1,0),0)</f>
        <v>211020401</v>
      </c>
      <c r="AV351" s="10" t="s">
        <v>436</v>
      </c>
      <c r="AW351" s="11">
        <v>1</v>
      </c>
      <c r="AZ351" s="11">
        <f ca="1">IFERROR(OFFSET(ITEM_RES!$A$1,MATCH(BA351,ITEM_RES!$J:$J,0)-1,0),0)</f>
        <v>211020801</v>
      </c>
      <c r="BA351" s="10" t="s">
        <v>435</v>
      </c>
      <c r="BB351" s="11">
        <v>1</v>
      </c>
      <c r="BE351" s="11">
        <f ca="1">IFERROR(OFFSET(ITEM_RES!$A$1,MATCH(BF351,ITEM_RES!$J:$J,0)-1,0),0)</f>
        <v>0</v>
      </c>
      <c r="BJ351" s="11">
        <f ca="1">IFERROR(OFFSET(ITEM_RES!$A$1,MATCH(BK351,ITEM_RES!$J:$J,0)-1,0),0)</f>
        <v>0</v>
      </c>
      <c r="BO351" s="11">
        <f ca="1">IFERROR(OFFSET(ITEM_RES!$A$1,MATCH(BP351,ITEM_RES!$J:$J,0)-1,0),0)</f>
        <v>0</v>
      </c>
    </row>
    <row r="352" spans="1:70" x14ac:dyDescent="0.3">
      <c r="A352" s="14">
        <f t="shared" si="121"/>
        <v>112040008</v>
      </c>
      <c r="B352" s="13">
        <v>11</v>
      </c>
      <c r="C352" s="12">
        <f t="shared" si="122"/>
        <v>2</v>
      </c>
      <c r="D352" s="13">
        <v>4</v>
      </c>
      <c r="E352" s="13">
        <v>0</v>
      </c>
      <c r="F352" s="12">
        <f t="shared" si="123"/>
        <v>8</v>
      </c>
      <c r="H352" s="9">
        <v>2</v>
      </c>
      <c r="I352" s="9">
        <v>8</v>
      </c>
      <c r="K352" s="9" t="s">
        <v>366</v>
      </c>
      <c r="M352" s="9" t="s">
        <v>956</v>
      </c>
      <c r="N352" s="9" t="s">
        <v>974</v>
      </c>
      <c r="O352" s="9">
        <v>1</v>
      </c>
      <c r="P352" s="9">
        <v>15</v>
      </c>
      <c r="Q352" s="9" t="s">
        <v>782</v>
      </c>
      <c r="U352" s="9" t="s">
        <v>715</v>
      </c>
      <c r="W352" s="85" t="s">
        <v>551</v>
      </c>
      <c r="X352" s="9">
        <f ca="1">IFERROR(OFFSET(ITEM_RES!$A$5,MATCH(BUILDING!W352,ITEM_RES!$J$5:$J$226,0)-1,0),0)</f>
        <v>211020601</v>
      </c>
      <c r="Y352" s="11">
        <v>2</v>
      </c>
      <c r="Z352" s="85" t="s">
        <v>546</v>
      </c>
      <c r="AA352" s="9">
        <f ca="1">IFERROR(OFFSET(ITEM_RES!$A$5,MATCH(BUILDING!Z352,ITEM_RES!$J$5:$J$226,0)-1,0),0)</f>
        <v>211020701</v>
      </c>
      <c r="AC352" s="9" t="s">
        <v>523</v>
      </c>
      <c r="AD352" s="9">
        <v>8</v>
      </c>
      <c r="AF352" s="11">
        <f ca="1">IFERROR(OFFSET(MANOR_LEVEL!$B$1,MATCH(AG352-1,MANOR_LEVEL!$A:$A,0)-1,0),0)</f>
        <v>4232000</v>
      </c>
      <c r="AG352" s="56">
        <v>16</v>
      </c>
      <c r="AI352" s="56">
        <f t="shared" ca="1" si="106"/>
        <v>700</v>
      </c>
      <c r="AJ352" s="10">
        <f ca="1">AO352+AQ352+(IFERROR(OFFSET(ITEM_RES!$S$1,MATCH(AU352,ITEM_RES!$A:$A,0)-1,0),0)*AW352+IFERROR(OFFSET(ITEM_RES!$S$1,MATCH(AZ352,ITEM_RES!$A:$A,0)-1,0),0)*BB352+IFERROR(OFFSET(ITEM_RES!$S$1,MATCH(BE352,ITEM_RES!$A:$A,0)-1,0),0)*BG352+IFERROR(OFFSET(ITEM_RES!$S$1,MATCH(BJ352,ITEM_RES!$A:$A,0)-1,0),0)*BL352+IFERROR(OFFSET(ITEM_RES!$S$1,MATCH(BO352,ITEM_RES!$A:$A,0)-1,0),0)*BQ352)/1000</f>
        <v>700.11</v>
      </c>
      <c r="AK352" s="183">
        <f t="shared" ca="1" si="125"/>
        <v>900</v>
      </c>
      <c r="AM352" s="11">
        <f t="shared" si="118"/>
        <v>40</v>
      </c>
      <c r="AN352" s="10">
        <v>40</v>
      </c>
      <c r="AO352" s="11">
        <f t="shared" si="124"/>
        <v>100</v>
      </c>
      <c r="AP352" s="10">
        <v>100</v>
      </c>
      <c r="AQ352" s="11">
        <f t="shared" si="124"/>
        <v>100</v>
      </c>
      <c r="AR352" s="10">
        <v>100</v>
      </c>
      <c r="AS352" s="56">
        <f t="shared" si="119"/>
        <v>3</v>
      </c>
      <c r="AU352" s="11">
        <f ca="1">IFERROR(OFFSET(ITEM_RES!$A$1,MATCH(AV352,ITEM_RES!$J:$J,0)-1,0),0)</f>
        <v>211020401</v>
      </c>
      <c r="AV352" s="10" t="s">
        <v>436</v>
      </c>
      <c r="AW352" s="11">
        <v>1</v>
      </c>
      <c r="AZ352" s="11">
        <f ca="1">IFERROR(OFFSET(ITEM_RES!$A$1,MATCH(BA352,ITEM_RES!$J:$J,0)-1,0),0)</f>
        <v>211020801</v>
      </c>
      <c r="BA352" s="10" t="s">
        <v>435</v>
      </c>
      <c r="BB352" s="11">
        <v>1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213011001</v>
      </c>
      <c r="BK352" s="10" t="s">
        <v>465</v>
      </c>
      <c r="BL352" s="11">
        <v>1</v>
      </c>
      <c r="BO352" s="11">
        <f ca="1">IFERROR(OFFSET(ITEM_RES!$A$1,MATCH(BP352,ITEM_RES!$J:$J,0)-1,0),0)</f>
        <v>0</v>
      </c>
    </row>
    <row r="353" spans="1:70" x14ac:dyDescent="0.3">
      <c r="A353" s="14">
        <f t="shared" si="121"/>
        <v>112040009</v>
      </c>
      <c r="B353" s="13">
        <v>11</v>
      </c>
      <c r="C353" s="12">
        <f t="shared" si="122"/>
        <v>2</v>
      </c>
      <c r="D353" s="13">
        <v>4</v>
      </c>
      <c r="E353" s="13">
        <v>0</v>
      </c>
      <c r="F353" s="12">
        <f t="shared" si="123"/>
        <v>9</v>
      </c>
      <c r="H353" s="9">
        <v>2</v>
      </c>
      <c r="I353" s="9">
        <v>9</v>
      </c>
      <c r="K353" s="9" t="s">
        <v>366</v>
      </c>
      <c r="M353" s="9" t="s">
        <v>956</v>
      </c>
      <c r="N353" s="9" t="s">
        <v>974</v>
      </c>
      <c r="O353" s="9">
        <v>1</v>
      </c>
      <c r="P353" s="9">
        <v>15</v>
      </c>
      <c r="Q353" s="9" t="s">
        <v>782</v>
      </c>
      <c r="U353" s="9" t="s">
        <v>715</v>
      </c>
      <c r="W353" s="85" t="s">
        <v>551</v>
      </c>
      <c r="X353" s="9">
        <f ca="1">IFERROR(OFFSET(ITEM_RES!$A$5,MATCH(BUILDING!W353,ITEM_RES!$J$5:$J$226,0)-1,0),0)</f>
        <v>211020601</v>
      </c>
      <c r="Y353" s="11">
        <v>2</v>
      </c>
      <c r="Z353" s="85" t="s">
        <v>546</v>
      </c>
      <c r="AA353" s="9">
        <f ca="1">IFERROR(OFFSET(ITEM_RES!$A$5,MATCH(BUILDING!Z353,ITEM_RES!$J$5:$J$226,0)-1,0),0)</f>
        <v>211020701</v>
      </c>
      <c r="AC353" s="9" t="s">
        <v>523</v>
      </c>
      <c r="AD353" s="9">
        <v>9</v>
      </c>
      <c r="AF353" s="11">
        <f ca="1">IFERROR(OFFSET(MANOR_LEVEL!$B$1,MATCH(AG353-1,MANOR_LEVEL!$A:$A,0)-1,0),0)</f>
        <v>4232000</v>
      </c>
      <c r="AG353" s="56">
        <v>16</v>
      </c>
      <c r="AI353" s="56">
        <f t="shared" ca="1" si="106"/>
        <v>300</v>
      </c>
      <c r="AJ353" s="10">
        <f ca="1">AO353+AQ353+(IFERROR(OFFSET(ITEM_RES!$S$1,MATCH(AU353,ITEM_RES!$A:$A,0)-1,0),0)*AW353+IFERROR(OFFSET(ITEM_RES!$S$1,MATCH(AZ353,ITEM_RES!$A:$A,0)-1,0),0)*BB353+IFERROR(OFFSET(ITEM_RES!$S$1,MATCH(BE353,ITEM_RES!$A:$A,0)-1,0),0)*BG353+IFERROR(OFFSET(ITEM_RES!$S$1,MATCH(BJ353,ITEM_RES!$A:$A,0)-1,0),0)*BL353+IFERROR(OFFSET(ITEM_RES!$S$1,MATCH(BO353,ITEM_RES!$A:$A,0)-1,0),0)*BQ353)/1000</f>
        <v>300.3</v>
      </c>
      <c r="AK353" s="183">
        <f t="shared" ca="1" si="125"/>
        <v>1000</v>
      </c>
      <c r="AM353" s="11">
        <f t="shared" si="118"/>
        <v>45</v>
      </c>
      <c r="AN353" s="10">
        <v>45</v>
      </c>
      <c r="AO353" s="11">
        <f t="shared" si="124"/>
        <v>150</v>
      </c>
      <c r="AP353" s="10">
        <v>150</v>
      </c>
      <c r="AQ353" s="11">
        <f t="shared" si="124"/>
        <v>150</v>
      </c>
      <c r="AR353" s="10">
        <v>150</v>
      </c>
      <c r="AS353" s="56">
        <f t="shared" si="119"/>
        <v>2</v>
      </c>
      <c r="AU353" s="11">
        <f ca="1">IFERROR(OFFSET(ITEM_RES!$A$1,MATCH(AV353,ITEM_RES!$J:$J,0)-1,0),0)</f>
        <v>211020501</v>
      </c>
      <c r="AV353" s="10" t="s">
        <v>433</v>
      </c>
      <c r="AW353" s="11">
        <v>1</v>
      </c>
      <c r="AZ353" s="11">
        <f ca="1">IFERROR(OFFSET(ITEM_RES!$A$1,MATCH(BA353,ITEM_RES!$J:$J,0)-1,0),0)</f>
        <v>211020801</v>
      </c>
      <c r="BA353" s="10" t="s">
        <v>435</v>
      </c>
      <c r="BB353" s="11">
        <v>1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  <c r="BO353" s="11">
        <f ca="1">IFERROR(OFFSET(ITEM_RES!$A$1,MATCH(BP353,ITEM_RES!$J:$J,0)-1,0),0)</f>
        <v>0</v>
      </c>
    </row>
    <row r="354" spans="1:70" x14ac:dyDescent="0.3">
      <c r="A354" s="14">
        <f t="shared" si="121"/>
        <v>112040010</v>
      </c>
      <c r="B354" s="13">
        <v>11</v>
      </c>
      <c r="C354" s="12">
        <f t="shared" si="122"/>
        <v>2</v>
      </c>
      <c r="D354" s="13">
        <v>4</v>
      </c>
      <c r="E354" s="13">
        <v>0</v>
      </c>
      <c r="F354" s="12">
        <f t="shared" si="123"/>
        <v>10</v>
      </c>
      <c r="H354" s="9">
        <v>2</v>
      </c>
      <c r="I354" s="9">
        <v>10</v>
      </c>
      <c r="K354" s="9" t="s">
        <v>366</v>
      </c>
      <c r="M354" s="9" t="s">
        <v>956</v>
      </c>
      <c r="N354" s="9" t="s">
        <v>974</v>
      </c>
      <c r="O354" s="9">
        <v>1</v>
      </c>
      <c r="P354" s="9">
        <v>15</v>
      </c>
      <c r="Q354" s="9" t="s">
        <v>782</v>
      </c>
      <c r="U354" s="9" t="s">
        <v>715</v>
      </c>
      <c r="W354" s="85" t="s">
        <v>551</v>
      </c>
      <c r="X354" s="9">
        <f ca="1">IFERROR(OFFSET(ITEM_RES!$A$5,MATCH(BUILDING!W354,ITEM_RES!$J$5:$J$226,0)-1,0),0)</f>
        <v>211020601</v>
      </c>
      <c r="Y354" s="11">
        <v>2</v>
      </c>
      <c r="Z354" s="85" t="s">
        <v>546</v>
      </c>
      <c r="AA354" s="9">
        <f ca="1">IFERROR(OFFSET(ITEM_RES!$A$5,MATCH(BUILDING!Z354,ITEM_RES!$J$5:$J$226,0)-1,0),0)</f>
        <v>211020701</v>
      </c>
      <c r="AC354" s="9" t="s">
        <v>523</v>
      </c>
      <c r="AD354" s="9">
        <v>10</v>
      </c>
      <c r="AF354" s="11">
        <f ca="1">IFERROR(OFFSET(MANOR_LEVEL!$B$1,MATCH(AG354-1,MANOR_LEVEL!$A:$A,0)-1,0),0)</f>
        <v>4232000</v>
      </c>
      <c r="AG354" s="56">
        <v>16</v>
      </c>
      <c r="AI354" s="56">
        <f t="shared" ca="1" si="106"/>
        <v>400</v>
      </c>
      <c r="AJ354" s="10">
        <f ca="1">AO354+AQ354+(IFERROR(OFFSET(ITEM_RES!$S$1,MATCH(AU354,ITEM_RES!$A:$A,0)-1,0),0)*AW354+IFERROR(OFFSET(ITEM_RES!$S$1,MATCH(AZ354,ITEM_RES!$A:$A,0)-1,0),0)*BB354+IFERROR(OFFSET(ITEM_RES!$S$1,MATCH(BE354,ITEM_RES!$A:$A,0)-1,0),0)*BG354+IFERROR(OFFSET(ITEM_RES!$S$1,MATCH(BJ354,ITEM_RES!$A:$A,0)-1,0),0)*BL354+IFERROR(OFFSET(ITEM_RES!$S$1,MATCH(BO354,ITEM_RES!$A:$A,0)-1,0),0)*BQ354)/1000</f>
        <v>400.3</v>
      </c>
      <c r="AK354" s="183">
        <f t="shared" ca="1" si="125"/>
        <v>700</v>
      </c>
      <c r="AM354" s="11">
        <f t="shared" si="118"/>
        <v>50</v>
      </c>
      <c r="AN354" s="10">
        <v>50</v>
      </c>
      <c r="AO354" s="11">
        <f t="shared" si="124"/>
        <v>200</v>
      </c>
      <c r="AP354" s="10">
        <v>200</v>
      </c>
      <c r="AQ354" s="11">
        <f t="shared" si="124"/>
        <v>200</v>
      </c>
      <c r="AR354" s="10">
        <v>200</v>
      </c>
      <c r="AS354" s="56">
        <f t="shared" si="119"/>
        <v>2</v>
      </c>
      <c r="AU354" s="11">
        <f ca="1">IFERROR(OFFSET(ITEM_RES!$A$1,MATCH(AV354,ITEM_RES!$J:$J,0)-1,0),0)</f>
        <v>211020501</v>
      </c>
      <c r="AV354" s="10" t="s">
        <v>433</v>
      </c>
      <c r="AW354" s="11">
        <v>1</v>
      </c>
      <c r="AZ354" s="11">
        <f ca="1">IFERROR(OFFSET(ITEM_RES!$A$1,MATCH(BA354,ITEM_RES!$J:$J,0)-1,0),0)</f>
        <v>211020801</v>
      </c>
      <c r="BA354" s="10" t="s">
        <v>435</v>
      </c>
      <c r="BB354" s="11">
        <v>1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  <c r="BO354" s="11">
        <f ca="1">IFERROR(OFFSET(ITEM_RES!$A$1,MATCH(BP354,ITEM_RES!$J:$J,0)-1,0),0)</f>
        <v>0</v>
      </c>
    </row>
    <row r="355" spans="1:70" x14ac:dyDescent="0.3">
      <c r="A355" s="14">
        <f t="shared" si="121"/>
        <v>112040011</v>
      </c>
      <c r="B355" s="13">
        <v>11</v>
      </c>
      <c r="C355" s="12">
        <f t="shared" si="122"/>
        <v>2</v>
      </c>
      <c r="D355" s="13">
        <v>4</v>
      </c>
      <c r="E355" s="13">
        <v>0</v>
      </c>
      <c r="F355" s="12">
        <f t="shared" si="123"/>
        <v>11</v>
      </c>
      <c r="H355" s="9">
        <v>2</v>
      </c>
      <c r="I355" s="9">
        <v>11</v>
      </c>
      <c r="K355" s="9" t="s">
        <v>366</v>
      </c>
      <c r="M355" s="9" t="s">
        <v>956</v>
      </c>
      <c r="N355" s="9" t="s">
        <v>974</v>
      </c>
      <c r="O355" s="9">
        <v>1</v>
      </c>
      <c r="P355" s="9">
        <v>15</v>
      </c>
      <c r="Q355" s="9" t="s">
        <v>782</v>
      </c>
      <c r="U355" s="9" t="s">
        <v>715</v>
      </c>
      <c r="W355" s="85" t="s">
        <v>551</v>
      </c>
      <c r="X355" s="9">
        <f ca="1">IFERROR(OFFSET(ITEM_RES!$A$5,MATCH(BUILDING!W355,ITEM_RES!$J$5:$J$226,0)-1,0),0)</f>
        <v>211020601</v>
      </c>
      <c r="Y355" s="11">
        <v>2</v>
      </c>
      <c r="Z355" s="85" t="s">
        <v>546</v>
      </c>
      <c r="AA355" s="9">
        <f ca="1">IFERROR(OFFSET(ITEM_RES!$A$5,MATCH(BUILDING!Z355,ITEM_RES!$J$5:$J$226,0)-1,0),0)</f>
        <v>211020701</v>
      </c>
      <c r="AC355" s="9" t="s">
        <v>523</v>
      </c>
      <c r="AD355" s="9">
        <v>11</v>
      </c>
      <c r="AF355" s="11">
        <f ca="1">IFERROR(OFFSET(MANOR_LEVEL!$B$1,MATCH(AG355-1,MANOR_LEVEL!$A:$A,0)-1,0),0)</f>
        <v>4232000</v>
      </c>
      <c r="AG355" s="56">
        <v>16</v>
      </c>
      <c r="AI355" s="56">
        <f t="shared" ca="1" si="106"/>
        <v>500</v>
      </c>
      <c r="AJ355" s="10">
        <f ca="1">AO355+AQ355+(IFERROR(OFFSET(ITEM_RES!$S$1,MATCH(AU355,ITEM_RES!$A:$A,0)-1,0),0)*AW355+IFERROR(OFFSET(ITEM_RES!$S$1,MATCH(AZ355,ITEM_RES!$A:$A,0)-1,0),0)*BB355+IFERROR(OFFSET(ITEM_RES!$S$1,MATCH(BE355,ITEM_RES!$A:$A,0)-1,0),0)*BG355+IFERROR(OFFSET(ITEM_RES!$S$1,MATCH(BJ355,ITEM_RES!$A:$A,0)-1,0),0)*BL355+IFERROR(OFFSET(ITEM_RES!$S$1,MATCH(BO355,ITEM_RES!$A:$A,0)-1,0),0)*BQ355)/1000</f>
        <v>500.3</v>
      </c>
      <c r="AK355" s="183">
        <f t="shared" ca="1" si="125"/>
        <v>900</v>
      </c>
      <c r="AM355" s="11">
        <f t="shared" si="118"/>
        <v>55</v>
      </c>
      <c r="AN355" s="10">
        <v>55</v>
      </c>
      <c r="AO355" s="11">
        <f t="shared" si="124"/>
        <v>250</v>
      </c>
      <c r="AP355" s="10">
        <v>250</v>
      </c>
      <c r="AQ355" s="11">
        <f t="shared" si="124"/>
        <v>250</v>
      </c>
      <c r="AR355" s="10">
        <v>250</v>
      </c>
      <c r="AS355" s="56">
        <f t="shared" si="119"/>
        <v>2</v>
      </c>
      <c r="AU355" s="11">
        <f ca="1">IFERROR(OFFSET(ITEM_RES!$A$1,MATCH(AV355,ITEM_RES!$J:$J,0)-1,0),0)</f>
        <v>211020501</v>
      </c>
      <c r="AV355" s="10" t="s">
        <v>433</v>
      </c>
      <c r="AW355" s="11">
        <v>1</v>
      </c>
      <c r="AZ355" s="11">
        <f ca="1">IFERROR(OFFSET(ITEM_RES!$A$1,MATCH(BA355,ITEM_RES!$J:$J,0)-1,0),0)</f>
        <v>211020801</v>
      </c>
      <c r="BA355" s="10" t="s">
        <v>435</v>
      </c>
      <c r="BB355" s="11">
        <v>1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  <c r="BO355" s="11">
        <f ca="1">IFERROR(OFFSET(ITEM_RES!$A$1,MATCH(BP355,ITEM_RES!$J:$J,0)-1,0),0)</f>
        <v>0</v>
      </c>
    </row>
    <row r="356" spans="1:70" x14ac:dyDescent="0.3">
      <c r="A356" s="14">
        <f t="shared" si="121"/>
        <v>112040012</v>
      </c>
      <c r="B356" s="13">
        <v>11</v>
      </c>
      <c r="C356" s="12">
        <f t="shared" si="122"/>
        <v>2</v>
      </c>
      <c r="D356" s="13">
        <v>4</v>
      </c>
      <c r="E356" s="13">
        <v>0</v>
      </c>
      <c r="F356" s="12">
        <f t="shared" si="123"/>
        <v>12</v>
      </c>
      <c r="H356" s="9">
        <v>2</v>
      </c>
      <c r="I356" s="9">
        <v>12</v>
      </c>
      <c r="K356" s="9" t="s">
        <v>366</v>
      </c>
      <c r="M356" s="9" t="s">
        <v>956</v>
      </c>
      <c r="N356" s="9" t="s">
        <v>974</v>
      </c>
      <c r="O356" s="9">
        <v>1</v>
      </c>
      <c r="P356" s="9">
        <v>15</v>
      </c>
      <c r="Q356" s="9" t="s">
        <v>782</v>
      </c>
      <c r="U356" s="9" t="s">
        <v>715</v>
      </c>
      <c r="W356" s="85" t="s">
        <v>551</v>
      </c>
      <c r="X356" s="9">
        <f ca="1">IFERROR(OFFSET(ITEM_RES!$A$5,MATCH(BUILDING!W356,ITEM_RES!$J$5:$J$226,0)-1,0),0)</f>
        <v>211020601</v>
      </c>
      <c r="Y356" s="11">
        <v>2</v>
      </c>
      <c r="Z356" s="85" t="s">
        <v>546</v>
      </c>
      <c r="AA356" s="9">
        <f ca="1">IFERROR(OFFSET(ITEM_RES!$A$5,MATCH(BUILDING!Z356,ITEM_RES!$J$5:$J$226,0)-1,0),0)</f>
        <v>211020701</v>
      </c>
      <c r="AC356" s="9" t="s">
        <v>523</v>
      </c>
      <c r="AD356" s="9">
        <v>12</v>
      </c>
      <c r="AF356" s="11">
        <f ca="1">IFERROR(OFFSET(MANOR_LEVEL!$B$1,MATCH(AG356-1,MANOR_LEVEL!$A:$A,0)-1,0),0)</f>
        <v>4232000</v>
      </c>
      <c r="AG356" s="56">
        <v>16</v>
      </c>
      <c r="AI356" s="56">
        <f t="shared" ca="1" si="106"/>
        <v>600</v>
      </c>
      <c r="AJ356" s="10">
        <f ca="1">AO356+AQ356+(IFERROR(OFFSET(ITEM_RES!$S$1,MATCH(AU356,ITEM_RES!$A:$A,0)-1,0),0)*AW356+IFERROR(OFFSET(ITEM_RES!$S$1,MATCH(AZ356,ITEM_RES!$A:$A,0)-1,0),0)*BB356+IFERROR(OFFSET(ITEM_RES!$S$1,MATCH(BE356,ITEM_RES!$A:$A,0)-1,0),0)*BG356+IFERROR(OFFSET(ITEM_RES!$S$1,MATCH(BJ356,ITEM_RES!$A:$A,0)-1,0),0)*BL356+IFERROR(OFFSET(ITEM_RES!$S$1,MATCH(BO356,ITEM_RES!$A:$A,0)-1,0),0)*BQ356)/1000</f>
        <v>600.29999999999995</v>
      </c>
      <c r="AK356" s="183">
        <f t="shared" ca="1" si="125"/>
        <v>1100</v>
      </c>
      <c r="AM356" s="11">
        <f t="shared" si="118"/>
        <v>60</v>
      </c>
      <c r="AN356" s="10">
        <v>60</v>
      </c>
      <c r="AO356" s="11">
        <f t="shared" si="124"/>
        <v>300</v>
      </c>
      <c r="AP356" s="10">
        <v>300</v>
      </c>
      <c r="AQ356" s="11">
        <f t="shared" si="124"/>
        <v>300</v>
      </c>
      <c r="AR356" s="10">
        <v>300</v>
      </c>
      <c r="AS356" s="56">
        <f t="shared" si="119"/>
        <v>2</v>
      </c>
      <c r="AU356" s="11">
        <f ca="1">IFERROR(OFFSET(ITEM_RES!$A$1,MATCH(AV356,ITEM_RES!$J:$J,0)-1,0),0)</f>
        <v>211020501</v>
      </c>
      <c r="AV356" s="10" t="s">
        <v>433</v>
      </c>
      <c r="AW356" s="11">
        <v>1</v>
      </c>
      <c r="AZ356" s="11">
        <f ca="1">IFERROR(OFFSET(ITEM_RES!$A$1,MATCH(BA356,ITEM_RES!$J:$J,0)-1,0),0)</f>
        <v>211020801</v>
      </c>
      <c r="BA356" s="10" t="s">
        <v>435</v>
      </c>
      <c r="BB356" s="11">
        <v>1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  <c r="BO356" s="11">
        <f ca="1">IFERROR(OFFSET(ITEM_RES!$A$1,MATCH(BP356,ITEM_RES!$J:$J,0)-1,0),0)</f>
        <v>0</v>
      </c>
    </row>
    <row r="357" spans="1:70" x14ac:dyDescent="0.3">
      <c r="A357" s="14">
        <f t="shared" si="121"/>
        <v>112040013</v>
      </c>
      <c r="B357" s="13">
        <v>11</v>
      </c>
      <c r="C357" s="12">
        <f t="shared" si="122"/>
        <v>2</v>
      </c>
      <c r="D357" s="13">
        <v>4</v>
      </c>
      <c r="E357" s="13">
        <v>0</v>
      </c>
      <c r="F357" s="12">
        <f t="shared" si="123"/>
        <v>13</v>
      </c>
      <c r="H357" s="9">
        <v>2</v>
      </c>
      <c r="I357" s="9">
        <v>13</v>
      </c>
      <c r="K357" s="9" t="s">
        <v>366</v>
      </c>
      <c r="M357" s="9" t="s">
        <v>956</v>
      </c>
      <c r="N357" s="9" t="s">
        <v>974</v>
      </c>
      <c r="O357" s="9">
        <v>1</v>
      </c>
      <c r="P357" s="9">
        <v>15</v>
      </c>
      <c r="Q357" s="9" t="s">
        <v>782</v>
      </c>
      <c r="U357" s="9" t="s">
        <v>715</v>
      </c>
      <c r="W357" s="85" t="s">
        <v>551</v>
      </c>
      <c r="X357" s="9">
        <f ca="1">IFERROR(OFFSET(ITEM_RES!$A$5,MATCH(BUILDING!W357,ITEM_RES!$J$5:$J$226,0)-1,0),0)</f>
        <v>211020601</v>
      </c>
      <c r="Y357" s="11">
        <v>2</v>
      </c>
      <c r="Z357" s="85" t="s">
        <v>546</v>
      </c>
      <c r="AA357" s="9">
        <f ca="1">IFERROR(OFFSET(ITEM_RES!$A$5,MATCH(BUILDING!Z357,ITEM_RES!$J$5:$J$226,0)-1,0),0)</f>
        <v>211020701</v>
      </c>
      <c r="AC357" s="9" t="s">
        <v>523</v>
      </c>
      <c r="AD357" s="9">
        <v>13</v>
      </c>
      <c r="AF357" s="11">
        <f ca="1">IFERROR(OFFSET(MANOR_LEVEL!$B$1,MATCH(AG357-1,MANOR_LEVEL!$A:$A,0)-1,0),0)</f>
        <v>4232000</v>
      </c>
      <c r="AG357" s="56">
        <v>16</v>
      </c>
      <c r="AI357" s="56">
        <f t="shared" ca="1" si="106"/>
        <v>700</v>
      </c>
      <c r="AJ357" s="10">
        <f ca="1">AO357+AQ357+(IFERROR(OFFSET(ITEM_RES!$S$1,MATCH(AU357,ITEM_RES!$A:$A,0)-1,0),0)*AW357+IFERROR(OFFSET(ITEM_RES!$S$1,MATCH(AZ357,ITEM_RES!$A:$A,0)-1,0),0)*BB357+IFERROR(OFFSET(ITEM_RES!$S$1,MATCH(BE357,ITEM_RES!$A:$A,0)-1,0),0)*BG357+IFERROR(OFFSET(ITEM_RES!$S$1,MATCH(BJ357,ITEM_RES!$A:$A,0)-1,0),0)*BL357+IFERROR(OFFSET(ITEM_RES!$S$1,MATCH(BO357,ITEM_RES!$A:$A,0)-1,0),0)*BQ357)/1000</f>
        <v>700.3</v>
      </c>
      <c r="AK357" s="183">
        <f t="shared" ca="1" si="125"/>
        <v>1300</v>
      </c>
      <c r="AM357" s="11">
        <f t="shared" si="118"/>
        <v>65</v>
      </c>
      <c r="AN357" s="10">
        <v>65</v>
      </c>
      <c r="AO357" s="11">
        <f t="shared" si="124"/>
        <v>350</v>
      </c>
      <c r="AP357" s="10">
        <v>350</v>
      </c>
      <c r="AQ357" s="11">
        <f t="shared" si="124"/>
        <v>350</v>
      </c>
      <c r="AR357" s="10">
        <v>350</v>
      </c>
      <c r="AS357" s="56">
        <f t="shared" si="119"/>
        <v>2</v>
      </c>
      <c r="AU357" s="11">
        <f ca="1">IFERROR(OFFSET(ITEM_RES!$A$1,MATCH(AV357,ITEM_RES!$J:$J,0)-1,0),0)</f>
        <v>211020501</v>
      </c>
      <c r="AV357" s="10" t="s">
        <v>433</v>
      </c>
      <c r="AW357" s="11">
        <v>1</v>
      </c>
      <c r="AZ357" s="11">
        <f ca="1">IFERROR(OFFSET(ITEM_RES!$A$1,MATCH(BA357,ITEM_RES!$J:$J,0)-1,0),0)</f>
        <v>211020801</v>
      </c>
      <c r="BA357" s="10" t="s">
        <v>435</v>
      </c>
      <c r="BB357" s="11">
        <v>1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  <c r="BO357" s="11">
        <f ca="1">IFERROR(OFFSET(ITEM_RES!$A$1,MATCH(BP357,ITEM_RES!$J:$J,0)-1,0),0)</f>
        <v>0</v>
      </c>
    </row>
    <row r="358" spans="1:70" x14ac:dyDescent="0.3">
      <c r="A358" s="14">
        <f t="shared" si="121"/>
        <v>112040014</v>
      </c>
      <c r="B358" s="13">
        <v>11</v>
      </c>
      <c r="C358" s="12">
        <f t="shared" si="122"/>
        <v>2</v>
      </c>
      <c r="D358" s="13">
        <v>4</v>
      </c>
      <c r="E358" s="13">
        <v>0</v>
      </c>
      <c r="F358" s="12">
        <f t="shared" si="123"/>
        <v>14</v>
      </c>
      <c r="H358" s="9">
        <v>2</v>
      </c>
      <c r="I358" s="9">
        <v>14</v>
      </c>
      <c r="K358" s="9" t="s">
        <v>366</v>
      </c>
      <c r="M358" s="9" t="s">
        <v>956</v>
      </c>
      <c r="N358" s="9" t="s">
        <v>974</v>
      </c>
      <c r="O358" s="9">
        <v>1</v>
      </c>
      <c r="P358" s="9">
        <v>15</v>
      </c>
      <c r="Q358" s="9" t="s">
        <v>782</v>
      </c>
      <c r="U358" s="9" t="s">
        <v>715</v>
      </c>
      <c r="W358" s="85" t="s">
        <v>551</v>
      </c>
      <c r="X358" s="9">
        <f ca="1">IFERROR(OFFSET(ITEM_RES!$A$5,MATCH(BUILDING!W358,ITEM_RES!$J$5:$J$226,0)-1,0),0)</f>
        <v>211020601</v>
      </c>
      <c r="Y358" s="11">
        <v>2</v>
      </c>
      <c r="Z358" s="85" t="s">
        <v>546</v>
      </c>
      <c r="AA358" s="9">
        <f ca="1">IFERROR(OFFSET(ITEM_RES!$A$5,MATCH(BUILDING!Z358,ITEM_RES!$J$5:$J$226,0)-1,0),0)</f>
        <v>211020701</v>
      </c>
      <c r="AC358" s="9" t="s">
        <v>523</v>
      </c>
      <c r="AD358" s="9">
        <v>14</v>
      </c>
      <c r="AF358" s="11">
        <f ca="1">IFERROR(OFFSET(MANOR_LEVEL!$B$1,MATCH(AG358-1,MANOR_LEVEL!$A:$A,0)-1,0),0)</f>
        <v>4232000</v>
      </c>
      <c r="AG358" s="56">
        <v>16</v>
      </c>
      <c r="AI358" s="56">
        <f t="shared" ca="1" si="106"/>
        <v>900</v>
      </c>
      <c r="AJ358" s="10">
        <f ca="1">AO358+AQ358+(IFERROR(OFFSET(ITEM_RES!$S$1,MATCH(AU358,ITEM_RES!$A:$A,0)-1,0),0)*AW358+IFERROR(OFFSET(ITEM_RES!$S$1,MATCH(AZ358,ITEM_RES!$A:$A,0)-1,0),0)*BB358+IFERROR(OFFSET(ITEM_RES!$S$1,MATCH(BE358,ITEM_RES!$A:$A,0)-1,0),0)*BG358+IFERROR(OFFSET(ITEM_RES!$S$1,MATCH(BJ358,ITEM_RES!$A:$A,0)-1,0),0)*BL358+IFERROR(OFFSET(ITEM_RES!$S$1,MATCH(BO358,ITEM_RES!$A:$A,0)-1,0),0)*BQ358)/1000</f>
        <v>900.3</v>
      </c>
      <c r="AK358" s="183">
        <f t="shared" ca="1" si="125"/>
        <v>1600</v>
      </c>
      <c r="AM358" s="11">
        <f t="shared" si="118"/>
        <v>70</v>
      </c>
      <c r="AN358" s="10">
        <v>70</v>
      </c>
      <c r="AO358" s="11">
        <f t="shared" si="124"/>
        <v>450</v>
      </c>
      <c r="AP358" s="10">
        <v>450</v>
      </c>
      <c r="AQ358" s="11">
        <f t="shared" si="124"/>
        <v>450</v>
      </c>
      <c r="AR358" s="10">
        <v>450</v>
      </c>
      <c r="AS358" s="56">
        <f t="shared" si="119"/>
        <v>2</v>
      </c>
      <c r="AU358" s="11">
        <f ca="1">IFERROR(OFFSET(ITEM_RES!$A$1,MATCH(AV358,ITEM_RES!$J:$J,0)-1,0),0)</f>
        <v>211020501</v>
      </c>
      <c r="AV358" s="10" t="s">
        <v>433</v>
      </c>
      <c r="AW358" s="11">
        <v>1</v>
      </c>
      <c r="AZ358" s="11">
        <f ca="1">IFERROR(OFFSET(ITEM_RES!$A$1,MATCH(BA358,ITEM_RES!$J:$J,0)-1,0),0)</f>
        <v>211020801</v>
      </c>
      <c r="BA358" s="10" t="s">
        <v>435</v>
      </c>
      <c r="BB358" s="11">
        <v>1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  <c r="BO358" s="11">
        <f ca="1">IFERROR(OFFSET(ITEM_RES!$A$1,MATCH(BP358,ITEM_RES!$J:$J,0)-1,0),0)</f>
        <v>0</v>
      </c>
    </row>
    <row r="359" spans="1:70" x14ac:dyDescent="0.3">
      <c r="A359" s="14">
        <f t="shared" si="121"/>
        <v>112040015</v>
      </c>
      <c r="B359" s="13">
        <v>11</v>
      </c>
      <c r="C359" s="12">
        <f t="shared" si="122"/>
        <v>2</v>
      </c>
      <c r="D359" s="13">
        <v>4</v>
      </c>
      <c r="E359" s="13">
        <v>0</v>
      </c>
      <c r="F359" s="12">
        <f t="shared" si="123"/>
        <v>15</v>
      </c>
      <c r="H359" s="9">
        <v>2</v>
      </c>
      <c r="I359" s="9">
        <v>15</v>
      </c>
      <c r="K359" s="9" t="s">
        <v>366</v>
      </c>
      <c r="M359" s="9" t="s">
        <v>956</v>
      </c>
      <c r="N359" s="9" t="s">
        <v>974</v>
      </c>
      <c r="O359" s="9">
        <v>1</v>
      </c>
      <c r="P359" s="9">
        <v>15</v>
      </c>
      <c r="Q359" s="9" t="s">
        <v>782</v>
      </c>
      <c r="U359" s="9" t="s">
        <v>715</v>
      </c>
      <c r="W359" s="85" t="s">
        <v>551</v>
      </c>
      <c r="X359" s="9">
        <f ca="1">IFERROR(OFFSET(ITEM_RES!$A$5,MATCH(BUILDING!W359,ITEM_RES!$J$5:$J$226,0)-1,0),0)</f>
        <v>211020601</v>
      </c>
      <c r="Y359" s="11">
        <v>2</v>
      </c>
      <c r="Z359" s="85" t="s">
        <v>546</v>
      </c>
      <c r="AA359" s="9">
        <f ca="1">IFERROR(OFFSET(ITEM_RES!$A$5,MATCH(BUILDING!Z359,ITEM_RES!$J$5:$J$226,0)-1,0),0)</f>
        <v>211020701</v>
      </c>
      <c r="AC359" s="9" t="s">
        <v>523</v>
      </c>
      <c r="AD359" s="9">
        <v>15</v>
      </c>
      <c r="AF359" s="11">
        <f ca="1">IFERROR(OFFSET(MANOR_LEVEL!$B$1,MATCH(AG359-1,MANOR_LEVEL!$A:$A,0)-1,0),0)</f>
        <v>4232000</v>
      </c>
      <c r="AG359" s="56">
        <v>16</v>
      </c>
      <c r="AI359" s="56">
        <f t="shared" ca="1" si="106"/>
        <v>1100</v>
      </c>
      <c r="AJ359" s="10">
        <f ca="1">AO359+AQ359+(IFERROR(OFFSET(ITEM_RES!$S$1,MATCH(AU359,ITEM_RES!$A:$A,0)-1,0),0)*AW359+IFERROR(OFFSET(ITEM_RES!$S$1,MATCH(AZ359,ITEM_RES!$A:$A,0)-1,0),0)*BB359+IFERROR(OFFSET(ITEM_RES!$S$1,MATCH(BE359,ITEM_RES!$A:$A,0)-1,0),0)*BG359+IFERROR(OFFSET(ITEM_RES!$S$1,MATCH(BJ359,ITEM_RES!$A:$A,0)-1,0),0)*BL359+IFERROR(OFFSET(ITEM_RES!$S$1,MATCH(BO359,ITEM_RES!$A:$A,0)-1,0),0)*BQ359)/1000</f>
        <v>1100.3</v>
      </c>
      <c r="AK359" s="183">
        <f t="shared" ca="1" si="125"/>
        <v>2000</v>
      </c>
      <c r="AM359" s="11">
        <f t="shared" si="118"/>
        <v>75</v>
      </c>
      <c r="AN359" s="10">
        <v>75</v>
      </c>
      <c r="AO359" s="11">
        <f t="shared" si="124"/>
        <v>550</v>
      </c>
      <c r="AP359" s="10">
        <v>550</v>
      </c>
      <c r="AQ359" s="11">
        <f t="shared" si="124"/>
        <v>550</v>
      </c>
      <c r="AR359" s="10">
        <v>550</v>
      </c>
      <c r="AS359" s="56">
        <f t="shared" si="119"/>
        <v>2</v>
      </c>
      <c r="AU359" s="11">
        <f ca="1">IFERROR(OFFSET(ITEM_RES!$A$1,MATCH(AV359,ITEM_RES!$J:$J,0)-1,0),0)</f>
        <v>211020501</v>
      </c>
      <c r="AV359" s="10" t="s">
        <v>433</v>
      </c>
      <c r="AW359" s="11">
        <v>1</v>
      </c>
      <c r="AZ359" s="11">
        <f ca="1">IFERROR(OFFSET(ITEM_RES!$A$1,MATCH(BA359,ITEM_RES!$J:$J,0)-1,0),0)</f>
        <v>211020801</v>
      </c>
      <c r="BA359" s="10" t="s">
        <v>435</v>
      </c>
      <c r="BB359" s="11">
        <v>1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  <c r="BO359" s="11">
        <f ca="1">IFERROR(OFFSET(ITEM_RES!$A$1,MATCH(BP359,ITEM_RES!$J:$J,0)-1,0),0)</f>
        <v>0</v>
      </c>
    </row>
    <row r="360" spans="1:70" x14ac:dyDescent="0.3">
      <c r="A360" s="14">
        <f t="shared" si="121"/>
        <v>112040016</v>
      </c>
      <c r="B360" s="13">
        <v>11</v>
      </c>
      <c r="C360" s="12">
        <f t="shared" si="122"/>
        <v>2</v>
      </c>
      <c r="D360" s="13">
        <v>4</v>
      </c>
      <c r="E360" s="13">
        <v>0</v>
      </c>
      <c r="F360" s="12">
        <f t="shared" si="123"/>
        <v>16</v>
      </c>
      <c r="H360" s="9">
        <v>2</v>
      </c>
      <c r="I360" s="9">
        <v>16</v>
      </c>
      <c r="K360" s="9" t="s">
        <v>366</v>
      </c>
      <c r="M360" s="9" t="s">
        <v>956</v>
      </c>
      <c r="N360" s="9" t="s">
        <v>974</v>
      </c>
      <c r="O360" s="9">
        <v>0</v>
      </c>
      <c r="P360" s="9">
        <v>15</v>
      </c>
      <c r="Q360" s="9" t="s">
        <v>782</v>
      </c>
      <c r="U360" s="9" t="s">
        <v>715</v>
      </c>
      <c r="W360" s="85" t="s">
        <v>551</v>
      </c>
      <c r="X360" s="9">
        <f ca="1">IFERROR(OFFSET(ITEM_RES!$A$5,MATCH(BUILDING!W360,ITEM_RES!$J$5:$J$226,0)-1,0),0)</f>
        <v>211020601</v>
      </c>
      <c r="Y360" s="11">
        <v>2</v>
      </c>
      <c r="Z360" s="85" t="s">
        <v>546</v>
      </c>
      <c r="AA360" s="9">
        <f ca="1">IFERROR(OFFSET(ITEM_RES!$A$5,MATCH(BUILDING!Z360,ITEM_RES!$J$5:$J$226,0)-1,0),0)</f>
        <v>211020701</v>
      </c>
      <c r="AC360" s="9" t="s">
        <v>523</v>
      </c>
      <c r="AD360" s="9">
        <v>16</v>
      </c>
      <c r="AF360" s="11">
        <f ca="1">IFERROR(OFFSET(MANOR_LEVEL!$B$1,MATCH(AG360-1,MANOR_LEVEL!$A:$A,0)-1,0),0)</f>
        <v>4232000</v>
      </c>
      <c r="AG360" s="56">
        <v>16</v>
      </c>
      <c r="AI360" s="56">
        <f t="shared" ca="1" si="106"/>
        <v>1400</v>
      </c>
      <c r="AJ360" s="10">
        <f ca="1">AO360+AQ360+(IFERROR(OFFSET(ITEM_RES!$S$1,MATCH(AU360,ITEM_RES!$A:$A,0)-1,0),0)*AW360+IFERROR(OFFSET(ITEM_RES!$S$1,MATCH(AZ360,ITEM_RES!$A:$A,0)-1,0),0)*BB360+IFERROR(OFFSET(ITEM_RES!$S$1,MATCH(BE360,ITEM_RES!$A:$A,0)-1,0),0)*BG360+IFERROR(OFFSET(ITEM_RES!$S$1,MATCH(BJ360,ITEM_RES!$A:$A,0)-1,0),0)*BL360+IFERROR(OFFSET(ITEM_RES!$S$1,MATCH(BO360,ITEM_RES!$A:$A,0)-1,0),0)*BQ360)/1000</f>
        <v>1400.3</v>
      </c>
      <c r="AK360" s="183">
        <f t="shared" ca="1" si="125"/>
        <v>2500</v>
      </c>
      <c r="AM360" s="11">
        <f t="shared" si="118"/>
        <v>80</v>
      </c>
      <c r="AN360" s="10">
        <v>80</v>
      </c>
      <c r="AO360" s="11">
        <f t="shared" si="124"/>
        <v>700</v>
      </c>
      <c r="AP360" s="10">
        <v>700</v>
      </c>
      <c r="AQ360" s="11">
        <f t="shared" si="124"/>
        <v>700</v>
      </c>
      <c r="AR360" s="10">
        <v>700</v>
      </c>
      <c r="AS360" s="56">
        <f t="shared" si="119"/>
        <v>2</v>
      </c>
      <c r="AU360" s="11">
        <f ca="1">IFERROR(OFFSET(ITEM_RES!$A$1,MATCH(AV360,ITEM_RES!$J:$J,0)-1,0),0)</f>
        <v>211020501</v>
      </c>
      <c r="AV360" s="10" t="s">
        <v>433</v>
      </c>
      <c r="AW360" s="11">
        <v>1</v>
      </c>
      <c r="AZ360" s="11">
        <f ca="1">IFERROR(OFFSET(ITEM_RES!$A$1,MATCH(BA360,ITEM_RES!$J:$J,0)-1,0),0)</f>
        <v>211020801</v>
      </c>
      <c r="BA360" s="10" t="s">
        <v>435</v>
      </c>
      <c r="BB360" s="11">
        <v>1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  <c r="BO360" s="11">
        <f ca="1">IFERROR(OFFSET(ITEM_RES!$A$1,MATCH(BP360,ITEM_RES!$J:$J,0)-1,0),0)</f>
        <v>0</v>
      </c>
    </row>
    <row r="361" spans="1:70" x14ac:dyDescent="0.3">
      <c r="A361" s="14">
        <f t="shared" si="121"/>
        <v>112040017</v>
      </c>
      <c r="B361" s="13">
        <v>11</v>
      </c>
      <c r="C361" s="12">
        <f t="shared" si="122"/>
        <v>2</v>
      </c>
      <c r="D361" s="13">
        <v>4</v>
      </c>
      <c r="E361" s="13">
        <v>0</v>
      </c>
      <c r="F361" s="12">
        <f t="shared" si="123"/>
        <v>17</v>
      </c>
      <c r="H361" s="9">
        <v>2</v>
      </c>
      <c r="I361" s="9">
        <v>17</v>
      </c>
      <c r="K361" s="9" t="s">
        <v>366</v>
      </c>
      <c r="M361" s="9" t="s">
        <v>956</v>
      </c>
      <c r="N361" s="9" t="s">
        <v>974</v>
      </c>
      <c r="O361" s="9">
        <v>0</v>
      </c>
      <c r="P361" s="9">
        <v>15</v>
      </c>
      <c r="Q361" s="9" t="s">
        <v>782</v>
      </c>
      <c r="U361" s="9" t="s">
        <v>715</v>
      </c>
      <c r="W361" s="85" t="s">
        <v>551</v>
      </c>
      <c r="X361" s="9">
        <f ca="1">IFERROR(OFFSET(ITEM_RES!$A$5,MATCH(BUILDING!W361,ITEM_RES!$J$5:$J$226,0)-1,0),0)</f>
        <v>211020601</v>
      </c>
      <c r="Y361" s="11">
        <v>2</v>
      </c>
      <c r="Z361" s="85" t="s">
        <v>546</v>
      </c>
      <c r="AA361" s="9">
        <f ca="1">IFERROR(OFFSET(ITEM_RES!$A$5,MATCH(BUILDING!Z361,ITEM_RES!$J$5:$J$226,0)-1,0),0)</f>
        <v>211020701</v>
      </c>
      <c r="AC361" s="9" t="s">
        <v>523</v>
      </c>
      <c r="AD361" s="9">
        <v>17</v>
      </c>
      <c r="AF361" s="11">
        <f ca="1">IFERROR(OFFSET(MANOR_LEVEL!$B$1,MATCH(AG361-1,MANOR_LEVEL!$A:$A,0)-1,0),0)</f>
        <v>4232000</v>
      </c>
      <c r="AG361" s="56">
        <v>16</v>
      </c>
      <c r="AI361" s="56">
        <f t="shared" ca="1" si="106"/>
        <v>1700</v>
      </c>
      <c r="AJ361" s="10">
        <f ca="1">AO361+AQ361+(IFERROR(OFFSET(ITEM_RES!$S$1,MATCH(AU361,ITEM_RES!$A:$A,0)-1,0),0)*AW361+IFERROR(OFFSET(ITEM_RES!$S$1,MATCH(AZ361,ITEM_RES!$A:$A,0)-1,0),0)*BB361+IFERROR(OFFSET(ITEM_RES!$S$1,MATCH(BE361,ITEM_RES!$A:$A,0)-1,0),0)*BG361+IFERROR(OFFSET(ITEM_RES!$S$1,MATCH(BJ361,ITEM_RES!$A:$A,0)-1,0),0)*BL361+IFERROR(OFFSET(ITEM_RES!$S$1,MATCH(BO361,ITEM_RES!$A:$A,0)-1,0),0)*BQ361)/1000</f>
        <v>1700.3</v>
      </c>
      <c r="AK361" s="183">
        <f t="shared" ca="1" si="125"/>
        <v>3100</v>
      </c>
      <c r="AM361" s="11">
        <f t="shared" si="118"/>
        <v>85</v>
      </c>
      <c r="AN361" s="10">
        <v>85</v>
      </c>
      <c r="AO361" s="11">
        <f t="shared" si="124"/>
        <v>850</v>
      </c>
      <c r="AP361" s="10">
        <v>850</v>
      </c>
      <c r="AQ361" s="11">
        <f t="shared" si="124"/>
        <v>850</v>
      </c>
      <c r="AR361" s="10">
        <v>850</v>
      </c>
      <c r="AS361" s="56">
        <f t="shared" si="119"/>
        <v>2</v>
      </c>
      <c r="AU361" s="11">
        <f ca="1">IFERROR(OFFSET(ITEM_RES!$A$1,MATCH(AV361,ITEM_RES!$J:$J,0)-1,0),0)</f>
        <v>211020501</v>
      </c>
      <c r="AV361" s="10" t="s">
        <v>433</v>
      </c>
      <c r="AW361" s="11">
        <v>1</v>
      </c>
      <c r="AZ361" s="11">
        <f ca="1">IFERROR(OFFSET(ITEM_RES!$A$1,MATCH(BA361,ITEM_RES!$J:$J,0)-1,0),0)</f>
        <v>211020801</v>
      </c>
      <c r="BA361" s="10" t="s">
        <v>435</v>
      </c>
      <c r="BB361" s="11">
        <v>1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  <c r="BO361" s="11">
        <f ca="1">IFERROR(OFFSET(ITEM_RES!$A$1,MATCH(BP361,ITEM_RES!$J:$J,0)-1,0),0)</f>
        <v>0</v>
      </c>
    </row>
    <row r="362" spans="1:70" x14ac:dyDescent="0.3">
      <c r="A362" s="14">
        <f t="shared" si="121"/>
        <v>112040018</v>
      </c>
      <c r="B362" s="13">
        <v>11</v>
      </c>
      <c r="C362" s="12">
        <f t="shared" si="122"/>
        <v>2</v>
      </c>
      <c r="D362" s="13">
        <v>4</v>
      </c>
      <c r="E362" s="13">
        <v>0</v>
      </c>
      <c r="F362" s="12">
        <f t="shared" si="123"/>
        <v>18</v>
      </c>
      <c r="H362" s="9">
        <v>2</v>
      </c>
      <c r="I362" s="9">
        <v>18</v>
      </c>
      <c r="K362" s="9" t="s">
        <v>366</v>
      </c>
      <c r="M362" s="9" t="s">
        <v>956</v>
      </c>
      <c r="N362" s="9" t="s">
        <v>974</v>
      </c>
      <c r="O362" s="9">
        <v>0</v>
      </c>
      <c r="P362" s="9">
        <v>15</v>
      </c>
      <c r="Q362" s="9" t="s">
        <v>782</v>
      </c>
      <c r="U362" s="9" t="s">
        <v>715</v>
      </c>
      <c r="W362" s="85" t="s">
        <v>551</v>
      </c>
      <c r="X362" s="9">
        <f ca="1">IFERROR(OFFSET(ITEM_RES!$A$5,MATCH(BUILDING!W362,ITEM_RES!$J$5:$J$226,0)-1,0),0)</f>
        <v>211020601</v>
      </c>
      <c r="Y362" s="11">
        <v>2</v>
      </c>
      <c r="Z362" s="85" t="s">
        <v>546</v>
      </c>
      <c r="AA362" s="9">
        <f ca="1">IFERROR(OFFSET(ITEM_RES!$A$5,MATCH(BUILDING!Z362,ITEM_RES!$J$5:$J$226,0)-1,0),0)</f>
        <v>211020701</v>
      </c>
      <c r="AC362" s="9" t="s">
        <v>523</v>
      </c>
      <c r="AD362" s="9">
        <v>18</v>
      </c>
      <c r="AF362" s="11">
        <f ca="1">IFERROR(OFFSET(MANOR_LEVEL!$B$1,MATCH(AG362-1,MANOR_LEVEL!$A:$A,0)-1,0),0)</f>
        <v>4232000</v>
      </c>
      <c r="AG362" s="56">
        <v>16</v>
      </c>
      <c r="AI362" s="56">
        <f t="shared" ca="1" si="106"/>
        <v>2100</v>
      </c>
      <c r="AJ362" s="10">
        <f ca="1">AO362+AQ362+(IFERROR(OFFSET(ITEM_RES!$S$1,MATCH(AU362,ITEM_RES!$A:$A,0)-1,0),0)*AW362+IFERROR(OFFSET(ITEM_RES!$S$1,MATCH(AZ362,ITEM_RES!$A:$A,0)-1,0),0)*BB362+IFERROR(OFFSET(ITEM_RES!$S$1,MATCH(BE362,ITEM_RES!$A:$A,0)-1,0),0)*BG362+IFERROR(OFFSET(ITEM_RES!$S$1,MATCH(BJ362,ITEM_RES!$A:$A,0)-1,0),0)*BL362+IFERROR(OFFSET(ITEM_RES!$S$1,MATCH(BO362,ITEM_RES!$A:$A,0)-1,0),0)*BQ362)/1000</f>
        <v>2100.3000000000002</v>
      </c>
      <c r="AK362" s="183">
        <f t="shared" ca="1" si="125"/>
        <v>3800</v>
      </c>
      <c r="AM362" s="11">
        <f t="shared" si="118"/>
        <v>90</v>
      </c>
      <c r="AN362" s="10">
        <v>90</v>
      </c>
      <c r="AO362" s="11">
        <f t="shared" si="124"/>
        <v>1050</v>
      </c>
      <c r="AP362" s="10">
        <v>1050</v>
      </c>
      <c r="AQ362" s="11">
        <f t="shared" si="124"/>
        <v>1050</v>
      </c>
      <c r="AR362" s="10">
        <v>1050</v>
      </c>
      <c r="AS362" s="56">
        <f t="shared" si="119"/>
        <v>2</v>
      </c>
      <c r="AU362" s="11">
        <f ca="1">IFERROR(OFFSET(ITEM_RES!$A$1,MATCH(AV362,ITEM_RES!$J:$J,0)-1,0),0)</f>
        <v>211020501</v>
      </c>
      <c r="AV362" s="10" t="s">
        <v>433</v>
      </c>
      <c r="AW362" s="11">
        <v>1</v>
      </c>
      <c r="AZ362" s="11">
        <f ca="1">IFERROR(OFFSET(ITEM_RES!$A$1,MATCH(BA362,ITEM_RES!$J:$J,0)-1,0),0)</f>
        <v>211020801</v>
      </c>
      <c r="BA362" s="10" t="s">
        <v>435</v>
      </c>
      <c r="BB362" s="11">
        <v>1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  <c r="BO362" s="11">
        <f ca="1">IFERROR(OFFSET(ITEM_RES!$A$1,MATCH(BP362,ITEM_RES!$J:$J,0)-1,0),0)</f>
        <v>0</v>
      </c>
    </row>
    <row r="363" spans="1:70" x14ac:dyDescent="0.3">
      <c r="A363" s="14">
        <f t="shared" si="121"/>
        <v>112040019</v>
      </c>
      <c r="B363" s="13">
        <v>11</v>
      </c>
      <c r="C363" s="12">
        <f t="shared" si="122"/>
        <v>2</v>
      </c>
      <c r="D363" s="13">
        <v>4</v>
      </c>
      <c r="E363" s="13">
        <v>0</v>
      </c>
      <c r="F363" s="12">
        <f t="shared" si="123"/>
        <v>19</v>
      </c>
      <c r="H363" s="9">
        <v>2</v>
      </c>
      <c r="I363" s="9">
        <v>19</v>
      </c>
      <c r="K363" s="9" t="s">
        <v>366</v>
      </c>
      <c r="M363" s="9" t="s">
        <v>956</v>
      </c>
      <c r="N363" s="9" t="s">
        <v>974</v>
      </c>
      <c r="O363" s="9">
        <v>0</v>
      </c>
      <c r="P363" s="9">
        <v>15</v>
      </c>
      <c r="Q363" s="9" t="s">
        <v>782</v>
      </c>
      <c r="U363" s="9" t="s">
        <v>715</v>
      </c>
      <c r="W363" s="85" t="s">
        <v>551</v>
      </c>
      <c r="X363" s="9">
        <f ca="1">IFERROR(OFFSET(ITEM_RES!$A$5,MATCH(BUILDING!W363,ITEM_RES!$J$5:$J$226,0)-1,0),0)</f>
        <v>211020601</v>
      </c>
      <c r="Y363" s="11">
        <v>2</v>
      </c>
      <c r="Z363" s="85" t="s">
        <v>546</v>
      </c>
      <c r="AA363" s="9">
        <f ca="1">IFERROR(OFFSET(ITEM_RES!$A$5,MATCH(BUILDING!Z363,ITEM_RES!$J$5:$J$226,0)-1,0),0)</f>
        <v>211020701</v>
      </c>
      <c r="AC363" s="9" t="s">
        <v>523</v>
      </c>
      <c r="AD363" s="9">
        <v>19</v>
      </c>
      <c r="AF363" s="11">
        <f ca="1">IFERROR(OFFSET(MANOR_LEVEL!$B$1,MATCH(AG363-1,MANOR_LEVEL!$A:$A,0)-1,0),0)</f>
        <v>4232000</v>
      </c>
      <c r="AG363" s="56">
        <v>16</v>
      </c>
      <c r="AI363" s="56">
        <f t="shared" ca="1" si="106"/>
        <v>2500</v>
      </c>
      <c r="AJ363" s="10">
        <f ca="1">AO363+AQ363+(IFERROR(OFFSET(ITEM_RES!$S$1,MATCH(AU363,ITEM_RES!$A:$A,0)-1,0),0)*AW363+IFERROR(OFFSET(ITEM_RES!$S$1,MATCH(AZ363,ITEM_RES!$A:$A,0)-1,0),0)*BB363+IFERROR(OFFSET(ITEM_RES!$S$1,MATCH(BE363,ITEM_RES!$A:$A,0)-1,0),0)*BG363+IFERROR(OFFSET(ITEM_RES!$S$1,MATCH(BJ363,ITEM_RES!$A:$A,0)-1,0),0)*BL363+IFERROR(OFFSET(ITEM_RES!$S$1,MATCH(BO363,ITEM_RES!$A:$A,0)-1,0),0)*BQ363)/1000</f>
        <v>2500.3000000000002</v>
      </c>
      <c r="AK363" s="183">
        <f t="shared" ca="1" si="125"/>
        <v>4600</v>
      </c>
      <c r="AM363" s="11">
        <f t="shared" si="118"/>
        <v>95</v>
      </c>
      <c r="AN363" s="10">
        <v>95</v>
      </c>
      <c r="AO363" s="11">
        <f t="shared" si="124"/>
        <v>1250</v>
      </c>
      <c r="AP363" s="10">
        <v>1250</v>
      </c>
      <c r="AQ363" s="11">
        <f t="shared" si="124"/>
        <v>1250</v>
      </c>
      <c r="AR363" s="10">
        <v>1250</v>
      </c>
      <c r="AS363" s="56">
        <f t="shared" si="119"/>
        <v>2</v>
      </c>
      <c r="AU363" s="11">
        <f ca="1">IFERROR(OFFSET(ITEM_RES!$A$1,MATCH(AV363,ITEM_RES!$J:$J,0)-1,0),0)</f>
        <v>211020501</v>
      </c>
      <c r="AV363" s="10" t="s">
        <v>433</v>
      </c>
      <c r="AW363" s="11">
        <v>1</v>
      </c>
      <c r="AZ363" s="11">
        <f ca="1">IFERROR(OFFSET(ITEM_RES!$A$1,MATCH(BA363,ITEM_RES!$J:$J,0)-1,0),0)</f>
        <v>211020801</v>
      </c>
      <c r="BA363" s="10" t="s">
        <v>435</v>
      </c>
      <c r="BB363" s="11">
        <v>1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  <c r="BO363" s="11">
        <f ca="1">IFERROR(OFFSET(ITEM_RES!$A$1,MATCH(BP363,ITEM_RES!$J:$J,0)-1,0),0)</f>
        <v>0</v>
      </c>
    </row>
    <row r="364" spans="1:70" ht="17.25" thickBot="1" x14ac:dyDescent="0.35">
      <c r="A364" s="14">
        <f t="shared" si="121"/>
        <v>112040020</v>
      </c>
      <c r="B364" s="13">
        <v>11</v>
      </c>
      <c r="C364" s="12">
        <f t="shared" si="122"/>
        <v>2</v>
      </c>
      <c r="D364" s="13">
        <v>4</v>
      </c>
      <c r="E364" s="13">
        <v>0</v>
      </c>
      <c r="F364" s="12">
        <f t="shared" si="123"/>
        <v>20</v>
      </c>
      <c r="H364" s="9">
        <v>2</v>
      </c>
      <c r="I364" s="9">
        <v>20</v>
      </c>
      <c r="K364" s="9" t="s">
        <v>366</v>
      </c>
      <c r="M364" s="9" t="s">
        <v>956</v>
      </c>
      <c r="N364" s="9" t="s">
        <v>974</v>
      </c>
      <c r="O364" s="9">
        <v>0</v>
      </c>
      <c r="P364" s="9">
        <v>15</v>
      </c>
      <c r="Q364" s="9" t="s">
        <v>782</v>
      </c>
      <c r="U364" s="9" t="s">
        <v>715</v>
      </c>
      <c r="W364" s="85" t="s">
        <v>551</v>
      </c>
      <c r="X364" s="9">
        <f ca="1">IFERROR(OFFSET(ITEM_RES!$A$5,MATCH(BUILDING!W364,ITEM_RES!$J$5:$J$226,0)-1,0),0)</f>
        <v>211020601</v>
      </c>
      <c r="Y364" s="11">
        <v>2</v>
      </c>
      <c r="Z364" s="85" t="s">
        <v>546</v>
      </c>
      <c r="AA364" s="9">
        <f ca="1">IFERROR(OFFSET(ITEM_RES!$A$5,MATCH(BUILDING!Z364,ITEM_RES!$J$5:$J$226,0)-1,0),0)</f>
        <v>211020701</v>
      </c>
      <c r="AC364" s="9" t="s">
        <v>523</v>
      </c>
      <c r="AD364" s="9">
        <v>20</v>
      </c>
      <c r="AF364" s="11">
        <f ca="1">IFERROR(OFFSET(MANOR_LEVEL!$B$1,MATCH(AG364-1,MANOR_LEVEL!$A:$A,0)-1,0),0)</f>
        <v>4232000</v>
      </c>
      <c r="AG364" s="56">
        <v>16</v>
      </c>
      <c r="AI364" s="56">
        <f t="shared" ca="1" si="106"/>
        <v>3000</v>
      </c>
      <c r="AJ364" s="10">
        <f ca="1">AO364+AQ364+(IFERROR(OFFSET(ITEM_RES!$S$1,MATCH(AU364,ITEM_RES!$A:$A,0)-1,0),0)*AW364+IFERROR(OFFSET(ITEM_RES!$S$1,MATCH(AZ364,ITEM_RES!$A:$A,0)-1,0),0)*BB364+IFERROR(OFFSET(ITEM_RES!$S$1,MATCH(BE364,ITEM_RES!$A:$A,0)-1,0),0)*BG364+IFERROR(OFFSET(ITEM_RES!$S$1,MATCH(BJ364,ITEM_RES!$A:$A,0)-1,0),0)*BL364+IFERROR(OFFSET(ITEM_RES!$S$1,MATCH(BO364,ITEM_RES!$A:$A,0)-1,0),0)*BQ364)/1000</f>
        <v>3000.3</v>
      </c>
      <c r="AK364" s="183">
        <f t="shared" ca="1" si="125"/>
        <v>5500</v>
      </c>
      <c r="AM364" s="11">
        <f t="shared" si="118"/>
        <v>100</v>
      </c>
      <c r="AN364" s="10">
        <v>100</v>
      </c>
      <c r="AO364" s="11">
        <f t="shared" si="124"/>
        <v>1500</v>
      </c>
      <c r="AP364" s="10">
        <v>1500</v>
      </c>
      <c r="AQ364" s="11">
        <f t="shared" si="124"/>
        <v>1500</v>
      </c>
      <c r="AR364" s="10">
        <v>1500</v>
      </c>
      <c r="AS364" s="56">
        <f t="shared" si="119"/>
        <v>2</v>
      </c>
      <c r="AU364" s="11">
        <f ca="1">IFERROR(OFFSET(ITEM_RES!$A$1,MATCH(AV364,ITEM_RES!$J:$J,0)-1,0),0)</f>
        <v>211020501</v>
      </c>
      <c r="AV364" s="10" t="s">
        <v>433</v>
      </c>
      <c r="AW364" s="11">
        <v>1</v>
      </c>
      <c r="AZ364" s="11">
        <f ca="1">IFERROR(OFFSET(ITEM_RES!$A$1,MATCH(BA364,ITEM_RES!$J:$J,0)-1,0),0)</f>
        <v>211020801</v>
      </c>
      <c r="BA364" s="10" t="s">
        <v>435</v>
      </c>
      <c r="BB364" s="11">
        <v>1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  <c r="BO364" s="11">
        <f ca="1">IFERROR(OFFSET(ITEM_RES!$A$1,MATCH(BP364,ITEM_RES!$J:$J,0)-1,0),0)</f>
        <v>0</v>
      </c>
    </row>
    <row r="365" spans="1:70" s="15" customFormat="1" x14ac:dyDescent="0.3">
      <c r="A365" s="21">
        <f t="shared" si="121"/>
        <v>112050001</v>
      </c>
      <c r="B365" s="20">
        <v>11</v>
      </c>
      <c r="C365" s="19">
        <f t="shared" si="122"/>
        <v>2</v>
      </c>
      <c r="D365" s="20">
        <v>5</v>
      </c>
      <c r="E365" s="20">
        <v>0</v>
      </c>
      <c r="F365" s="19">
        <f t="shared" si="123"/>
        <v>1</v>
      </c>
      <c r="G365" s="79"/>
      <c r="H365" s="16">
        <v>2</v>
      </c>
      <c r="I365" s="16">
        <v>1</v>
      </c>
      <c r="J365" s="79"/>
      <c r="K365" s="16" t="s">
        <v>368</v>
      </c>
      <c r="L365" s="16">
        <v>10</v>
      </c>
      <c r="M365" s="16" t="s">
        <v>957</v>
      </c>
      <c r="N365" s="16" t="s">
        <v>975</v>
      </c>
      <c r="O365" s="16">
        <v>1</v>
      </c>
      <c r="P365" s="16">
        <v>15</v>
      </c>
      <c r="Q365" s="16" t="s">
        <v>783</v>
      </c>
      <c r="R365" s="17"/>
      <c r="S365" s="17"/>
      <c r="T365" s="18"/>
      <c r="U365" s="16" t="s">
        <v>716</v>
      </c>
      <c r="V365" s="79"/>
      <c r="W365" s="87" t="s">
        <v>552</v>
      </c>
      <c r="X365" s="16">
        <f ca="1">IFERROR(OFFSET(ITEM_RES!$A$5,MATCH(BUILDING!W365,ITEM_RES!$J$5:$J$226,0)-1,0),0)</f>
        <v>211020801</v>
      </c>
      <c r="Y365" s="18">
        <v>1</v>
      </c>
      <c r="Z365" s="87" t="s">
        <v>393</v>
      </c>
      <c r="AA365" s="16">
        <f ca="1">IFERROR(OFFSET(ITEM_RES!$A$5,MATCH(BUILDING!Z365,ITEM_RES!$J$5:$J$226,0)-1,0),0)</f>
        <v>211020901</v>
      </c>
      <c r="AB365" s="79"/>
      <c r="AC365" s="16" t="s">
        <v>524</v>
      </c>
      <c r="AD365" s="16">
        <v>1</v>
      </c>
      <c r="AE365" s="79"/>
      <c r="AF365" s="18">
        <f ca="1">IFERROR(OFFSET(MANOR_LEVEL!$B$1,MATCH(AG365-1,MANOR_LEVEL!$A:$A,0)-1,0),0)</f>
        <v>456800</v>
      </c>
      <c r="AG365" s="57">
        <v>11</v>
      </c>
      <c r="AH365" s="79"/>
      <c r="AI365" s="57">
        <f t="shared" ca="1" si="106"/>
        <v>110</v>
      </c>
      <c r="AJ365" s="17">
        <f ca="1">AO365+AQ365+(IFERROR(OFFSET(ITEM_RES!$S$1,MATCH(AU365,ITEM_RES!$A:$A,0)-1,0),0)*AW365+IFERROR(OFFSET(ITEM_RES!$S$1,MATCH(AZ365,ITEM_RES!$A:$A,0)-1,0),0)*BB365+IFERROR(OFFSET(ITEM_RES!$S$1,MATCH(BE365,ITEM_RES!$A:$A,0)-1,0),0)*BG365+IFERROR(OFFSET(ITEM_RES!$S$1,MATCH(BJ365,ITEM_RES!$A:$A,0)-1,0),0)*BL365+IFERROR(OFFSET(ITEM_RES!$S$1,MATCH(BO365,ITEM_RES!$A:$A,0)-1,0),0)*BQ365)/1000</f>
        <v>110.11</v>
      </c>
      <c r="AK365" s="185">
        <f ca="1">AI365</f>
        <v>110</v>
      </c>
      <c r="AL365" s="79"/>
      <c r="AM365" s="18">
        <f t="shared" si="118"/>
        <v>5</v>
      </c>
      <c r="AN365" s="17">
        <v>5</v>
      </c>
      <c r="AO365" s="18">
        <f t="shared" si="124"/>
        <v>5</v>
      </c>
      <c r="AP365" s="17">
        <v>5</v>
      </c>
      <c r="AQ365" s="18">
        <f t="shared" si="124"/>
        <v>5</v>
      </c>
      <c r="AR365" s="17">
        <v>5</v>
      </c>
      <c r="AS365" s="57">
        <f t="shared" si="119"/>
        <v>3</v>
      </c>
      <c r="AT365" s="18"/>
      <c r="AU365" s="18">
        <f ca="1">IFERROR(OFFSET(ITEM_RES!$A$1,MATCH(AV365,ITEM_RES!$J:$J,0)-1,0),0)</f>
        <v>211020401</v>
      </c>
      <c r="AV365" s="17" t="s">
        <v>436</v>
      </c>
      <c r="AW365" s="18">
        <v>1</v>
      </c>
      <c r="AX365" s="17"/>
      <c r="AY365" s="18"/>
      <c r="AZ365" s="18">
        <f ca="1">IFERROR(OFFSET(ITEM_RES!$A$1,MATCH(BA365,ITEM_RES!$J:$J,0)-1,0),0)</f>
        <v>211020801</v>
      </c>
      <c r="BA365" s="17" t="s">
        <v>435</v>
      </c>
      <c r="BB365" s="18">
        <v>1</v>
      </c>
      <c r="BC365" s="17"/>
      <c r="BD365" s="18"/>
      <c r="BE365" s="18">
        <f ca="1">IFERROR(OFFSET(ITEM_RES!$A$1,MATCH(BF365,ITEM_RES!$J:$J,0)-1,0),0)</f>
        <v>213010101</v>
      </c>
      <c r="BF365" s="17" t="s">
        <v>452</v>
      </c>
      <c r="BG365" s="18">
        <v>1</v>
      </c>
      <c r="BH365" s="17"/>
      <c r="BI365" s="18"/>
      <c r="BJ365" s="18">
        <f ca="1">IFERROR(OFFSET(ITEM_RES!$A$1,MATCH(BK365,ITEM_RES!$J:$J,0)-1,0),0)</f>
        <v>0</v>
      </c>
      <c r="BK365" s="17"/>
      <c r="BL365" s="18"/>
      <c r="BM365" s="17"/>
      <c r="BN365" s="18"/>
      <c r="BO365" s="18">
        <f ca="1">IFERROR(OFFSET(ITEM_RES!$A$1,MATCH(BP365,ITEM_RES!$J:$J,0)-1,0),0)</f>
        <v>0</v>
      </c>
      <c r="BP365" s="17"/>
      <c r="BQ365" s="18"/>
      <c r="BR365" s="17"/>
    </row>
    <row r="366" spans="1:70" x14ac:dyDescent="0.3">
      <c r="A366" s="14">
        <f t="shared" si="121"/>
        <v>112050002</v>
      </c>
      <c r="B366" s="13">
        <v>11</v>
      </c>
      <c r="C366" s="12">
        <f t="shared" si="122"/>
        <v>2</v>
      </c>
      <c r="D366" s="13">
        <v>5</v>
      </c>
      <c r="E366" s="13">
        <v>0</v>
      </c>
      <c r="F366" s="12">
        <f t="shared" si="123"/>
        <v>2</v>
      </c>
      <c r="H366" s="9">
        <v>2</v>
      </c>
      <c r="I366" s="9">
        <v>2</v>
      </c>
      <c r="K366" s="9" t="s">
        <v>363</v>
      </c>
      <c r="M366" s="9" t="s">
        <v>957</v>
      </c>
      <c r="N366" s="9" t="s">
        <v>975</v>
      </c>
      <c r="O366" s="9">
        <v>1</v>
      </c>
      <c r="P366" s="9">
        <v>15</v>
      </c>
      <c r="Q366" s="9" t="s">
        <v>783</v>
      </c>
      <c r="U366" s="9" t="s">
        <v>716</v>
      </c>
      <c r="W366" s="85" t="s">
        <v>552</v>
      </c>
      <c r="X366" s="9">
        <f ca="1">IFERROR(OFFSET(ITEM_RES!$A$5,MATCH(BUILDING!W366,ITEM_RES!$J$5:$J$226,0)-1,0),0)</f>
        <v>211020801</v>
      </c>
      <c r="Y366" s="11">
        <v>1</v>
      </c>
      <c r="Z366" s="85" t="s">
        <v>393</v>
      </c>
      <c r="AA366" s="9">
        <f ca="1">IFERROR(OFFSET(ITEM_RES!$A$5,MATCH(BUILDING!Z366,ITEM_RES!$J$5:$J$226,0)-1,0),0)</f>
        <v>211020901</v>
      </c>
      <c r="AC366" s="9" t="s">
        <v>524</v>
      </c>
      <c r="AD366" s="9">
        <v>2</v>
      </c>
      <c r="AF366" s="11">
        <f ca="1">IFERROR(OFFSET(MANOR_LEVEL!$B$1,MATCH(AG366-1,MANOR_LEVEL!$A:$A,0)-1,0),0)</f>
        <v>456800</v>
      </c>
      <c r="AG366" s="56">
        <v>11</v>
      </c>
      <c r="AI366" s="56">
        <f t="shared" ref="AI366:AI429" ca="1" si="126">ROUND(AJ366,0)</f>
        <v>20</v>
      </c>
      <c r="AJ366" s="10">
        <f ca="1">AO366+AQ366+(IFERROR(OFFSET(ITEM_RES!$S$1,MATCH(AU366,ITEM_RES!$A:$A,0)-1,0),0)*AW366+IFERROR(OFFSET(ITEM_RES!$S$1,MATCH(AZ366,ITEM_RES!$A:$A,0)-1,0),0)*BB366+IFERROR(OFFSET(ITEM_RES!$S$1,MATCH(BE366,ITEM_RES!$A:$A,0)-1,0),0)*BG366+IFERROR(OFFSET(ITEM_RES!$S$1,MATCH(BJ366,ITEM_RES!$A:$A,0)-1,0),0)*BL366+IFERROR(OFFSET(ITEM_RES!$S$1,MATCH(BO366,ITEM_RES!$A:$A,0)-1,0),0)*BQ366)/1000</f>
        <v>20.11</v>
      </c>
      <c r="AK366" s="183">
        <f ca="1">AI365+AI366</f>
        <v>130</v>
      </c>
      <c r="AM366" s="11">
        <f t="shared" si="118"/>
        <v>10</v>
      </c>
      <c r="AN366" s="10">
        <v>10</v>
      </c>
      <c r="AO366" s="11">
        <f t="shared" si="124"/>
        <v>10</v>
      </c>
      <c r="AP366" s="10">
        <v>10</v>
      </c>
      <c r="AQ366" s="11">
        <f t="shared" si="124"/>
        <v>10</v>
      </c>
      <c r="AR366" s="10">
        <v>10</v>
      </c>
      <c r="AS366" s="56">
        <f t="shared" si="119"/>
        <v>2</v>
      </c>
      <c r="AU366" s="11">
        <f ca="1">IFERROR(OFFSET(ITEM_RES!$A$1,MATCH(AV366,ITEM_RES!$J:$J,0)-1,0),0)</f>
        <v>211020401</v>
      </c>
      <c r="AV366" s="10" t="s">
        <v>436</v>
      </c>
      <c r="AW366" s="11">
        <v>1</v>
      </c>
      <c r="AZ366" s="11">
        <f ca="1">IFERROR(OFFSET(ITEM_RES!$A$1,MATCH(BA366,ITEM_RES!$J:$J,0)-1,0),0)</f>
        <v>211020801</v>
      </c>
      <c r="BA366" s="10" t="s">
        <v>435</v>
      </c>
      <c r="BB366" s="11">
        <v>1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  <c r="BO366" s="11">
        <f ca="1">IFERROR(OFFSET(ITEM_RES!$A$1,MATCH(BP366,ITEM_RES!$J:$J,0)-1,0),0)</f>
        <v>0</v>
      </c>
    </row>
    <row r="367" spans="1:70" x14ac:dyDescent="0.3">
      <c r="A367" s="14">
        <f t="shared" si="121"/>
        <v>112050003</v>
      </c>
      <c r="B367" s="13">
        <v>11</v>
      </c>
      <c r="C367" s="12">
        <f t="shared" si="122"/>
        <v>2</v>
      </c>
      <c r="D367" s="13">
        <v>5</v>
      </c>
      <c r="E367" s="13">
        <v>0</v>
      </c>
      <c r="F367" s="12">
        <f t="shared" si="123"/>
        <v>3</v>
      </c>
      <c r="H367" s="9">
        <v>2</v>
      </c>
      <c r="I367" s="9">
        <v>3</v>
      </c>
      <c r="K367" s="9" t="s">
        <v>363</v>
      </c>
      <c r="M367" s="9" t="s">
        <v>957</v>
      </c>
      <c r="N367" s="9" t="s">
        <v>975</v>
      </c>
      <c r="O367" s="9">
        <v>1</v>
      </c>
      <c r="P367" s="9">
        <v>15</v>
      </c>
      <c r="Q367" s="9" t="s">
        <v>783</v>
      </c>
      <c r="U367" s="9" t="s">
        <v>716</v>
      </c>
      <c r="W367" s="85" t="s">
        <v>552</v>
      </c>
      <c r="X367" s="9">
        <f ca="1">IFERROR(OFFSET(ITEM_RES!$A$5,MATCH(BUILDING!W367,ITEM_RES!$J$5:$J$226,0)-1,0),0)</f>
        <v>211020801</v>
      </c>
      <c r="Y367" s="11">
        <v>1</v>
      </c>
      <c r="Z367" s="85" t="s">
        <v>393</v>
      </c>
      <c r="AA367" s="9">
        <f ca="1">IFERROR(OFFSET(ITEM_RES!$A$5,MATCH(BUILDING!Z367,ITEM_RES!$J$5:$J$226,0)-1,0),0)</f>
        <v>211020901</v>
      </c>
      <c r="AC367" s="9" t="s">
        <v>524</v>
      </c>
      <c r="AD367" s="9">
        <v>3</v>
      </c>
      <c r="AF367" s="11">
        <f ca="1">IFERROR(OFFSET(MANOR_LEVEL!$B$1,MATCH(AG367-1,MANOR_LEVEL!$A:$A,0)-1,0),0)</f>
        <v>796000</v>
      </c>
      <c r="AG367" s="56">
        <v>12</v>
      </c>
      <c r="AI367" s="56">
        <f t="shared" ca="1" si="126"/>
        <v>30</v>
      </c>
      <c r="AJ367" s="10">
        <f ca="1">AO367+AQ367+(IFERROR(OFFSET(ITEM_RES!$S$1,MATCH(AU367,ITEM_RES!$A:$A,0)-1,0),0)*AW367+IFERROR(OFFSET(ITEM_RES!$S$1,MATCH(AZ367,ITEM_RES!$A:$A,0)-1,0),0)*BB367+IFERROR(OFFSET(ITEM_RES!$S$1,MATCH(BE367,ITEM_RES!$A:$A,0)-1,0),0)*BG367+IFERROR(OFFSET(ITEM_RES!$S$1,MATCH(BJ367,ITEM_RES!$A:$A,0)-1,0),0)*BL367+IFERROR(OFFSET(ITEM_RES!$S$1,MATCH(BO367,ITEM_RES!$A:$A,0)-1,0),0)*BQ367)/1000</f>
        <v>30.11</v>
      </c>
      <c r="AK367" s="183">
        <f t="shared" ref="AK367:AK384" ca="1" si="127">AI366+AI367</f>
        <v>50</v>
      </c>
      <c r="AM367" s="11">
        <f t="shared" si="118"/>
        <v>15</v>
      </c>
      <c r="AN367" s="10">
        <v>15</v>
      </c>
      <c r="AO367" s="11">
        <f t="shared" si="124"/>
        <v>15</v>
      </c>
      <c r="AP367" s="10">
        <v>15</v>
      </c>
      <c r="AQ367" s="11">
        <f t="shared" si="124"/>
        <v>15</v>
      </c>
      <c r="AR367" s="10">
        <v>15</v>
      </c>
      <c r="AS367" s="56">
        <f t="shared" si="119"/>
        <v>2</v>
      </c>
      <c r="AU367" s="11">
        <f ca="1">IFERROR(OFFSET(ITEM_RES!$A$1,MATCH(AV367,ITEM_RES!$J:$J,0)-1,0),0)</f>
        <v>211020401</v>
      </c>
      <c r="AV367" s="10" t="s">
        <v>436</v>
      </c>
      <c r="AW367" s="11">
        <v>1</v>
      </c>
      <c r="AZ367" s="11">
        <f ca="1">IFERROR(OFFSET(ITEM_RES!$A$1,MATCH(BA367,ITEM_RES!$J:$J,0)-1,0),0)</f>
        <v>211020801</v>
      </c>
      <c r="BA367" s="10" t="s">
        <v>435</v>
      </c>
      <c r="BB367" s="11">
        <v>1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  <c r="BO367" s="11">
        <f ca="1">IFERROR(OFFSET(ITEM_RES!$A$1,MATCH(BP367,ITEM_RES!$J:$J,0)-1,0),0)</f>
        <v>0</v>
      </c>
    </row>
    <row r="368" spans="1:70" x14ac:dyDescent="0.3">
      <c r="A368" s="14">
        <f t="shared" si="121"/>
        <v>112050004</v>
      </c>
      <c r="B368" s="13">
        <v>11</v>
      </c>
      <c r="C368" s="12">
        <f t="shared" si="122"/>
        <v>2</v>
      </c>
      <c r="D368" s="13">
        <v>5</v>
      </c>
      <c r="E368" s="13">
        <v>0</v>
      </c>
      <c r="F368" s="12">
        <f t="shared" si="123"/>
        <v>4</v>
      </c>
      <c r="H368" s="9">
        <v>2</v>
      </c>
      <c r="I368" s="9">
        <v>4</v>
      </c>
      <c r="K368" s="9" t="s">
        <v>363</v>
      </c>
      <c r="M368" s="9" t="s">
        <v>957</v>
      </c>
      <c r="N368" s="9" t="s">
        <v>975</v>
      </c>
      <c r="O368" s="9">
        <v>1</v>
      </c>
      <c r="P368" s="9">
        <v>15</v>
      </c>
      <c r="Q368" s="9" t="s">
        <v>783</v>
      </c>
      <c r="U368" s="9" t="s">
        <v>716</v>
      </c>
      <c r="W368" s="85" t="s">
        <v>552</v>
      </c>
      <c r="X368" s="9">
        <f ca="1">IFERROR(OFFSET(ITEM_RES!$A$5,MATCH(BUILDING!W368,ITEM_RES!$J$5:$J$226,0)-1,0),0)</f>
        <v>211020801</v>
      </c>
      <c r="Y368" s="11">
        <v>1</v>
      </c>
      <c r="Z368" s="85" t="s">
        <v>393</v>
      </c>
      <c r="AA368" s="9">
        <f ca="1">IFERROR(OFFSET(ITEM_RES!$A$5,MATCH(BUILDING!Z368,ITEM_RES!$J$5:$J$226,0)-1,0),0)</f>
        <v>211020901</v>
      </c>
      <c r="AC368" s="9" t="s">
        <v>524</v>
      </c>
      <c r="AD368" s="9">
        <v>4</v>
      </c>
      <c r="AF368" s="11">
        <f ca="1">IFERROR(OFFSET(MANOR_LEVEL!$B$1,MATCH(AG368-1,MANOR_LEVEL!$A:$A,0)-1,0),0)</f>
        <v>1156400</v>
      </c>
      <c r="AG368" s="56">
        <v>13</v>
      </c>
      <c r="AI368" s="56">
        <f t="shared" ca="1" si="126"/>
        <v>50</v>
      </c>
      <c r="AJ368" s="10">
        <f ca="1">AO368+AQ368+(IFERROR(OFFSET(ITEM_RES!$S$1,MATCH(AU368,ITEM_RES!$A:$A,0)-1,0),0)*AW368+IFERROR(OFFSET(ITEM_RES!$S$1,MATCH(AZ368,ITEM_RES!$A:$A,0)-1,0),0)*BB368+IFERROR(OFFSET(ITEM_RES!$S$1,MATCH(BE368,ITEM_RES!$A:$A,0)-1,0),0)*BG368+IFERROR(OFFSET(ITEM_RES!$S$1,MATCH(BJ368,ITEM_RES!$A:$A,0)-1,0),0)*BL368+IFERROR(OFFSET(ITEM_RES!$S$1,MATCH(BO368,ITEM_RES!$A:$A,0)-1,0),0)*BQ368)/1000</f>
        <v>50.11</v>
      </c>
      <c r="AK368" s="183">
        <f t="shared" ca="1" si="127"/>
        <v>80</v>
      </c>
      <c r="AM368" s="11">
        <f t="shared" si="118"/>
        <v>20</v>
      </c>
      <c r="AN368" s="10">
        <v>20</v>
      </c>
      <c r="AO368" s="11">
        <f t="shared" si="124"/>
        <v>25</v>
      </c>
      <c r="AP368" s="10">
        <v>25</v>
      </c>
      <c r="AQ368" s="11">
        <f t="shared" si="124"/>
        <v>25</v>
      </c>
      <c r="AR368" s="10">
        <v>25</v>
      </c>
      <c r="AS368" s="56">
        <f t="shared" si="119"/>
        <v>2</v>
      </c>
      <c r="AU368" s="11">
        <f ca="1">IFERROR(OFFSET(ITEM_RES!$A$1,MATCH(AV368,ITEM_RES!$J:$J,0)-1,0),0)</f>
        <v>211020401</v>
      </c>
      <c r="AV368" s="10" t="s">
        <v>436</v>
      </c>
      <c r="AW368" s="11">
        <v>1</v>
      </c>
      <c r="AZ368" s="11">
        <f ca="1">IFERROR(OFFSET(ITEM_RES!$A$1,MATCH(BA368,ITEM_RES!$J:$J,0)-1,0),0)</f>
        <v>211020801</v>
      </c>
      <c r="BA368" s="10" t="s">
        <v>435</v>
      </c>
      <c r="BB368" s="11">
        <v>1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  <c r="BO368" s="11">
        <f ca="1">IFERROR(OFFSET(ITEM_RES!$A$1,MATCH(BP368,ITEM_RES!$J:$J,0)-1,0),0)</f>
        <v>0</v>
      </c>
    </row>
    <row r="369" spans="1:67" x14ac:dyDescent="0.3">
      <c r="A369" s="14">
        <f t="shared" si="121"/>
        <v>112050005</v>
      </c>
      <c r="B369" s="13">
        <v>11</v>
      </c>
      <c r="C369" s="12">
        <f t="shared" si="122"/>
        <v>2</v>
      </c>
      <c r="D369" s="13">
        <v>5</v>
      </c>
      <c r="E369" s="13">
        <v>0</v>
      </c>
      <c r="F369" s="12">
        <f t="shared" si="123"/>
        <v>5</v>
      </c>
      <c r="H369" s="9">
        <v>2</v>
      </c>
      <c r="I369" s="9">
        <v>5</v>
      </c>
      <c r="K369" s="9" t="s">
        <v>363</v>
      </c>
      <c r="M369" s="9" t="s">
        <v>957</v>
      </c>
      <c r="N369" s="9" t="s">
        <v>975</v>
      </c>
      <c r="O369" s="9">
        <v>1</v>
      </c>
      <c r="P369" s="9">
        <v>15</v>
      </c>
      <c r="Q369" s="9" t="s">
        <v>783</v>
      </c>
      <c r="U369" s="9" t="s">
        <v>716</v>
      </c>
      <c r="W369" s="85" t="s">
        <v>552</v>
      </c>
      <c r="X369" s="9">
        <f ca="1">IFERROR(OFFSET(ITEM_RES!$A$5,MATCH(BUILDING!W369,ITEM_RES!$J$5:$J$226,0)-1,0),0)</f>
        <v>211020801</v>
      </c>
      <c r="Y369" s="11">
        <v>1</v>
      </c>
      <c r="Z369" s="85" t="s">
        <v>393</v>
      </c>
      <c r="AA369" s="9">
        <f ca="1">IFERROR(OFFSET(ITEM_RES!$A$5,MATCH(BUILDING!Z369,ITEM_RES!$J$5:$J$226,0)-1,0),0)</f>
        <v>211020901</v>
      </c>
      <c r="AC369" s="9" t="s">
        <v>524</v>
      </c>
      <c r="AD369" s="9">
        <v>5</v>
      </c>
      <c r="AF369" s="11">
        <f ca="1">IFERROR(OFFSET(MANOR_LEVEL!$B$1,MATCH(AG369-1,MANOR_LEVEL!$A:$A,0)-1,0),0)</f>
        <v>1156400</v>
      </c>
      <c r="AG369" s="56">
        <v>13</v>
      </c>
      <c r="AI369" s="56">
        <f t="shared" ca="1" si="126"/>
        <v>80</v>
      </c>
      <c r="AJ369" s="10">
        <f ca="1">AO369+AQ369+(IFERROR(OFFSET(ITEM_RES!$S$1,MATCH(AU369,ITEM_RES!$A:$A,0)-1,0),0)*AW369+IFERROR(OFFSET(ITEM_RES!$S$1,MATCH(AZ369,ITEM_RES!$A:$A,0)-1,0),0)*BB369+IFERROR(OFFSET(ITEM_RES!$S$1,MATCH(BE369,ITEM_RES!$A:$A,0)-1,0),0)*BG369+IFERROR(OFFSET(ITEM_RES!$S$1,MATCH(BJ369,ITEM_RES!$A:$A,0)-1,0),0)*BL369+IFERROR(OFFSET(ITEM_RES!$S$1,MATCH(BO369,ITEM_RES!$A:$A,0)-1,0),0)*BQ369)/1000</f>
        <v>80.11</v>
      </c>
      <c r="AK369" s="183">
        <f t="shared" ca="1" si="127"/>
        <v>130</v>
      </c>
      <c r="AM369" s="11">
        <f t="shared" si="118"/>
        <v>25</v>
      </c>
      <c r="AN369" s="10">
        <v>25</v>
      </c>
      <c r="AO369" s="11">
        <f t="shared" si="124"/>
        <v>40</v>
      </c>
      <c r="AP369" s="10">
        <v>40</v>
      </c>
      <c r="AQ369" s="11">
        <f t="shared" si="124"/>
        <v>40</v>
      </c>
      <c r="AR369" s="10">
        <v>40</v>
      </c>
      <c r="AS369" s="56">
        <f t="shared" si="119"/>
        <v>2</v>
      </c>
      <c r="AU369" s="11">
        <f ca="1">IFERROR(OFFSET(ITEM_RES!$A$1,MATCH(AV369,ITEM_RES!$J:$J,0)-1,0),0)</f>
        <v>211020401</v>
      </c>
      <c r="AV369" s="10" t="s">
        <v>436</v>
      </c>
      <c r="AW369" s="11">
        <v>1</v>
      </c>
      <c r="AZ369" s="11">
        <f ca="1">IFERROR(OFFSET(ITEM_RES!$A$1,MATCH(BA369,ITEM_RES!$J:$J,0)-1,0),0)</f>
        <v>211020801</v>
      </c>
      <c r="BA369" s="10" t="s">
        <v>435</v>
      </c>
      <c r="BB369" s="11">
        <v>1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  <c r="BO369" s="11">
        <f ca="1">IFERROR(OFFSET(ITEM_RES!$A$1,MATCH(BP369,ITEM_RES!$J:$J,0)-1,0),0)</f>
        <v>0</v>
      </c>
    </row>
    <row r="370" spans="1:67" x14ac:dyDescent="0.3">
      <c r="A370" s="14">
        <f t="shared" si="121"/>
        <v>112050006</v>
      </c>
      <c r="B370" s="13">
        <v>11</v>
      </c>
      <c r="C370" s="12">
        <f t="shared" si="122"/>
        <v>2</v>
      </c>
      <c r="D370" s="13">
        <v>5</v>
      </c>
      <c r="E370" s="13">
        <v>0</v>
      </c>
      <c r="F370" s="12">
        <f t="shared" si="123"/>
        <v>6</v>
      </c>
      <c r="H370" s="9">
        <v>2</v>
      </c>
      <c r="I370" s="9">
        <v>6</v>
      </c>
      <c r="K370" s="9" t="s">
        <v>363</v>
      </c>
      <c r="M370" s="9" t="s">
        <v>957</v>
      </c>
      <c r="N370" s="9" t="s">
        <v>975</v>
      </c>
      <c r="O370" s="9">
        <v>1</v>
      </c>
      <c r="P370" s="9">
        <v>15</v>
      </c>
      <c r="Q370" s="9" t="s">
        <v>783</v>
      </c>
      <c r="U370" s="9" t="s">
        <v>716</v>
      </c>
      <c r="W370" s="85" t="s">
        <v>552</v>
      </c>
      <c r="X370" s="9">
        <f ca="1">IFERROR(OFFSET(ITEM_RES!$A$5,MATCH(BUILDING!W370,ITEM_RES!$J$5:$J$226,0)-1,0),0)</f>
        <v>211020801</v>
      </c>
      <c r="Y370" s="11">
        <v>1</v>
      </c>
      <c r="Z370" s="85" t="s">
        <v>393</v>
      </c>
      <c r="AA370" s="9">
        <f ca="1">IFERROR(OFFSET(ITEM_RES!$A$5,MATCH(BUILDING!Z370,ITEM_RES!$J$5:$J$226,0)-1,0),0)</f>
        <v>211020901</v>
      </c>
      <c r="AC370" s="9" t="s">
        <v>524</v>
      </c>
      <c r="AD370" s="9">
        <v>6</v>
      </c>
      <c r="AF370" s="11">
        <f ca="1">IFERROR(OFFSET(MANOR_LEVEL!$B$1,MATCH(AG370-1,MANOR_LEVEL!$A:$A,0)-1,0),0)</f>
        <v>4232000</v>
      </c>
      <c r="AG370" s="56">
        <v>16</v>
      </c>
      <c r="AI370" s="56">
        <f t="shared" ca="1" si="126"/>
        <v>100</v>
      </c>
      <c r="AJ370" s="10">
        <f ca="1">AO370+AQ370+(IFERROR(OFFSET(ITEM_RES!$S$1,MATCH(AU370,ITEM_RES!$A:$A,0)-1,0),0)*AW370+IFERROR(OFFSET(ITEM_RES!$S$1,MATCH(AZ370,ITEM_RES!$A:$A,0)-1,0),0)*BB370+IFERROR(OFFSET(ITEM_RES!$S$1,MATCH(BE370,ITEM_RES!$A:$A,0)-1,0),0)*BG370+IFERROR(OFFSET(ITEM_RES!$S$1,MATCH(BJ370,ITEM_RES!$A:$A,0)-1,0),0)*BL370+IFERROR(OFFSET(ITEM_RES!$S$1,MATCH(BO370,ITEM_RES!$A:$A,0)-1,0),0)*BQ370)/1000</f>
        <v>100.11</v>
      </c>
      <c r="AK370" s="183">
        <f t="shared" ca="1" si="127"/>
        <v>180</v>
      </c>
      <c r="AM370" s="11">
        <f t="shared" si="118"/>
        <v>30</v>
      </c>
      <c r="AN370" s="10">
        <v>30</v>
      </c>
      <c r="AO370" s="11">
        <f t="shared" si="124"/>
        <v>50</v>
      </c>
      <c r="AP370" s="10">
        <v>50</v>
      </c>
      <c r="AQ370" s="11">
        <f t="shared" si="124"/>
        <v>50</v>
      </c>
      <c r="AR370" s="10">
        <v>50</v>
      </c>
      <c r="AS370" s="56">
        <f t="shared" si="119"/>
        <v>2</v>
      </c>
      <c r="AU370" s="11">
        <f ca="1">IFERROR(OFFSET(ITEM_RES!$A$1,MATCH(AV370,ITEM_RES!$J:$J,0)-1,0),0)</f>
        <v>211020401</v>
      </c>
      <c r="AV370" s="10" t="s">
        <v>436</v>
      </c>
      <c r="AW370" s="11">
        <v>1</v>
      </c>
      <c r="AZ370" s="11">
        <f ca="1">IFERROR(OFFSET(ITEM_RES!$A$1,MATCH(BA370,ITEM_RES!$J:$J,0)-1,0),0)</f>
        <v>211020801</v>
      </c>
      <c r="BA370" s="10" t="s">
        <v>435</v>
      </c>
      <c r="BB370" s="11">
        <v>1</v>
      </c>
      <c r="BE370" s="11">
        <f ca="1">IFERROR(OFFSET(ITEM_RES!$A$1,MATCH(BF370,ITEM_RES!$J:$J,0)-1,0),0)</f>
        <v>0</v>
      </c>
      <c r="BJ370" s="11">
        <f ca="1">IFERROR(OFFSET(ITEM_RES!$A$1,MATCH(BK370,ITEM_RES!$J:$J,0)-1,0),0)</f>
        <v>0</v>
      </c>
      <c r="BO370" s="11">
        <f ca="1">IFERROR(OFFSET(ITEM_RES!$A$1,MATCH(BP370,ITEM_RES!$J:$J,0)-1,0),0)</f>
        <v>0</v>
      </c>
    </row>
    <row r="371" spans="1:67" x14ac:dyDescent="0.3">
      <c r="A371" s="14">
        <f t="shared" si="121"/>
        <v>112050007</v>
      </c>
      <c r="B371" s="13">
        <v>11</v>
      </c>
      <c r="C371" s="12">
        <f t="shared" si="122"/>
        <v>2</v>
      </c>
      <c r="D371" s="13">
        <v>5</v>
      </c>
      <c r="E371" s="13">
        <v>0</v>
      </c>
      <c r="F371" s="12">
        <f t="shared" si="123"/>
        <v>7</v>
      </c>
      <c r="H371" s="9">
        <v>2</v>
      </c>
      <c r="I371" s="9">
        <v>7</v>
      </c>
      <c r="K371" s="9" t="s">
        <v>363</v>
      </c>
      <c r="M371" s="9" t="s">
        <v>957</v>
      </c>
      <c r="N371" s="9" t="s">
        <v>975</v>
      </c>
      <c r="O371" s="9">
        <v>1</v>
      </c>
      <c r="P371" s="9">
        <v>15</v>
      </c>
      <c r="Q371" s="9" t="s">
        <v>783</v>
      </c>
      <c r="U371" s="9" t="s">
        <v>716</v>
      </c>
      <c r="W371" s="85" t="s">
        <v>552</v>
      </c>
      <c r="X371" s="9">
        <f ca="1">IFERROR(OFFSET(ITEM_RES!$A$5,MATCH(BUILDING!W371,ITEM_RES!$J$5:$J$226,0)-1,0),0)</f>
        <v>211020801</v>
      </c>
      <c r="Y371" s="11">
        <v>1</v>
      </c>
      <c r="Z371" s="85" t="s">
        <v>393</v>
      </c>
      <c r="AA371" s="9">
        <f ca="1">IFERROR(OFFSET(ITEM_RES!$A$5,MATCH(BUILDING!Z371,ITEM_RES!$J$5:$J$226,0)-1,0),0)</f>
        <v>211020901</v>
      </c>
      <c r="AC371" s="9" t="s">
        <v>524</v>
      </c>
      <c r="AD371" s="9">
        <v>7</v>
      </c>
      <c r="AF371" s="11">
        <f ca="1">IFERROR(OFFSET(MANOR_LEVEL!$B$1,MATCH(AG371-1,MANOR_LEVEL!$A:$A,0)-1,0),0)</f>
        <v>4232000</v>
      </c>
      <c r="AG371" s="56">
        <v>16</v>
      </c>
      <c r="AI371" s="56">
        <f t="shared" ca="1" si="126"/>
        <v>1200</v>
      </c>
      <c r="AJ371" s="10">
        <f ca="1">AO371+AQ371+(IFERROR(OFFSET(ITEM_RES!$S$1,MATCH(AU371,ITEM_RES!$A:$A,0)-1,0),0)*AW371+IFERROR(OFFSET(ITEM_RES!$S$1,MATCH(AZ371,ITEM_RES!$A:$A,0)-1,0),0)*BB371+IFERROR(OFFSET(ITEM_RES!$S$1,MATCH(BE371,ITEM_RES!$A:$A,0)-1,0),0)*BG371+IFERROR(OFFSET(ITEM_RES!$S$1,MATCH(BJ371,ITEM_RES!$A:$A,0)-1,0),0)*BL371+IFERROR(OFFSET(ITEM_RES!$S$1,MATCH(BO371,ITEM_RES!$A:$A,0)-1,0),0)*BQ371)/1000</f>
        <v>1200.1100000000001</v>
      </c>
      <c r="AK371" s="183">
        <f t="shared" ca="1" si="127"/>
        <v>1300</v>
      </c>
      <c r="AM371" s="11">
        <f t="shared" si="118"/>
        <v>35</v>
      </c>
      <c r="AN371" s="10">
        <v>35</v>
      </c>
      <c r="AO371" s="11">
        <f t="shared" si="124"/>
        <v>100</v>
      </c>
      <c r="AP371" s="10">
        <v>100</v>
      </c>
      <c r="AQ371" s="11">
        <f t="shared" si="124"/>
        <v>100</v>
      </c>
      <c r="AR371" s="10">
        <v>100</v>
      </c>
      <c r="AS371" s="56">
        <f t="shared" si="119"/>
        <v>3</v>
      </c>
      <c r="AU371" s="11">
        <f ca="1">IFERROR(OFFSET(ITEM_RES!$A$1,MATCH(AV371,ITEM_RES!$J:$J,0)-1,0),0)</f>
        <v>211020401</v>
      </c>
      <c r="AV371" s="10" t="s">
        <v>436</v>
      </c>
      <c r="AW371" s="11">
        <v>1</v>
      </c>
      <c r="AZ371" s="11">
        <f ca="1">IFERROR(OFFSET(ITEM_RES!$A$1,MATCH(BA371,ITEM_RES!$J:$J,0)-1,0),0)</f>
        <v>211020801</v>
      </c>
      <c r="BA371" s="10" t="s">
        <v>435</v>
      </c>
      <c r="BB371" s="11">
        <v>1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213011101</v>
      </c>
      <c r="BK371" s="10" t="s">
        <v>466</v>
      </c>
      <c r="BL371" s="11">
        <v>1</v>
      </c>
      <c r="BO371" s="11">
        <f ca="1">IFERROR(OFFSET(ITEM_RES!$A$1,MATCH(BP371,ITEM_RES!$J:$J,0)-1,0),0)</f>
        <v>0</v>
      </c>
    </row>
    <row r="372" spans="1:67" x14ac:dyDescent="0.3">
      <c r="A372" s="14">
        <f t="shared" si="121"/>
        <v>112050008</v>
      </c>
      <c r="B372" s="13">
        <v>11</v>
      </c>
      <c r="C372" s="12">
        <f t="shared" si="122"/>
        <v>2</v>
      </c>
      <c r="D372" s="13">
        <v>5</v>
      </c>
      <c r="E372" s="13">
        <v>0</v>
      </c>
      <c r="F372" s="12">
        <f t="shared" si="123"/>
        <v>8</v>
      </c>
      <c r="H372" s="9">
        <v>2</v>
      </c>
      <c r="I372" s="9">
        <v>8</v>
      </c>
      <c r="K372" s="9" t="s">
        <v>363</v>
      </c>
      <c r="M372" s="9" t="s">
        <v>957</v>
      </c>
      <c r="N372" s="9" t="s">
        <v>975</v>
      </c>
      <c r="O372" s="9">
        <v>1</v>
      </c>
      <c r="P372" s="9">
        <v>15</v>
      </c>
      <c r="Q372" s="9" t="s">
        <v>783</v>
      </c>
      <c r="U372" s="9" t="s">
        <v>716</v>
      </c>
      <c r="W372" s="85" t="s">
        <v>552</v>
      </c>
      <c r="X372" s="9">
        <f ca="1">IFERROR(OFFSET(ITEM_RES!$A$5,MATCH(BUILDING!W372,ITEM_RES!$J$5:$J$226,0)-1,0),0)</f>
        <v>211020801</v>
      </c>
      <c r="Y372" s="11">
        <v>1</v>
      </c>
      <c r="Z372" s="85" t="s">
        <v>393</v>
      </c>
      <c r="AA372" s="9">
        <f ca="1">IFERROR(OFFSET(ITEM_RES!$A$5,MATCH(BUILDING!Z372,ITEM_RES!$J$5:$J$226,0)-1,0),0)</f>
        <v>211020901</v>
      </c>
      <c r="AC372" s="9" t="s">
        <v>524</v>
      </c>
      <c r="AD372" s="9">
        <v>8</v>
      </c>
      <c r="AF372" s="11">
        <f ca="1">IFERROR(OFFSET(MANOR_LEVEL!$B$1,MATCH(AG372-1,MANOR_LEVEL!$A:$A,0)-1,0),0)</f>
        <v>4232000</v>
      </c>
      <c r="AG372" s="56">
        <v>16</v>
      </c>
      <c r="AI372" s="56">
        <f t="shared" ca="1" si="126"/>
        <v>200</v>
      </c>
      <c r="AJ372" s="10">
        <f ca="1">AO372+AQ372+(IFERROR(OFFSET(ITEM_RES!$S$1,MATCH(AU372,ITEM_RES!$A:$A,0)-1,0),0)*AW372+IFERROR(OFFSET(ITEM_RES!$S$1,MATCH(AZ372,ITEM_RES!$A:$A,0)-1,0),0)*BB372+IFERROR(OFFSET(ITEM_RES!$S$1,MATCH(BE372,ITEM_RES!$A:$A,0)-1,0),0)*BG372+IFERROR(OFFSET(ITEM_RES!$S$1,MATCH(BJ372,ITEM_RES!$A:$A,0)-1,0),0)*BL372+IFERROR(OFFSET(ITEM_RES!$S$1,MATCH(BO372,ITEM_RES!$A:$A,0)-1,0),0)*BQ372)/1000</f>
        <v>200.11</v>
      </c>
      <c r="AK372" s="183">
        <f t="shared" ca="1" si="127"/>
        <v>1400</v>
      </c>
      <c r="AM372" s="11">
        <f t="shared" si="118"/>
        <v>40</v>
      </c>
      <c r="AN372" s="10">
        <v>40</v>
      </c>
      <c r="AO372" s="11">
        <f t="shared" si="124"/>
        <v>100</v>
      </c>
      <c r="AP372" s="10">
        <v>100</v>
      </c>
      <c r="AQ372" s="11">
        <f t="shared" si="124"/>
        <v>100</v>
      </c>
      <c r="AR372" s="10">
        <v>100</v>
      </c>
      <c r="AS372" s="56">
        <f t="shared" si="119"/>
        <v>2</v>
      </c>
      <c r="AU372" s="11">
        <f ca="1">IFERROR(OFFSET(ITEM_RES!$A$1,MATCH(AV372,ITEM_RES!$J:$J,0)-1,0),0)</f>
        <v>211020401</v>
      </c>
      <c r="AV372" s="10" t="s">
        <v>436</v>
      </c>
      <c r="AW372" s="11">
        <v>1</v>
      </c>
      <c r="AZ372" s="11">
        <f ca="1">IFERROR(OFFSET(ITEM_RES!$A$1,MATCH(BA372,ITEM_RES!$J:$J,0)-1,0),0)</f>
        <v>211020801</v>
      </c>
      <c r="BA372" s="10" t="s">
        <v>435</v>
      </c>
      <c r="BB372" s="11">
        <v>1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  <c r="BO372" s="11">
        <f ca="1">IFERROR(OFFSET(ITEM_RES!$A$1,MATCH(BP372,ITEM_RES!$J:$J,0)-1,0),0)</f>
        <v>0</v>
      </c>
    </row>
    <row r="373" spans="1:67" x14ac:dyDescent="0.3">
      <c r="A373" s="14">
        <f t="shared" si="121"/>
        <v>112050009</v>
      </c>
      <c r="B373" s="13">
        <v>11</v>
      </c>
      <c r="C373" s="12">
        <f t="shared" si="122"/>
        <v>2</v>
      </c>
      <c r="D373" s="13">
        <v>5</v>
      </c>
      <c r="E373" s="13">
        <v>0</v>
      </c>
      <c r="F373" s="12">
        <f t="shared" si="123"/>
        <v>9</v>
      </c>
      <c r="H373" s="9">
        <v>2</v>
      </c>
      <c r="I373" s="9">
        <v>9</v>
      </c>
      <c r="K373" s="9" t="s">
        <v>363</v>
      </c>
      <c r="M373" s="9" t="s">
        <v>957</v>
      </c>
      <c r="N373" s="9" t="s">
        <v>975</v>
      </c>
      <c r="O373" s="9">
        <v>1</v>
      </c>
      <c r="P373" s="9">
        <v>15</v>
      </c>
      <c r="Q373" s="9" t="s">
        <v>783</v>
      </c>
      <c r="U373" s="9" t="s">
        <v>716</v>
      </c>
      <c r="W373" s="85" t="s">
        <v>552</v>
      </c>
      <c r="X373" s="9">
        <f ca="1">IFERROR(OFFSET(ITEM_RES!$A$5,MATCH(BUILDING!W373,ITEM_RES!$J$5:$J$226,0)-1,0),0)</f>
        <v>211020801</v>
      </c>
      <c r="Y373" s="11">
        <v>1</v>
      </c>
      <c r="Z373" s="85" t="s">
        <v>393</v>
      </c>
      <c r="AA373" s="9">
        <f ca="1">IFERROR(OFFSET(ITEM_RES!$A$5,MATCH(BUILDING!Z373,ITEM_RES!$J$5:$J$226,0)-1,0),0)</f>
        <v>211020901</v>
      </c>
      <c r="AC373" s="9" t="s">
        <v>524</v>
      </c>
      <c r="AD373" s="9">
        <v>9</v>
      </c>
      <c r="AF373" s="11">
        <f ca="1">IFERROR(OFFSET(MANOR_LEVEL!$B$1,MATCH(AG373-1,MANOR_LEVEL!$A:$A,0)-1,0),0)</f>
        <v>4232000</v>
      </c>
      <c r="AG373" s="56">
        <v>16</v>
      </c>
      <c r="AI373" s="56">
        <f t="shared" ca="1" si="126"/>
        <v>300</v>
      </c>
      <c r="AJ373" s="10">
        <f ca="1">AO373+AQ373+(IFERROR(OFFSET(ITEM_RES!$S$1,MATCH(AU373,ITEM_RES!$A:$A,0)-1,0),0)*AW373+IFERROR(OFFSET(ITEM_RES!$S$1,MATCH(AZ373,ITEM_RES!$A:$A,0)-1,0),0)*BB373+IFERROR(OFFSET(ITEM_RES!$S$1,MATCH(BE373,ITEM_RES!$A:$A,0)-1,0),0)*BG373+IFERROR(OFFSET(ITEM_RES!$S$1,MATCH(BJ373,ITEM_RES!$A:$A,0)-1,0),0)*BL373+IFERROR(OFFSET(ITEM_RES!$S$1,MATCH(BO373,ITEM_RES!$A:$A,0)-1,0),0)*BQ373)/1000</f>
        <v>300.11</v>
      </c>
      <c r="AK373" s="183">
        <f t="shared" ca="1" si="127"/>
        <v>500</v>
      </c>
      <c r="AM373" s="11">
        <f t="shared" si="118"/>
        <v>45</v>
      </c>
      <c r="AN373" s="10">
        <v>45</v>
      </c>
      <c r="AO373" s="11">
        <f t="shared" si="124"/>
        <v>150</v>
      </c>
      <c r="AP373" s="10">
        <v>150</v>
      </c>
      <c r="AQ373" s="11">
        <f t="shared" si="124"/>
        <v>150</v>
      </c>
      <c r="AR373" s="10">
        <v>150</v>
      </c>
      <c r="AS373" s="56">
        <f t="shared" si="119"/>
        <v>2</v>
      </c>
      <c r="AU373" s="11">
        <f ca="1">IFERROR(OFFSET(ITEM_RES!$A$1,MATCH(AV373,ITEM_RES!$J:$J,0)-1,0),0)</f>
        <v>211020401</v>
      </c>
      <c r="AV373" s="10" t="s">
        <v>436</v>
      </c>
      <c r="AW373" s="11">
        <v>1</v>
      </c>
      <c r="AZ373" s="11">
        <f ca="1">IFERROR(OFFSET(ITEM_RES!$A$1,MATCH(BA373,ITEM_RES!$J:$J,0)-1,0),0)</f>
        <v>211020801</v>
      </c>
      <c r="BA373" s="10" t="s">
        <v>435</v>
      </c>
      <c r="BB373" s="11">
        <v>1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  <c r="BO373" s="11">
        <f ca="1">IFERROR(OFFSET(ITEM_RES!$A$1,MATCH(BP373,ITEM_RES!$J:$J,0)-1,0),0)</f>
        <v>0</v>
      </c>
    </row>
    <row r="374" spans="1:67" x14ac:dyDescent="0.3">
      <c r="A374" s="14">
        <f t="shared" si="121"/>
        <v>112050010</v>
      </c>
      <c r="B374" s="13">
        <v>11</v>
      </c>
      <c r="C374" s="12">
        <f t="shared" si="122"/>
        <v>2</v>
      </c>
      <c r="D374" s="13">
        <v>5</v>
      </c>
      <c r="E374" s="13">
        <v>0</v>
      </c>
      <c r="F374" s="12">
        <f t="shared" si="123"/>
        <v>10</v>
      </c>
      <c r="H374" s="9">
        <v>2</v>
      </c>
      <c r="I374" s="9">
        <v>10</v>
      </c>
      <c r="K374" s="9" t="s">
        <v>363</v>
      </c>
      <c r="M374" s="9" t="s">
        <v>957</v>
      </c>
      <c r="N374" s="9" t="s">
        <v>975</v>
      </c>
      <c r="O374" s="9">
        <v>1</v>
      </c>
      <c r="P374" s="9">
        <v>15</v>
      </c>
      <c r="Q374" s="9" t="s">
        <v>783</v>
      </c>
      <c r="U374" s="9" t="s">
        <v>716</v>
      </c>
      <c r="W374" s="85" t="s">
        <v>552</v>
      </c>
      <c r="X374" s="9">
        <f ca="1">IFERROR(OFFSET(ITEM_RES!$A$5,MATCH(BUILDING!W374,ITEM_RES!$J$5:$J$226,0)-1,0),0)</f>
        <v>211020801</v>
      </c>
      <c r="Y374" s="11">
        <v>1</v>
      </c>
      <c r="Z374" s="85" t="s">
        <v>393</v>
      </c>
      <c r="AA374" s="9">
        <f ca="1">IFERROR(OFFSET(ITEM_RES!$A$5,MATCH(BUILDING!Z374,ITEM_RES!$J$5:$J$226,0)-1,0),0)</f>
        <v>211020901</v>
      </c>
      <c r="AC374" s="9" t="s">
        <v>524</v>
      </c>
      <c r="AD374" s="9">
        <v>10</v>
      </c>
      <c r="AF374" s="11">
        <f ca="1">IFERROR(OFFSET(MANOR_LEVEL!$B$1,MATCH(AG374-1,MANOR_LEVEL!$A:$A,0)-1,0),0)</f>
        <v>4232000</v>
      </c>
      <c r="AG374" s="56">
        <v>16</v>
      </c>
      <c r="AI374" s="56">
        <f t="shared" ca="1" si="126"/>
        <v>400</v>
      </c>
      <c r="AJ374" s="10">
        <f ca="1">AO374+AQ374+(IFERROR(OFFSET(ITEM_RES!$S$1,MATCH(AU374,ITEM_RES!$A:$A,0)-1,0),0)*AW374+IFERROR(OFFSET(ITEM_RES!$S$1,MATCH(AZ374,ITEM_RES!$A:$A,0)-1,0),0)*BB374+IFERROR(OFFSET(ITEM_RES!$S$1,MATCH(BE374,ITEM_RES!$A:$A,0)-1,0),0)*BG374+IFERROR(OFFSET(ITEM_RES!$S$1,MATCH(BJ374,ITEM_RES!$A:$A,0)-1,0),0)*BL374+IFERROR(OFFSET(ITEM_RES!$S$1,MATCH(BO374,ITEM_RES!$A:$A,0)-1,0),0)*BQ374)/1000</f>
        <v>400.11</v>
      </c>
      <c r="AK374" s="183">
        <f t="shared" ca="1" si="127"/>
        <v>700</v>
      </c>
      <c r="AM374" s="11">
        <f t="shared" si="118"/>
        <v>50</v>
      </c>
      <c r="AN374" s="10">
        <v>50</v>
      </c>
      <c r="AO374" s="11">
        <f t="shared" si="124"/>
        <v>200</v>
      </c>
      <c r="AP374" s="10">
        <v>200</v>
      </c>
      <c r="AQ374" s="11">
        <f t="shared" si="124"/>
        <v>200</v>
      </c>
      <c r="AR374" s="10">
        <v>200</v>
      </c>
      <c r="AS374" s="56">
        <f t="shared" si="119"/>
        <v>2</v>
      </c>
      <c r="AU374" s="11">
        <f ca="1">IFERROR(OFFSET(ITEM_RES!$A$1,MATCH(AV374,ITEM_RES!$J:$J,0)-1,0),0)</f>
        <v>211020401</v>
      </c>
      <c r="AV374" s="10" t="s">
        <v>436</v>
      </c>
      <c r="AW374" s="11">
        <v>1</v>
      </c>
      <c r="AZ374" s="11">
        <f ca="1">IFERROR(OFFSET(ITEM_RES!$A$1,MATCH(BA374,ITEM_RES!$J:$J,0)-1,0),0)</f>
        <v>211020801</v>
      </c>
      <c r="BA374" s="10" t="s">
        <v>435</v>
      </c>
      <c r="BB374" s="11">
        <v>1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  <c r="BO374" s="11">
        <f ca="1">IFERROR(OFFSET(ITEM_RES!$A$1,MATCH(BP374,ITEM_RES!$J:$J,0)-1,0),0)</f>
        <v>0</v>
      </c>
    </row>
    <row r="375" spans="1:67" x14ac:dyDescent="0.3">
      <c r="A375" s="14">
        <f t="shared" si="121"/>
        <v>112050011</v>
      </c>
      <c r="B375" s="13">
        <v>11</v>
      </c>
      <c r="C375" s="12">
        <f t="shared" si="122"/>
        <v>2</v>
      </c>
      <c r="D375" s="13">
        <v>5</v>
      </c>
      <c r="E375" s="13">
        <v>0</v>
      </c>
      <c r="F375" s="12">
        <f t="shared" si="123"/>
        <v>11</v>
      </c>
      <c r="H375" s="9">
        <v>2</v>
      </c>
      <c r="I375" s="9">
        <v>11</v>
      </c>
      <c r="K375" s="9" t="s">
        <v>363</v>
      </c>
      <c r="M375" s="9" t="s">
        <v>957</v>
      </c>
      <c r="N375" s="9" t="s">
        <v>975</v>
      </c>
      <c r="O375" s="9">
        <v>1</v>
      </c>
      <c r="P375" s="9">
        <v>15</v>
      </c>
      <c r="Q375" s="9" t="s">
        <v>783</v>
      </c>
      <c r="U375" s="9" t="s">
        <v>716</v>
      </c>
      <c r="W375" s="85" t="s">
        <v>552</v>
      </c>
      <c r="X375" s="9">
        <f ca="1">IFERROR(OFFSET(ITEM_RES!$A$5,MATCH(BUILDING!W375,ITEM_RES!$J$5:$J$226,0)-1,0),0)</f>
        <v>211020801</v>
      </c>
      <c r="Y375" s="11">
        <v>1</v>
      </c>
      <c r="Z375" s="85" t="s">
        <v>393</v>
      </c>
      <c r="AA375" s="9">
        <f ca="1">IFERROR(OFFSET(ITEM_RES!$A$5,MATCH(BUILDING!Z375,ITEM_RES!$J$5:$J$226,0)-1,0),0)</f>
        <v>211020901</v>
      </c>
      <c r="AC375" s="9" t="s">
        <v>524</v>
      </c>
      <c r="AD375" s="9">
        <v>11</v>
      </c>
      <c r="AF375" s="11">
        <f ca="1">IFERROR(OFFSET(MANOR_LEVEL!$B$1,MATCH(AG375-1,MANOR_LEVEL!$A:$A,0)-1,0),0)</f>
        <v>4232000</v>
      </c>
      <c r="AG375" s="56">
        <v>16</v>
      </c>
      <c r="AI375" s="56">
        <f t="shared" ca="1" si="126"/>
        <v>500</v>
      </c>
      <c r="AJ375" s="10">
        <f ca="1">AO375+AQ375+(IFERROR(OFFSET(ITEM_RES!$S$1,MATCH(AU375,ITEM_RES!$A:$A,0)-1,0),0)*AW375+IFERROR(OFFSET(ITEM_RES!$S$1,MATCH(AZ375,ITEM_RES!$A:$A,0)-1,0),0)*BB375+IFERROR(OFFSET(ITEM_RES!$S$1,MATCH(BE375,ITEM_RES!$A:$A,0)-1,0),0)*BG375+IFERROR(OFFSET(ITEM_RES!$S$1,MATCH(BJ375,ITEM_RES!$A:$A,0)-1,0),0)*BL375+IFERROR(OFFSET(ITEM_RES!$S$1,MATCH(BO375,ITEM_RES!$A:$A,0)-1,0),0)*BQ375)/1000</f>
        <v>500.11</v>
      </c>
      <c r="AK375" s="183">
        <f t="shared" ca="1" si="127"/>
        <v>900</v>
      </c>
      <c r="AM375" s="11">
        <f t="shared" si="118"/>
        <v>55</v>
      </c>
      <c r="AN375" s="10">
        <v>55</v>
      </c>
      <c r="AO375" s="11">
        <f t="shared" si="124"/>
        <v>250</v>
      </c>
      <c r="AP375" s="10">
        <v>250</v>
      </c>
      <c r="AQ375" s="11">
        <f t="shared" si="124"/>
        <v>250</v>
      </c>
      <c r="AR375" s="10">
        <v>250</v>
      </c>
      <c r="AS375" s="56">
        <f t="shared" si="119"/>
        <v>2</v>
      </c>
      <c r="AU375" s="11">
        <f ca="1">IFERROR(OFFSET(ITEM_RES!$A$1,MATCH(AV375,ITEM_RES!$J:$J,0)-1,0),0)</f>
        <v>211020401</v>
      </c>
      <c r="AV375" s="10" t="s">
        <v>436</v>
      </c>
      <c r="AW375" s="11">
        <v>1</v>
      </c>
      <c r="AZ375" s="11">
        <f ca="1">IFERROR(OFFSET(ITEM_RES!$A$1,MATCH(BA375,ITEM_RES!$J:$J,0)-1,0),0)</f>
        <v>211020801</v>
      </c>
      <c r="BA375" s="10" t="s">
        <v>435</v>
      </c>
      <c r="BB375" s="11">
        <v>1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  <c r="BO375" s="11">
        <f ca="1">IFERROR(OFFSET(ITEM_RES!$A$1,MATCH(BP375,ITEM_RES!$J:$J,0)-1,0),0)</f>
        <v>0</v>
      </c>
    </row>
    <row r="376" spans="1:67" x14ac:dyDescent="0.3">
      <c r="A376" s="14">
        <f t="shared" si="121"/>
        <v>112050012</v>
      </c>
      <c r="B376" s="13">
        <v>11</v>
      </c>
      <c r="C376" s="12">
        <f t="shared" si="122"/>
        <v>2</v>
      </c>
      <c r="D376" s="13">
        <v>5</v>
      </c>
      <c r="E376" s="13">
        <v>0</v>
      </c>
      <c r="F376" s="12">
        <f t="shared" si="123"/>
        <v>12</v>
      </c>
      <c r="H376" s="9">
        <v>2</v>
      </c>
      <c r="I376" s="9">
        <v>12</v>
      </c>
      <c r="K376" s="9" t="s">
        <v>363</v>
      </c>
      <c r="M376" s="9" t="s">
        <v>957</v>
      </c>
      <c r="N376" s="9" t="s">
        <v>975</v>
      </c>
      <c r="O376" s="9">
        <v>1</v>
      </c>
      <c r="P376" s="9">
        <v>15</v>
      </c>
      <c r="Q376" s="9" t="s">
        <v>783</v>
      </c>
      <c r="U376" s="9" t="s">
        <v>716</v>
      </c>
      <c r="W376" s="85" t="s">
        <v>552</v>
      </c>
      <c r="X376" s="9">
        <f ca="1">IFERROR(OFFSET(ITEM_RES!$A$5,MATCH(BUILDING!W376,ITEM_RES!$J$5:$J$226,0)-1,0),0)</f>
        <v>211020801</v>
      </c>
      <c r="Y376" s="11">
        <v>1</v>
      </c>
      <c r="Z376" s="85" t="s">
        <v>393</v>
      </c>
      <c r="AA376" s="9">
        <f ca="1">IFERROR(OFFSET(ITEM_RES!$A$5,MATCH(BUILDING!Z376,ITEM_RES!$J$5:$J$226,0)-1,0),0)</f>
        <v>211020901</v>
      </c>
      <c r="AC376" s="9" t="s">
        <v>524</v>
      </c>
      <c r="AD376" s="9">
        <v>12</v>
      </c>
      <c r="AF376" s="11">
        <f ca="1">IFERROR(OFFSET(MANOR_LEVEL!$B$1,MATCH(AG376-1,MANOR_LEVEL!$A:$A,0)-1,0),0)</f>
        <v>4232000</v>
      </c>
      <c r="AG376" s="56">
        <v>16</v>
      </c>
      <c r="AI376" s="56">
        <f t="shared" ca="1" si="126"/>
        <v>600</v>
      </c>
      <c r="AJ376" s="10">
        <f ca="1">AO376+AQ376+(IFERROR(OFFSET(ITEM_RES!$S$1,MATCH(AU376,ITEM_RES!$A:$A,0)-1,0),0)*AW376+IFERROR(OFFSET(ITEM_RES!$S$1,MATCH(AZ376,ITEM_RES!$A:$A,0)-1,0),0)*BB376+IFERROR(OFFSET(ITEM_RES!$S$1,MATCH(BE376,ITEM_RES!$A:$A,0)-1,0),0)*BG376+IFERROR(OFFSET(ITEM_RES!$S$1,MATCH(BJ376,ITEM_RES!$A:$A,0)-1,0),0)*BL376+IFERROR(OFFSET(ITEM_RES!$S$1,MATCH(BO376,ITEM_RES!$A:$A,0)-1,0),0)*BQ376)/1000</f>
        <v>600.29999999999995</v>
      </c>
      <c r="AK376" s="183">
        <f t="shared" ca="1" si="127"/>
        <v>1100</v>
      </c>
      <c r="AM376" s="11">
        <f t="shared" si="118"/>
        <v>60</v>
      </c>
      <c r="AN376" s="10">
        <v>60</v>
      </c>
      <c r="AO376" s="11">
        <f t="shared" si="124"/>
        <v>300</v>
      </c>
      <c r="AP376" s="10">
        <v>300</v>
      </c>
      <c r="AQ376" s="11">
        <f t="shared" si="124"/>
        <v>300</v>
      </c>
      <c r="AR376" s="10">
        <v>300</v>
      </c>
      <c r="AS376" s="56">
        <f t="shared" si="119"/>
        <v>2</v>
      </c>
      <c r="AU376" s="11">
        <f ca="1">IFERROR(OFFSET(ITEM_RES!$A$1,MATCH(AV376,ITEM_RES!$J:$J,0)-1,0),0)</f>
        <v>211020501</v>
      </c>
      <c r="AV376" s="10" t="s">
        <v>433</v>
      </c>
      <c r="AW376" s="11">
        <v>1</v>
      </c>
      <c r="AZ376" s="11">
        <f ca="1">IFERROR(OFFSET(ITEM_RES!$A$1,MATCH(BA376,ITEM_RES!$J:$J,0)-1,0),0)</f>
        <v>211020801</v>
      </c>
      <c r="BA376" s="10" t="s">
        <v>435</v>
      </c>
      <c r="BB376" s="11">
        <v>1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  <c r="BO376" s="11">
        <f ca="1">IFERROR(OFFSET(ITEM_RES!$A$1,MATCH(BP376,ITEM_RES!$J:$J,0)-1,0),0)</f>
        <v>0</v>
      </c>
    </row>
    <row r="377" spans="1:67" x14ac:dyDescent="0.3">
      <c r="A377" s="14">
        <f t="shared" si="121"/>
        <v>112050013</v>
      </c>
      <c r="B377" s="13">
        <v>11</v>
      </c>
      <c r="C377" s="12">
        <f t="shared" si="122"/>
        <v>2</v>
      </c>
      <c r="D377" s="13">
        <v>5</v>
      </c>
      <c r="E377" s="13">
        <v>0</v>
      </c>
      <c r="F377" s="12">
        <f t="shared" si="123"/>
        <v>13</v>
      </c>
      <c r="H377" s="9">
        <v>2</v>
      </c>
      <c r="I377" s="9">
        <v>13</v>
      </c>
      <c r="K377" s="9" t="s">
        <v>363</v>
      </c>
      <c r="M377" s="9" t="s">
        <v>957</v>
      </c>
      <c r="N377" s="9" t="s">
        <v>975</v>
      </c>
      <c r="O377" s="9">
        <v>1</v>
      </c>
      <c r="P377" s="9">
        <v>15</v>
      </c>
      <c r="Q377" s="9" t="s">
        <v>783</v>
      </c>
      <c r="U377" s="9" t="s">
        <v>716</v>
      </c>
      <c r="W377" s="85" t="s">
        <v>552</v>
      </c>
      <c r="X377" s="9">
        <f ca="1">IFERROR(OFFSET(ITEM_RES!$A$5,MATCH(BUILDING!W377,ITEM_RES!$J$5:$J$226,0)-1,0),0)</f>
        <v>211020801</v>
      </c>
      <c r="Y377" s="11">
        <v>1</v>
      </c>
      <c r="Z377" s="85" t="s">
        <v>393</v>
      </c>
      <c r="AA377" s="9">
        <f ca="1">IFERROR(OFFSET(ITEM_RES!$A$5,MATCH(BUILDING!Z377,ITEM_RES!$J$5:$J$226,0)-1,0),0)</f>
        <v>211020901</v>
      </c>
      <c r="AC377" s="9" t="s">
        <v>524</v>
      </c>
      <c r="AD377" s="9">
        <v>13</v>
      </c>
      <c r="AF377" s="11">
        <f ca="1">IFERROR(OFFSET(MANOR_LEVEL!$B$1,MATCH(AG377-1,MANOR_LEVEL!$A:$A,0)-1,0),0)</f>
        <v>4232000</v>
      </c>
      <c r="AG377" s="56">
        <v>16</v>
      </c>
      <c r="AI377" s="56">
        <f t="shared" ca="1" si="126"/>
        <v>700</v>
      </c>
      <c r="AJ377" s="10">
        <f ca="1">AO377+AQ377+(IFERROR(OFFSET(ITEM_RES!$S$1,MATCH(AU377,ITEM_RES!$A:$A,0)-1,0),0)*AW377+IFERROR(OFFSET(ITEM_RES!$S$1,MATCH(AZ377,ITEM_RES!$A:$A,0)-1,0),0)*BB377+IFERROR(OFFSET(ITEM_RES!$S$1,MATCH(BE377,ITEM_RES!$A:$A,0)-1,0),0)*BG377+IFERROR(OFFSET(ITEM_RES!$S$1,MATCH(BJ377,ITEM_RES!$A:$A,0)-1,0),0)*BL377+IFERROR(OFFSET(ITEM_RES!$S$1,MATCH(BO377,ITEM_RES!$A:$A,0)-1,0),0)*BQ377)/1000</f>
        <v>700.3</v>
      </c>
      <c r="AK377" s="183">
        <f t="shared" ca="1" si="127"/>
        <v>1300</v>
      </c>
      <c r="AM377" s="11">
        <f t="shared" si="118"/>
        <v>65</v>
      </c>
      <c r="AN377" s="10">
        <v>65</v>
      </c>
      <c r="AO377" s="11">
        <f t="shared" si="124"/>
        <v>350</v>
      </c>
      <c r="AP377" s="10">
        <v>350</v>
      </c>
      <c r="AQ377" s="11">
        <f t="shared" si="124"/>
        <v>350</v>
      </c>
      <c r="AR377" s="10">
        <v>350</v>
      </c>
      <c r="AS377" s="56">
        <f t="shared" si="119"/>
        <v>2</v>
      </c>
      <c r="AU377" s="11">
        <f ca="1">IFERROR(OFFSET(ITEM_RES!$A$1,MATCH(AV377,ITEM_RES!$J:$J,0)-1,0),0)</f>
        <v>211020501</v>
      </c>
      <c r="AV377" s="10" t="s">
        <v>433</v>
      </c>
      <c r="AW377" s="11">
        <v>1</v>
      </c>
      <c r="AZ377" s="11">
        <f ca="1">IFERROR(OFFSET(ITEM_RES!$A$1,MATCH(BA377,ITEM_RES!$J:$J,0)-1,0),0)</f>
        <v>211020801</v>
      </c>
      <c r="BA377" s="10" t="s">
        <v>435</v>
      </c>
      <c r="BB377" s="11">
        <v>1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  <c r="BO377" s="11">
        <f ca="1">IFERROR(OFFSET(ITEM_RES!$A$1,MATCH(BP377,ITEM_RES!$J:$J,0)-1,0),0)</f>
        <v>0</v>
      </c>
    </row>
    <row r="378" spans="1:67" x14ac:dyDescent="0.3">
      <c r="A378" s="14">
        <f t="shared" si="121"/>
        <v>112050014</v>
      </c>
      <c r="B378" s="13">
        <v>11</v>
      </c>
      <c r="C378" s="12">
        <f t="shared" si="122"/>
        <v>2</v>
      </c>
      <c r="D378" s="13">
        <v>5</v>
      </c>
      <c r="E378" s="13">
        <v>0</v>
      </c>
      <c r="F378" s="12">
        <f t="shared" si="123"/>
        <v>14</v>
      </c>
      <c r="H378" s="9">
        <v>2</v>
      </c>
      <c r="I378" s="9">
        <v>14</v>
      </c>
      <c r="K378" s="9" t="s">
        <v>363</v>
      </c>
      <c r="M378" s="9" t="s">
        <v>957</v>
      </c>
      <c r="N378" s="9" t="s">
        <v>975</v>
      </c>
      <c r="O378" s="9">
        <v>1</v>
      </c>
      <c r="P378" s="9">
        <v>15</v>
      </c>
      <c r="Q378" s="9" t="s">
        <v>783</v>
      </c>
      <c r="U378" s="9" t="s">
        <v>716</v>
      </c>
      <c r="W378" s="85" t="s">
        <v>552</v>
      </c>
      <c r="X378" s="9">
        <f ca="1">IFERROR(OFFSET(ITEM_RES!$A$5,MATCH(BUILDING!W378,ITEM_RES!$J$5:$J$226,0)-1,0),0)</f>
        <v>211020801</v>
      </c>
      <c r="Y378" s="11">
        <v>1</v>
      </c>
      <c r="Z378" s="85" t="s">
        <v>393</v>
      </c>
      <c r="AA378" s="9">
        <f ca="1">IFERROR(OFFSET(ITEM_RES!$A$5,MATCH(BUILDING!Z378,ITEM_RES!$J$5:$J$226,0)-1,0),0)</f>
        <v>211020901</v>
      </c>
      <c r="AC378" s="9" t="s">
        <v>524</v>
      </c>
      <c r="AD378" s="9">
        <v>14</v>
      </c>
      <c r="AF378" s="11">
        <f ca="1">IFERROR(OFFSET(MANOR_LEVEL!$B$1,MATCH(AG378-1,MANOR_LEVEL!$A:$A,0)-1,0),0)</f>
        <v>4232000</v>
      </c>
      <c r="AG378" s="56">
        <v>16</v>
      </c>
      <c r="AI378" s="56">
        <f t="shared" ca="1" si="126"/>
        <v>900</v>
      </c>
      <c r="AJ378" s="10">
        <f ca="1">AO378+AQ378+(IFERROR(OFFSET(ITEM_RES!$S$1,MATCH(AU378,ITEM_RES!$A:$A,0)-1,0),0)*AW378+IFERROR(OFFSET(ITEM_RES!$S$1,MATCH(AZ378,ITEM_RES!$A:$A,0)-1,0),0)*BB378+IFERROR(OFFSET(ITEM_RES!$S$1,MATCH(BE378,ITEM_RES!$A:$A,0)-1,0),0)*BG378+IFERROR(OFFSET(ITEM_RES!$S$1,MATCH(BJ378,ITEM_RES!$A:$A,0)-1,0),0)*BL378+IFERROR(OFFSET(ITEM_RES!$S$1,MATCH(BO378,ITEM_RES!$A:$A,0)-1,0),0)*BQ378)/1000</f>
        <v>900.3</v>
      </c>
      <c r="AK378" s="183">
        <f t="shared" ca="1" si="127"/>
        <v>1600</v>
      </c>
      <c r="AM378" s="11">
        <f t="shared" si="118"/>
        <v>70</v>
      </c>
      <c r="AN378" s="10">
        <v>70</v>
      </c>
      <c r="AO378" s="11">
        <f t="shared" si="124"/>
        <v>450</v>
      </c>
      <c r="AP378" s="10">
        <v>450</v>
      </c>
      <c r="AQ378" s="11">
        <f t="shared" si="124"/>
        <v>450</v>
      </c>
      <c r="AR378" s="10">
        <v>450</v>
      </c>
      <c r="AS378" s="56">
        <f t="shared" si="119"/>
        <v>2</v>
      </c>
      <c r="AU378" s="11">
        <f ca="1">IFERROR(OFFSET(ITEM_RES!$A$1,MATCH(AV378,ITEM_RES!$J:$J,0)-1,0),0)</f>
        <v>211020501</v>
      </c>
      <c r="AV378" s="10" t="s">
        <v>433</v>
      </c>
      <c r="AW378" s="11">
        <v>1</v>
      </c>
      <c r="AZ378" s="11">
        <f ca="1">IFERROR(OFFSET(ITEM_RES!$A$1,MATCH(BA378,ITEM_RES!$J:$J,0)-1,0),0)</f>
        <v>211020801</v>
      </c>
      <c r="BA378" s="10" t="s">
        <v>435</v>
      </c>
      <c r="BB378" s="11">
        <v>1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  <c r="BO378" s="11">
        <f ca="1">IFERROR(OFFSET(ITEM_RES!$A$1,MATCH(BP378,ITEM_RES!$J:$J,0)-1,0),0)</f>
        <v>0</v>
      </c>
    </row>
    <row r="379" spans="1:67" x14ac:dyDescent="0.3">
      <c r="A379" s="14">
        <f t="shared" si="121"/>
        <v>112050015</v>
      </c>
      <c r="B379" s="13">
        <v>11</v>
      </c>
      <c r="C379" s="12">
        <f t="shared" si="122"/>
        <v>2</v>
      </c>
      <c r="D379" s="13">
        <v>5</v>
      </c>
      <c r="E379" s="13">
        <v>0</v>
      </c>
      <c r="F379" s="12">
        <f t="shared" si="123"/>
        <v>15</v>
      </c>
      <c r="H379" s="9">
        <v>2</v>
      </c>
      <c r="I379" s="9">
        <v>15</v>
      </c>
      <c r="K379" s="9" t="s">
        <v>363</v>
      </c>
      <c r="M379" s="9" t="s">
        <v>957</v>
      </c>
      <c r="N379" s="9" t="s">
        <v>975</v>
      </c>
      <c r="O379" s="9">
        <v>1</v>
      </c>
      <c r="P379" s="9">
        <v>15</v>
      </c>
      <c r="Q379" s="9" t="s">
        <v>783</v>
      </c>
      <c r="U379" s="9" t="s">
        <v>716</v>
      </c>
      <c r="W379" s="85" t="s">
        <v>552</v>
      </c>
      <c r="X379" s="9">
        <f ca="1">IFERROR(OFFSET(ITEM_RES!$A$5,MATCH(BUILDING!W379,ITEM_RES!$J$5:$J$226,0)-1,0),0)</f>
        <v>211020801</v>
      </c>
      <c r="Y379" s="11">
        <v>1</v>
      </c>
      <c r="Z379" s="85" t="s">
        <v>393</v>
      </c>
      <c r="AA379" s="9">
        <f ca="1">IFERROR(OFFSET(ITEM_RES!$A$5,MATCH(BUILDING!Z379,ITEM_RES!$J$5:$J$226,0)-1,0),0)</f>
        <v>211020901</v>
      </c>
      <c r="AC379" s="9" t="s">
        <v>524</v>
      </c>
      <c r="AD379" s="9">
        <v>15</v>
      </c>
      <c r="AF379" s="11">
        <f ca="1">IFERROR(OFFSET(MANOR_LEVEL!$B$1,MATCH(AG379-1,MANOR_LEVEL!$A:$A,0)-1,0),0)</f>
        <v>4232000</v>
      </c>
      <c r="AG379" s="56">
        <v>16</v>
      </c>
      <c r="AI379" s="56">
        <f t="shared" ca="1" si="126"/>
        <v>1100</v>
      </c>
      <c r="AJ379" s="10">
        <f ca="1">AO379+AQ379+(IFERROR(OFFSET(ITEM_RES!$S$1,MATCH(AU379,ITEM_RES!$A:$A,0)-1,0),0)*AW379+IFERROR(OFFSET(ITEM_RES!$S$1,MATCH(AZ379,ITEM_RES!$A:$A,0)-1,0),0)*BB379+IFERROR(OFFSET(ITEM_RES!$S$1,MATCH(BE379,ITEM_RES!$A:$A,0)-1,0),0)*BG379+IFERROR(OFFSET(ITEM_RES!$S$1,MATCH(BJ379,ITEM_RES!$A:$A,0)-1,0),0)*BL379+IFERROR(OFFSET(ITEM_RES!$S$1,MATCH(BO379,ITEM_RES!$A:$A,0)-1,0),0)*BQ379)/1000</f>
        <v>1100.3</v>
      </c>
      <c r="AK379" s="183">
        <f t="shared" ca="1" si="127"/>
        <v>2000</v>
      </c>
      <c r="AM379" s="11">
        <f t="shared" si="118"/>
        <v>75</v>
      </c>
      <c r="AN379" s="10">
        <v>75</v>
      </c>
      <c r="AO379" s="11">
        <f t="shared" si="124"/>
        <v>550</v>
      </c>
      <c r="AP379" s="10">
        <v>550</v>
      </c>
      <c r="AQ379" s="11">
        <f t="shared" si="124"/>
        <v>550</v>
      </c>
      <c r="AR379" s="10">
        <v>550</v>
      </c>
      <c r="AS379" s="56">
        <f t="shared" si="119"/>
        <v>2</v>
      </c>
      <c r="AU379" s="11">
        <f ca="1">IFERROR(OFFSET(ITEM_RES!$A$1,MATCH(AV379,ITEM_RES!$J:$J,0)-1,0),0)</f>
        <v>211020501</v>
      </c>
      <c r="AV379" s="10" t="s">
        <v>433</v>
      </c>
      <c r="AW379" s="11">
        <v>1</v>
      </c>
      <c r="AZ379" s="11">
        <f ca="1">IFERROR(OFFSET(ITEM_RES!$A$1,MATCH(BA379,ITEM_RES!$J:$J,0)-1,0),0)</f>
        <v>211020801</v>
      </c>
      <c r="BA379" s="10" t="s">
        <v>435</v>
      </c>
      <c r="BB379" s="11">
        <v>1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  <c r="BO379" s="11">
        <f ca="1">IFERROR(OFFSET(ITEM_RES!$A$1,MATCH(BP379,ITEM_RES!$J:$J,0)-1,0),0)</f>
        <v>0</v>
      </c>
    </row>
    <row r="380" spans="1:67" x14ac:dyDescent="0.3">
      <c r="A380" s="14">
        <f t="shared" si="121"/>
        <v>112050016</v>
      </c>
      <c r="B380" s="13">
        <v>11</v>
      </c>
      <c r="C380" s="12">
        <f t="shared" si="122"/>
        <v>2</v>
      </c>
      <c r="D380" s="13">
        <v>5</v>
      </c>
      <c r="E380" s="13">
        <v>0</v>
      </c>
      <c r="F380" s="12">
        <f t="shared" si="123"/>
        <v>16</v>
      </c>
      <c r="H380" s="9">
        <v>2</v>
      </c>
      <c r="I380" s="9">
        <v>16</v>
      </c>
      <c r="K380" s="9" t="s">
        <v>363</v>
      </c>
      <c r="M380" s="9" t="s">
        <v>957</v>
      </c>
      <c r="N380" s="9" t="s">
        <v>975</v>
      </c>
      <c r="O380" s="9">
        <v>0</v>
      </c>
      <c r="P380" s="9">
        <v>15</v>
      </c>
      <c r="Q380" s="9" t="s">
        <v>783</v>
      </c>
      <c r="U380" s="9" t="s">
        <v>716</v>
      </c>
      <c r="W380" s="85" t="s">
        <v>552</v>
      </c>
      <c r="X380" s="9">
        <f ca="1">IFERROR(OFFSET(ITEM_RES!$A$5,MATCH(BUILDING!W380,ITEM_RES!$J$5:$J$226,0)-1,0),0)</f>
        <v>211020801</v>
      </c>
      <c r="Y380" s="11">
        <v>1</v>
      </c>
      <c r="Z380" s="85" t="s">
        <v>393</v>
      </c>
      <c r="AA380" s="9">
        <f ca="1">IFERROR(OFFSET(ITEM_RES!$A$5,MATCH(BUILDING!Z380,ITEM_RES!$J$5:$J$226,0)-1,0),0)</f>
        <v>211020901</v>
      </c>
      <c r="AC380" s="9" t="s">
        <v>524</v>
      </c>
      <c r="AD380" s="9">
        <v>16</v>
      </c>
      <c r="AF380" s="11">
        <f ca="1">IFERROR(OFFSET(MANOR_LEVEL!$B$1,MATCH(AG380-1,MANOR_LEVEL!$A:$A,0)-1,0),0)</f>
        <v>4232000</v>
      </c>
      <c r="AG380" s="56">
        <v>16</v>
      </c>
      <c r="AI380" s="56">
        <f t="shared" ca="1" si="126"/>
        <v>1400</v>
      </c>
      <c r="AJ380" s="10">
        <f ca="1">AO380+AQ380+(IFERROR(OFFSET(ITEM_RES!$S$1,MATCH(AU380,ITEM_RES!$A:$A,0)-1,0),0)*AW380+IFERROR(OFFSET(ITEM_RES!$S$1,MATCH(AZ380,ITEM_RES!$A:$A,0)-1,0),0)*BB380+IFERROR(OFFSET(ITEM_RES!$S$1,MATCH(BE380,ITEM_RES!$A:$A,0)-1,0),0)*BG380+IFERROR(OFFSET(ITEM_RES!$S$1,MATCH(BJ380,ITEM_RES!$A:$A,0)-1,0),0)*BL380+IFERROR(OFFSET(ITEM_RES!$S$1,MATCH(BO380,ITEM_RES!$A:$A,0)-1,0),0)*BQ380)/1000</f>
        <v>1400.3</v>
      </c>
      <c r="AK380" s="183">
        <f t="shared" ca="1" si="127"/>
        <v>2500</v>
      </c>
      <c r="AM380" s="11">
        <f t="shared" si="118"/>
        <v>80</v>
      </c>
      <c r="AN380" s="10">
        <v>80</v>
      </c>
      <c r="AO380" s="11">
        <f t="shared" si="124"/>
        <v>700</v>
      </c>
      <c r="AP380" s="10">
        <v>700</v>
      </c>
      <c r="AQ380" s="11">
        <f t="shared" si="124"/>
        <v>700</v>
      </c>
      <c r="AR380" s="10">
        <v>700</v>
      </c>
      <c r="AS380" s="56">
        <f t="shared" si="119"/>
        <v>2</v>
      </c>
      <c r="AU380" s="11">
        <f ca="1">IFERROR(OFFSET(ITEM_RES!$A$1,MATCH(AV380,ITEM_RES!$J:$J,0)-1,0),0)</f>
        <v>211020501</v>
      </c>
      <c r="AV380" s="10" t="s">
        <v>433</v>
      </c>
      <c r="AW380" s="11">
        <v>1</v>
      </c>
      <c r="AZ380" s="11">
        <f ca="1">IFERROR(OFFSET(ITEM_RES!$A$1,MATCH(BA380,ITEM_RES!$J:$J,0)-1,0),0)</f>
        <v>211020801</v>
      </c>
      <c r="BA380" s="10" t="s">
        <v>435</v>
      </c>
      <c r="BB380" s="11">
        <v>1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  <c r="BO380" s="11">
        <f ca="1">IFERROR(OFFSET(ITEM_RES!$A$1,MATCH(BP380,ITEM_RES!$J:$J,0)-1,0),0)</f>
        <v>0</v>
      </c>
    </row>
    <row r="381" spans="1:67" x14ac:dyDescent="0.3">
      <c r="A381" s="14">
        <f t="shared" si="121"/>
        <v>112050017</v>
      </c>
      <c r="B381" s="13">
        <v>11</v>
      </c>
      <c r="C381" s="12">
        <f t="shared" si="122"/>
        <v>2</v>
      </c>
      <c r="D381" s="13">
        <v>5</v>
      </c>
      <c r="E381" s="13">
        <v>0</v>
      </c>
      <c r="F381" s="12">
        <f t="shared" si="123"/>
        <v>17</v>
      </c>
      <c r="H381" s="9">
        <v>2</v>
      </c>
      <c r="I381" s="9">
        <v>17</v>
      </c>
      <c r="K381" s="9" t="s">
        <v>363</v>
      </c>
      <c r="M381" s="9" t="s">
        <v>957</v>
      </c>
      <c r="N381" s="9" t="s">
        <v>975</v>
      </c>
      <c r="O381" s="9">
        <v>0</v>
      </c>
      <c r="P381" s="9">
        <v>15</v>
      </c>
      <c r="Q381" s="9" t="s">
        <v>783</v>
      </c>
      <c r="U381" s="9" t="s">
        <v>716</v>
      </c>
      <c r="W381" s="85" t="s">
        <v>552</v>
      </c>
      <c r="X381" s="9">
        <f ca="1">IFERROR(OFFSET(ITEM_RES!$A$5,MATCH(BUILDING!W381,ITEM_RES!$J$5:$J$226,0)-1,0),0)</f>
        <v>211020801</v>
      </c>
      <c r="Y381" s="11">
        <v>1</v>
      </c>
      <c r="Z381" s="85" t="s">
        <v>393</v>
      </c>
      <c r="AA381" s="9">
        <f ca="1">IFERROR(OFFSET(ITEM_RES!$A$5,MATCH(BUILDING!Z381,ITEM_RES!$J$5:$J$226,0)-1,0),0)</f>
        <v>211020901</v>
      </c>
      <c r="AC381" s="9" t="s">
        <v>524</v>
      </c>
      <c r="AD381" s="9">
        <v>17</v>
      </c>
      <c r="AF381" s="11">
        <f ca="1">IFERROR(OFFSET(MANOR_LEVEL!$B$1,MATCH(AG381-1,MANOR_LEVEL!$A:$A,0)-1,0),0)</f>
        <v>4232000</v>
      </c>
      <c r="AG381" s="56">
        <v>16</v>
      </c>
      <c r="AI381" s="56">
        <f t="shared" ca="1" si="126"/>
        <v>1700</v>
      </c>
      <c r="AJ381" s="10">
        <f ca="1">AO381+AQ381+(IFERROR(OFFSET(ITEM_RES!$S$1,MATCH(AU381,ITEM_RES!$A:$A,0)-1,0),0)*AW381+IFERROR(OFFSET(ITEM_RES!$S$1,MATCH(AZ381,ITEM_RES!$A:$A,0)-1,0),0)*BB381+IFERROR(OFFSET(ITEM_RES!$S$1,MATCH(BE381,ITEM_RES!$A:$A,0)-1,0),0)*BG381+IFERROR(OFFSET(ITEM_RES!$S$1,MATCH(BJ381,ITEM_RES!$A:$A,0)-1,0),0)*BL381+IFERROR(OFFSET(ITEM_RES!$S$1,MATCH(BO381,ITEM_RES!$A:$A,0)-1,0),0)*BQ381)/1000</f>
        <v>1700.3</v>
      </c>
      <c r="AK381" s="183">
        <f t="shared" ca="1" si="127"/>
        <v>3100</v>
      </c>
      <c r="AM381" s="11">
        <f t="shared" si="118"/>
        <v>85</v>
      </c>
      <c r="AN381" s="10">
        <v>85</v>
      </c>
      <c r="AO381" s="11">
        <f t="shared" si="124"/>
        <v>850</v>
      </c>
      <c r="AP381" s="10">
        <v>850</v>
      </c>
      <c r="AQ381" s="11">
        <f t="shared" si="124"/>
        <v>850</v>
      </c>
      <c r="AR381" s="10">
        <v>850</v>
      </c>
      <c r="AS381" s="56">
        <f t="shared" si="119"/>
        <v>2</v>
      </c>
      <c r="AU381" s="11">
        <f ca="1">IFERROR(OFFSET(ITEM_RES!$A$1,MATCH(AV381,ITEM_RES!$J:$J,0)-1,0),0)</f>
        <v>211020501</v>
      </c>
      <c r="AV381" s="10" t="s">
        <v>433</v>
      </c>
      <c r="AW381" s="11">
        <v>1</v>
      </c>
      <c r="AZ381" s="11">
        <f ca="1">IFERROR(OFFSET(ITEM_RES!$A$1,MATCH(BA381,ITEM_RES!$J:$J,0)-1,0),0)</f>
        <v>211020801</v>
      </c>
      <c r="BA381" s="10" t="s">
        <v>435</v>
      </c>
      <c r="BB381" s="11">
        <v>1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  <c r="BO381" s="11">
        <f ca="1">IFERROR(OFFSET(ITEM_RES!$A$1,MATCH(BP381,ITEM_RES!$J:$J,0)-1,0),0)</f>
        <v>0</v>
      </c>
    </row>
    <row r="382" spans="1:67" x14ac:dyDescent="0.3">
      <c r="A382" s="14">
        <f t="shared" si="121"/>
        <v>112050018</v>
      </c>
      <c r="B382" s="13">
        <v>11</v>
      </c>
      <c r="C382" s="12">
        <f t="shared" si="122"/>
        <v>2</v>
      </c>
      <c r="D382" s="13">
        <v>5</v>
      </c>
      <c r="E382" s="13">
        <v>0</v>
      </c>
      <c r="F382" s="12">
        <f t="shared" si="123"/>
        <v>18</v>
      </c>
      <c r="H382" s="9">
        <v>2</v>
      </c>
      <c r="I382" s="9">
        <v>18</v>
      </c>
      <c r="K382" s="9" t="s">
        <v>363</v>
      </c>
      <c r="M382" s="9" t="s">
        <v>957</v>
      </c>
      <c r="N382" s="9" t="s">
        <v>975</v>
      </c>
      <c r="O382" s="9">
        <v>0</v>
      </c>
      <c r="P382" s="9">
        <v>15</v>
      </c>
      <c r="Q382" s="9" t="s">
        <v>783</v>
      </c>
      <c r="U382" s="9" t="s">
        <v>716</v>
      </c>
      <c r="W382" s="85" t="s">
        <v>552</v>
      </c>
      <c r="X382" s="9">
        <f ca="1">IFERROR(OFFSET(ITEM_RES!$A$5,MATCH(BUILDING!W382,ITEM_RES!$J$5:$J$226,0)-1,0),0)</f>
        <v>211020801</v>
      </c>
      <c r="Y382" s="11">
        <v>1</v>
      </c>
      <c r="Z382" s="85" t="s">
        <v>393</v>
      </c>
      <c r="AA382" s="9">
        <f ca="1">IFERROR(OFFSET(ITEM_RES!$A$5,MATCH(BUILDING!Z382,ITEM_RES!$J$5:$J$226,0)-1,0),0)</f>
        <v>211020901</v>
      </c>
      <c r="AC382" s="9" t="s">
        <v>524</v>
      </c>
      <c r="AD382" s="9">
        <v>18</v>
      </c>
      <c r="AF382" s="11">
        <f ca="1">IFERROR(OFFSET(MANOR_LEVEL!$B$1,MATCH(AG382-1,MANOR_LEVEL!$A:$A,0)-1,0),0)</f>
        <v>4232000</v>
      </c>
      <c r="AG382" s="56">
        <v>16</v>
      </c>
      <c r="AI382" s="56">
        <f t="shared" ca="1" si="126"/>
        <v>2100</v>
      </c>
      <c r="AJ382" s="10">
        <f ca="1">AO382+AQ382+(IFERROR(OFFSET(ITEM_RES!$S$1,MATCH(AU382,ITEM_RES!$A:$A,0)-1,0),0)*AW382+IFERROR(OFFSET(ITEM_RES!$S$1,MATCH(AZ382,ITEM_RES!$A:$A,0)-1,0),0)*BB382+IFERROR(OFFSET(ITEM_RES!$S$1,MATCH(BE382,ITEM_RES!$A:$A,0)-1,0),0)*BG382+IFERROR(OFFSET(ITEM_RES!$S$1,MATCH(BJ382,ITEM_RES!$A:$A,0)-1,0),0)*BL382+IFERROR(OFFSET(ITEM_RES!$S$1,MATCH(BO382,ITEM_RES!$A:$A,0)-1,0),0)*BQ382)/1000</f>
        <v>2100.3000000000002</v>
      </c>
      <c r="AK382" s="183">
        <f t="shared" ca="1" si="127"/>
        <v>3800</v>
      </c>
      <c r="AM382" s="11">
        <f t="shared" si="118"/>
        <v>90</v>
      </c>
      <c r="AN382" s="10">
        <v>90</v>
      </c>
      <c r="AO382" s="11">
        <f t="shared" si="124"/>
        <v>1050</v>
      </c>
      <c r="AP382" s="10">
        <v>1050</v>
      </c>
      <c r="AQ382" s="11">
        <f t="shared" si="124"/>
        <v>1050</v>
      </c>
      <c r="AR382" s="10">
        <v>1050</v>
      </c>
      <c r="AS382" s="56">
        <f t="shared" si="119"/>
        <v>2</v>
      </c>
      <c r="AU382" s="11">
        <f ca="1">IFERROR(OFFSET(ITEM_RES!$A$1,MATCH(AV382,ITEM_RES!$J:$J,0)-1,0),0)</f>
        <v>211020501</v>
      </c>
      <c r="AV382" s="10" t="s">
        <v>433</v>
      </c>
      <c r="AW382" s="11">
        <v>1</v>
      </c>
      <c r="AZ382" s="11">
        <f ca="1">IFERROR(OFFSET(ITEM_RES!$A$1,MATCH(BA382,ITEM_RES!$J:$J,0)-1,0),0)</f>
        <v>211020801</v>
      </c>
      <c r="BA382" s="10" t="s">
        <v>435</v>
      </c>
      <c r="BB382" s="11">
        <v>1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  <c r="BO382" s="11">
        <f ca="1">IFERROR(OFFSET(ITEM_RES!$A$1,MATCH(BP382,ITEM_RES!$J:$J,0)-1,0),0)</f>
        <v>0</v>
      </c>
    </row>
    <row r="383" spans="1:67" x14ac:dyDescent="0.3">
      <c r="A383" s="14">
        <f t="shared" si="121"/>
        <v>112050019</v>
      </c>
      <c r="B383" s="13">
        <v>11</v>
      </c>
      <c r="C383" s="12">
        <f t="shared" si="122"/>
        <v>2</v>
      </c>
      <c r="D383" s="13">
        <v>5</v>
      </c>
      <c r="E383" s="13">
        <v>0</v>
      </c>
      <c r="F383" s="12">
        <f t="shared" si="123"/>
        <v>19</v>
      </c>
      <c r="H383" s="9">
        <v>2</v>
      </c>
      <c r="I383" s="9">
        <v>19</v>
      </c>
      <c r="K383" s="9" t="s">
        <v>363</v>
      </c>
      <c r="M383" s="9" t="s">
        <v>957</v>
      </c>
      <c r="N383" s="9" t="s">
        <v>975</v>
      </c>
      <c r="O383" s="9">
        <v>0</v>
      </c>
      <c r="P383" s="9">
        <v>15</v>
      </c>
      <c r="Q383" s="9" t="s">
        <v>783</v>
      </c>
      <c r="U383" s="9" t="s">
        <v>716</v>
      </c>
      <c r="W383" s="85" t="s">
        <v>552</v>
      </c>
      <c r="X383" s="9">
        <f ca="1">IFERROR(OFFSET(ITEM_RES!$A$5,MATCH(BUILDING!W383,ITEM_RES!$J$5:$J$226,0)-1,0),0)</f>
        <v>211020801</v>
      </c>
      <c r="Y383" s="11">
        <v>1</v>
      </c>
      <c r="Z383" s="85" t="s">
        <v>393</v>
      </c>
      <c r="AA383" s="9">
        <f ca="1">IFERROR(OFFSET(ITEM_RES!$A$5,MATCH(BUILDING!Z383,ITEM_RES!$J$5:$J$226,0)-1,0),0)</f>
        <v>211020901</v>
      </c>
      <c r="AC383" s="9" t="s">
        <v>524</v>
      </c>
      <c r="AD383" s="9">
        <v>19</v>
      </c>
      <c r="AF383" s="11">
        <f ca="1">IFERROR(OFFSET(MANOR_LEVEL!$B$1,MATCH(AG383-1,MANOR_LEVEL!$A:$A,0)-1,0),0)</f>
        <v>4232000</v>
      </c>
      <c r="AG383" s="56">
        <v>16</v>
      </c>
      <c r="AI383" s="56">
        <f t="shared" ca="1" si="126"/>
        <v>2500</v>
      </c>
      <c r="AJ383" s="10">
        <f ca="1">AO383+AQ383+(IFERROR(OFFSET(ITEM_RES!$S$1,MATCH(AU383,ITEM_RES!$A:$A,0)-1,0),0)*AW383+IFERROR(OFFSET(ITEM_RES!$S$1,MATCH(AZ383,ITEM_RES!$A:$A,0)-1,0),0)*BB383+IFERROR(OFFSET(ITEM_RES!$S$1,MATCH(BE383,ITEM_RES!$A:$A,0)-1,0),0)*BG383+IFERROR(OFFSET(ITEM_RES!$S$1,MATCH(BJ383,ITEM_RES!$A:$A,0)-1,0),0)*BL383+IFERROR(OFFSET(ITEM_RES!$S$1,MATCH(BO383,ITEM_RES!$A:$A,0)-1,0),0)*BQ383)/1000</f>
        <v>2500.3000000000002</v>
      </c>
      <c r="AK383" s="183">
        <f t="shared" ca="1" si="127"/>
        <v>4600</v>
      </c>
      <c r="AM383" s="11">
        <f t="shared" si="118"/>
        <v>95</v>
      </c>
      <c r="AN383" s="10">
        <v>95</v>
      </c>
      <c r="AO383" s="11">
        <f t="shared" si="124"/>
        <v>1250</v>
      </c>
      <c r="AP383" s="10">
        <v>1250</v>
      </c>
      <c r="AQ383" s="11">
        <f t="shared" si="124"/>
        <v>1250</v>
      </c>
      <c r="AR383" s="10">
        <v>1250</v>
      </c>
      <c r="AS383" s="56">
        <f t="shared" si="119"/>
        <v>2</v>
      </c>
      <c r="AU383" s="11">
        <f ca="1">IFERROR(OFFSET(ITEM_RES!$A$1,MATCH(AV383,ITEM_RES!$J:$J,0)-1,0),0)</f>
        <v>211020501</v>
      </c>
      <c r="AV383" s="10" t="s">
        <v>433</v>
      </c>
      <c r="AW383" s="11">
        <v>1</v>
      </c>
      <c r="AZ383" s="11">
        <f ca="1">IFERROR(OFFSET(ITEM_RES!$A$1,MATCH(BA383,ITEM_RES!$J:$J,0)-1,0),0)</f>
        <v>211020801</v>
      </c>
      <c r="BA383" s="10" t="s">
        <v>435</v>
      </c>
      <c r="BB383" s="11">
        <v>1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  <c r="BO383" s="11">
        <f ca="1">IFERROR(OFFSET(ITEM_RES!$A$1,MATCH(BP383,ITEM_RES!$J:$J,0)-1,0),0)</f>
        <v>0</v>
      </c>
    </row>
    <row r="384" spans="1:67" ht="17.25" thickBot="1" x14ac:dyDescent="0.35">
      <c r="A384" s="14">
        <f t="shared" si="121"/>
        <v>112050020</v>
      </c>
      <c r="B384" s="13">
        <v>11</v>
      </c>
      <c r="C384" s="12">
        <f t="shared" si="122"/>
        <v>2</v>
      </c>
      <c r="D384" s="13">
        <v>5</v>
      </c>
      <c r="E384" s="13">
        <v>0</v>
      </c>
      <c r="F384" s="12">
        <f t="shared" si="123"/>
        <v>20</v>
      </c>
      <c r="H384" s="9">
        <v>2</v>
      </c>
      <c r="I384" s="9">
        <v>20</v>
      </c>
      <c r="K384" s="9" t="s">
        <v>363</v>
      </c>
      <c r="M384" s="9" t="s">
        <v>957</v>
      </c>
      <c r="N384" s="9" t="s">
        <v>975</v>
      </c>
      <c r="O384" s="9">
        <v>0</v>
      </c>
      <c r="P384" s="9">
        <v>15</v>
      </c>
      <c r="Q384" s="9" t="s">
        <v>783</v>
      </c>
      <c r="U384" s="9" t="s">
        <v>716</v>
      </c>
      <c r="W384" s="85" t="s">
        <v>552</v>
      </c>
      <c r="X384" s="9">
        <f ca="1">IFERROR(OFFSET(ITEM_RES!$A$5,MATCH(BUILDING!W384,ITEM_RES!$J$5:$J$226,0)-1,0),0)</f>
        <v>211020801</v>
      </c>
      <c r="Y384" s="11">
        <v>1</v>
      </c>
      <c r="Z384" s="85" t="s">
        <v>393</v>
      </c>
      <c r="AA384" s="9">
        <f ca="1">IFERROR(OFFSET(ITEM_RES!$A$5,MATCH(BUILDING!Z384,ITEM_RES!$J$5:$J$226,0)-1,0),0)</f>
        <v>211020901</v>
      </c>
      <c r="AC384" s="9" t="s">
        <v>524</v>
      </c>
      <c r="AD384" s="9">
        <v>20</v>
      </c>
      <c r="AF384" s="11">
        <f ca="1">IFERROR(OFFSET(MANOR_LEVEL!$B$1,MATCH(AG384-1,MANOR_LEVEL!$A:$A,0)-1,0),0)</f>
        <v>4232000</v>
      </c>
      <c r="AG384" s="56">
        <v>16</v>
      </c>
      <c r="AI384" s="56">
        <f t="shared" ca="1" si="126"/>
        <v>3000</v>
      </c>
      <c r="AJ384" s="10">
        <f ca="1">AO384+AQ384+(IFERROR(OFFSET(ITEM_RES!$S$1,MATCH(AU384,ITEM_RES!$A:$A,0)-1,0),0)*AW384+IFERROR(OFFSET(ITEM_RES!$S$1,MATCH(AZ384,ITEM_RES!$A:$A,0)-1,0),0)*BB384+IFERROR(OFFSET(ITEM_RES!$S$1,MATCH(BE384,ITEM_RES!$A:$A,0)-1,0),0)*BG384+IFERROR(OFFSET(ITEM_RES!$S$1,MATCH(BJ384,ITEM_RES!$A:$A,0)-1,0),0)*BL384+IFERROR(OFFSET(ITEM_RES!$S$1,MATCH(BO384,ITEM_RES!$A:$A,0)-1,0),0)*BQ384)/1000</f>
        <v>3000.3</v>
      </c>
      <c r="AK384" s="183">
        <f t="shared" ca="1" si="127"/>
        <v>5500</v>
      </c>
      <c r="AM384" s="11">
        <f t="shared" si="118"/>
        <v>100</v>
      </c>
      <c r="AN384" s="10">
        <v>100</v>
      </c>
      <c r="AO384" s="11">
        <f t="shared" si="124"/>
        <v>1500</v>
      </c>
      <c r="AP384" s="10">
        <v>1500</v>
      </c>
      <c r="AQ384" s="11">
        <f t="shared" si="124"/>
        <v>1500</v>
      </c>
      <c r="AR384" s="10">
        <v>1500</v>
      </c>
      <c r="AS384" s="56">
        <f t="shared" si="119"/>
        <v>2</v>
      </c>
      <c r="AU384" s="11">
        <f ca="1">IFERROR(OFFSET(ITEM_RES!$A$1,MATCH(AV384,ITEM_RES!$J:$J,0)-1,0),0)</f>
        <v>211020501</v>
      </c>
      <c r="AV384" s="10" t="s">
        <v>433</v>
      </c>
      <c r="AW384" s="11">
        <v>1</v>
      </c>
      <c r="AZ384" s="11">
        <f ca="1">IFERROR(OFFSET(ITEM_RES!$A$1,MATCH(BA384,ITEM_RES!$J:$J,0)-1,0),0)</f>
        <v>211020801</v>
      </c>
      <c r="BA384" s="10" t="s">
        <v>435</v>
      </c>
      <c r="BB384" s="11">
        <v>1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  <c r="BO384" s="11">
        <f ca="1">IFERROR(OFFSET(ITEM_RES!$A$1,MATCH(BP384,ITEM_RES!$J:$J,0)-1,0),0)</f>
        <v>0</v>
      </c>
    </row>
    <row r="385" spans="1:70" s="15" customFormat="1" x14ac:dyDescent="0.3">
      <c r="A385" s="21">
        <f t="shared" si="121"/>
        <v>111090001</v>
      </c>
      <c r="B385" s="20">
        <v>11</v>
      </c>
      <c r="C385" s="19">
        <f t="shared" si="122"/>
        <v>1</v>
      </c>
      <c r="D385" s="20">
        <v>9</v>
      </c>
      <c r="E385" s="20">
        <v>0</v>
      </c>
      <c r="F385" s="19">
        <f t="shared" si="123"/>
        <v>1</v>
      </c>
      <c r="G385" s="79"/>
      <c r="H385" s="16">
        <v>1</v>
      </c>
      <c r="I385" s="16">
        <v>1</v>
      </c>
      <c r="J385" s="79"/>
      <c r="K385" s="16" t="s">
        <v>370</v>
      </c>
      <c r="L385" s="16">
        <v>1</v>
      </c>
      <c r="M385" s="16" t="s">
        <v>958</v>
      </c>
      <c r="N385" s="16" t="s">
        <v>976</v>
      </c>
      <c r="O385" s="16">
        <v>1</v>
      </c>
      <c r="P385" s="16">
        <v>15</v>
      </c>
      <c r="Q385" s="16" t="s">
        <v>781</v>
      </c>
      <c r="R385" s="17"/>
      <c r="S385" s="17"/>
      <c r="T385" s="18"/>
      <c r="U385" s="16" t="s">
        <v>722</v>
      </c>
      <c r="V385" s="79"/>
      <c r="W385" s="87"/>
      <c r="X385" s="16">
        <f ca="1">IFERROR(OFFSET(ITEM_RES!$A$5,MATCH(BUILDING!W385,ITEM_RES!$J$5:$J$226,0)-1,0),0)</f>
        <v>0</v>
      </c>
      <c r="Y385" s="18"/>
      <c r="Z385" s="87" t="s">
        <v>547</v>
      </c>
      <c r="AA385" s="16">
        <f ca="1">IFERROR(OFFSET(ITEM_RES!$A$5,MATCH(BUILDING!Z385,ITEM_RES!$J$5:$J$226,0)-1,0),0)</f>
        <v>211020201</v>
      </c>
      <c r="AB385" s="79"/>
      <c r="AC385" s="16" t="s">
        <v>525</v>
      </c>
      <c r="AD385" s="16">
        <v>1</v>
      </c>
      <c r="AE385" s="79"/>
      <c r="AF385" s="18">
        <f ca="1">IFERROR(OFFSET(MANOR_LEVEL!$B$1,MATCH(AG385-1,MANOR_LEVEL!$A:$A,0)-1,0),0)</f>
        <v>0</v>
      </c>
      <c r="AG385" s="57">
        <v>1</v>
      </c>
      <c r="AH385" s="79"/>
      <c r="AI385" s="57">
        <f t="shared" ca="1" si="126"/>
        <v>111</v>
      </c>
      <c r="AJ385" s="17">
        <f ca="1">AO385+AQ385+(IFERROR(OFFSET(ITEM_RES!$S$1,MATCH(AU385,ITEM_RES!$A:$A,0)-1,0),0)*AW385+IFERROR(OFFSET(ITEM_RES!$S$1,MATCH(AZ385,ITEM_RES!$A:$A,0)-1,0),0)*BB385+IFERROR(OFFSET(ITEM_RES!$S$1,MATCH(BE385,ITEM_RES!$A:$A,0)-1,0),0)*BG385+IFERROR(OFFSET(ITEM_RES!$S$1,MATCH(BJ385,ITEM_RES!$A:$A,0)-1,0),0)*BL385+IFERROR(OFFSET(ITEM_RES!$S$1,MATCH(BO385,ITEM_RES!$A:$A,0)-1,0),0)*BQ385)/1000</f>
        <v>110.6</v>
      </c>
      <c r="AK385" s="185">
        <f ca="1">AI385</f>
        <v>111</v>
      </c>
      <c r="AL385" s="79"/>
      <c r="AM385" s="18">
        <f t="shared" ref="AM385:AM428" si="128">ROUND(AN385,0)</f>
        <v>5</v>
      </c>
      <c r="AN385" s="17">
        <v>5</v>
      </c>
      <c r="AO385" s="18">
        <f t="shared" si="124"/>
        <v>5</v>
      </c>
      <c r="AP385" s="17">
        <v>5</v>
      </c>
      <c r="AQ385" s="18">
        <f t="shared" si="124"/>
        <v>5</v>
      </c>
      <c r="AR385" s="17">
        <v>5</v>
      </c>
      <c r="AS385" s="57">
        <f t="shared" si="119"/>
        <v>3</v>
      </c>
      <c r="AT385" s="18"/>
      <c r="AU385" s="18">
        <f ca="1">IFERROR(OFFSET(ITEM_RES!$A$1,MATCH(AV385,ITEM_RES!$J:$J,0)-1,0),0)</f>
        <v>211010501</v>
      </c>
      <c r="AV385" s="17" t="s">
        <v>427</v>
      </c>
      <c r="AW385" s="18">
        <v>20</v>
      </c>
      <c r="AX385" s="17"/>
      <c r="AY385" s="18"/>
      <c r="AZ385" s="18">
        <f ca="1">IFERROR(OFFSET(ITEM_RES!$A$1,MATCH(BA385,ITEM_RES!$J:$J,0)-1,0),0)</f>
        <v>211020101</v>
      </c>
      <c r="BA385" s="17" t="s">
        <v>448</v>
      </c>
      <c r="BB385" s="18">
        <v>20</v>
      </c>
      <c r="BC385" s="17"/>
      <c r="BD385" s="18"/>
      <c r="BE385" s="18">
        <f ca="1">IFERROR(OFFSET(ITEM_RES!$A$1,MATCH(BF385,ITEM_RES!$J:$J,0)-1,0),0)</f>
        <v>213010101</v>
      </c>
      <c r="BF385" s="17" t="s">
        <v>452</v>
      </c>
      <c r="BG385" s="18">
        <v>1</v>
      </c>
      <c r="BH385" s="17"/>
      <c r="BI385" s="18"/>
      <c r="BJ385" s="18">
        <f ca="1">IFERROR(OFFSET(ITEM_RES!$A$1,MATCH(BK385,ITEM_RES!$J:$J,0)-1,0),0)</f>
        <v>0</v>
      </c>
      <c r="BK385" s="17"/>
      <c r="BL385" s="18"/>
      <c r="BM385" s="17"/>
      <c r="BN385" s="18"/>
      <c r="BO385" s="18">
        <f ca="1">IFERROR(OFFSET(ITEM_RES!$A$1,MATCH(BP385,ITEM_RES!$J:$J,0)-1,0),0)</f>
        <v>0</v>
      </c>
      <c r="BP385" s="17"/>
      <c r="BQ385" s="18"/>
      <c r="BR385" s="17"/>
    </row>
    <row r="386" spans="1:70" x14ac:dyDescent="0.3">
      <c r="A386" s="14">
        <f t="shared" si="121"/>
        <v>111090002</v>
      </c>
      <c r="B386" s="13">
        <v>11</v>
      </c>
      <c r="C386" s="12">
        <f t="shared" si="122"/>
        <v>1</v>
      </c>
      <c r="D386" s="13">
        <v>9</v>
      </c>
      <c r="E386" s="13">
        <v>0</v>
      </c>
      <c r="F386" s="12">
        <f t="shared" si="123"/>
        <v>2</v>
      </c>
      <c r="H386" s="9">
        <v>1</v>
      </c>
      <c r="I386" s="9">
        <v>2</v>
      </c>
      <c r="K386" s="9" t="s">
        <v>370</v>
      </c>
      <c r="M386" s="9" t="s">
        <v>958</v>
      </c>
      <c r="N386" s="9" t="s">
        <v>976</v>
      </c>
      <c r="O386" s="9">
        <v>1</v>
      </c>
      <c r="P386" s="9">
        <v>15</v>
      </c>
      <c r="Q386" s="9" t="s">
        <v>781</v>
      </c>
      <c r="U386" s="9" t="s">
        <v>722</v>
      </c>
      <c r="X386" s="9">
        <f ca="1">IFERROR(OFFSET(ITEM_RES!$A$5,MATCH(BUILDING!W386,ITEM_RES!$J$5:$J$226,0)-1,0),0)</f>
        <v>0</v>
      </c>
      <c r="Z386" s="85" t="s">
        <v>547</v>
      </c>
      <c r="AA386" s="9">
        <f ca="1">IFERROR(OFFSET(ITEM_RES!$A$5,MATCH(BUILDING!Z386,ITEM_RES!$J$5:$J$226,0)-1,0),0)</f>
        <v>211020201</v>
      </c>
      <c r="AC386" s="9" t="s">
        <v>525</v>
      </c>
      <c r="AD386" s="9">
        <v>2</v>
      </c>
      <c r="AF386" s="11">
        <f ca="1">IFERROR(OFFSET(MANOR_LEVEL!$B$1,MATCH(AG386-1,MANOR_LEVEL!$A:$A,0)-1,0),0)</f>
        <v>0</v>
      </c>
      <c r="AG386" s="56">
        <v>1</v>
      </c>
      <c r="AI386" s="56">
        <f t="shared" ca="1" si="126"/>
        <v>21</v>
      </c>
      <c r="AJ386" s="10">
        <f ca="1">AO386+AQ386+(IFERROR(OFFSET(ITEM_RES!$S$1,MATCH(AU386,ITEM_RES!$A:$A,0)-1,0),0)*AW386+IFERROR(OFFSET(ITEM_RES!$S$1,MATCH(AZ386,ITEM_RES!$A:$A,0)-1,0),0)*BB386+IFERROR(OFFSET(ITEM_RES!$S$1,MATCH(BE386,ITEM_RES!$A:$A,0)-1,0),0)*BG386+IFERROR(OFFSET(ITEM_RES!$S$1,MATCH(BJ386,ITEM_RES!$A:$A,0)-1,0),0)*BL386+IFERROR(OFFSET(ITEM_RES!$S$1,MATCH(BO386,ITEM_RES!$A:$A,0)-1,0),0)*BQ386)/1000</f>
        <v>20.6</v>
      </c>
      <c r="AK386" s="183">
        <f ca="1">AI385+AI386</f>
        <v>132</v>
      </c>
      <c r="AM386" s="11">
        <f t="shared" si="128"/>
        <v>10</v>
      </c>
      <c r="AN386" s="10">
        <v>10</v>
      </c>
      <c r="AO386" s="11">
        <f t="shared" si="124"/>
        <v>10</v>
      </c>
      <c r="AP386" s="10">
        <v>10</v>
      </c>
      <c r="AQ386" s="11">
        <f t="shared" si="124"/>
        <v>10</v>
      </c>
      <c r="AR386" s="10">
        <v>10</v>
      </c>
      <c r="AS386" s="56">
        <f t="shared" ref="AS386:AS429" si="129">(AW386&gt;0)*1+(BB386&gt;0)*1+(BG386&gt;0)*1+(BL386&gt;0)*1+(BQ386&gt;0)*1</f>
        <v>2</v>
      </c>
      <c r="AU386" s="11">
        <f ca="1">IFERROR(OFFSET(ITEM_RES!$A$1,MATCH(AV386,ITEM_RES!$J:$J,0)-1,0),0)</f>
        <v>211010501</v>
      </c>
      <c r="AV386" s="10" t="s">
        <v>427</v>
      </c>
      <c r="AW386" s="11">
        <v>20</v>
      </c>
      <c r="AZ386" s="11">
        <f ca="1">IFERROR(OFFSET(ITEM_RES!$A$1,MATCH(BA386,ITEM_RES!$J:$J,0)-1,0),0)</f>
        <v>211020101</v>
      </c>
      <c r="BA386" s="10" t="s">
        <v>448</v>
      </c>
      <c r="BB386" s="11">
        <v>20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  <c r="BO386" s="11">
        <f ca="1">IFERROR(OFFSET(ITEM_RES!$A$1,MATCH(BP386,ITEM_RES!$J:$J,0)-1,0),0)</f>
        <v>0</v>
      </c>
    </row>
    <row r="387" spans="1:70" x14ac:dyDescent="0.3">
      <c r="A387" s="14">
        <f t="shared" si="121"/>
        <v>111090003</v>
      </c>
      <c r="B387" s="13">
        <v>11</v>
      </c>
      <c r="C387" s="12">
        <f t="shared" si="122"/>
        <v>1</v>
      </c>
      <c r="D387" s="13">
        <v>9</v>
      </c>
      <c r="E387" s="13">
        <v>0</v>
      </c>
      <c r="F387" s="12">
        <f t="shared" si="123"/>
        <v>3</v>
      </c>
      <c r="H387" s="9">
        <v>1</v>
      </c>
      <c r="I387" s="9">
        <v>3</v>
      </c>
      <c r="K387" s="9" t="s">
        <v>370</v>
      </c>
      <c r="M387" s="9" t="s">
        <v>958</v>
      </c>
      <c r="N387" s="9" t="s">
        <v>976</v>
      </c>
      <c r="O387" s="9">
        <v>1</v>
      </c>
      <c r="P387" s="9">
        <v>15</v>
      </c>
      <c r="Q387" s="9" t="s">
        <v>781</v>
      </c>
      <c r="U387" s="9" t="s">
        <v>722</v>
      </c>
      <c r="X387" s="9">
        <f ca="1">IFERROR(OFFSET(ITEM_RES!$A$5,MATCH(BUILDING!W387,ITEM_RES!$J$5:$J$226,0)-1,0),0)</f>
        <v>0</v>
      </c>
      <c r="Z387" s="85" t="s">
        <v>547</v>
      </c>
      <c r="AA387" s="9">
        <f ca="1">IFERROR(OFFSET(ITEM_RES!$A$5,MATCH(BUILDING!Z387,ITEM_RES!$J$5:$J$226,0)-1,0),0)</f>
        <v>211020201</v>
      </c>
      <c r="AC387" s="9" t="s">
        <v>525</v>
      </c>
      <c r="AD387" s="9">
        <v>3</v>
      </c>
      <c r="AF387" s="11">
        <f ca="1">IFERROR(OFFSET(MANOR_LEVEL!$B$1,MATCH(AG387-1,MANOR_LEVEL!$A:$A,0)-1,0),0)</f>
        <v>0</v>
      </c>
      <c r="AG387" s="56">
        <v>1</v>
      </c>
      <c r="AI387" s="56">
        <f t="shared" ca="1" si="126"/>
        <v>35</v>
      </c>
      <c r="AJ387" s="10">
        <f ca="1">AO387+AQ387+(IFERROR(OFFSET(ITEM_RES!$S$1,MATCH(AU387,ITEM_RES!$A:$A,0)-1,0),0)*AW387+IFERROR(OFFSET(ITEM_RES!$S$1,MATCH(AZ387,ITEM_RES!$A:$A,0)-1,0),0)*BB387+IFERROR(OFFSET(ITEM_RES!$S$1,MATCH(BE387,ITEM_RES!$A:$A,0)-1,0),0)*BG387+IFERROR(OFFSET(ITEM_RES!$S$1,MATCH(BJ387,ITEM_RES!$A:$A,0)-1,0),0)*BL387+IFERROR(OFFSET(ITEM_RES!$S$1,MATCH(BO387,ITEM_RES!$A:$A,0)-1,0),0)*BQ387)/1000</f>
        <v>34.799999999999997</v>
      </c>
      <c r="AK387" s="183">
        <f t="shared" ref="AK387:AK404" ca="1" si="130">AI386+AI387</f>
        <v>56</v>
      </c>
      <c r="AM387" s="11">
        <f t="shared" si="128"/>
        <v>15</v>
      </c>
      <c r="AN387" s="10">
        <v>15</v>
      </c>
      <c r="AO387" s="11">
        <f t="shared" si="124"/>
        <v>15</v>
      </c>
      <c r="AP387" s="10">
        <v>15</v>
      </c>
      <c r="AQ387" s="11">
        <f t="shared" si="124"/>
        <v>15</v>
      </c>
      <c r="AR387" s="10">
        <v>15</v>
      </c>
      <c r="AS387" s="56">
        <f t="shared" si="129"/>
        <v>2</v>
      </c>
      <c r="AU387" s="11">
        <f ca="1">IFERROR(OFFSET(ITEM_RES!$A$1,MATCH(AV387,ITEM_RES!$J:$J,0)-1,0),0)</f>
        <v>211010501</v>
      </c>
      <c r="AV387" s="10" t="s">
        <v>427</v>
      </c>
      <c r="AW387" s="11">
        <v>160</v>
      </c>
      <c r="AZ387" s="11">
        <f ca="1">IFERROR(OFFSET(ITEM_RES!$A$1,MATCH(BA387,ITEM_RES!$J:$J,0)-1,0),0)</f>
        <v>211020101</v>
      </c>
      <c r="BA387" s="10" t="s">
        <v>448</v>
      </c>
      <c r="BB387" s="11">
        <v>160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  <c r="BO387" s="11">
        <f ca="1">IFERROR(OFFSET(ITEM_RES!$A$1,MATCH(BP387,ITEM_RES!$J:$J,0)-1,0),0)</f>
        <v>0</v>
      </c>
    </row>
    <row r="388" spans="1:70" x14ac:dyDescent="0.3">
      <c r="A388" s="14">
        <f t="shared" si="121"/>
        <v>111090004</v>
      </c>
      <c r="B388" s="13">
        <v>11</v>
      </c>
      <c r="C388" s="12">
        <f t="shared" si="122"/>
        <v>1</v>
      </c>
      <c r="D388" s="13">
        <v>9</v>
      </c>
      <c r="E388" s="13">
        <v>0</v>
      </c>
      <c r="F388" s="12">
        <f t="shared" si="123"/>
        <v>4</v>
      </c>
      <c r="H388" s="9">
        <v>1</v>
      </c>
      <c r="I388" s="9">
        <v>4</v>
      </c>
      <c r="K388" s="9" t="s">
        <v>370</v>
      </c>
      <c r="M388" s="9" t="s">
        <v>958</v>
      </c>
      <c r="N388" s="9" t="s">
        <v>976</v>
      </c>
      <c r="O388" s="9">
        <v>1</v>
      </c>
      <c r="P388" s="9">
        <v>15</v>
      </c>
      <c r="Q388" s="9" t="s">
        <v>781</v>
      </c>
      <c r="U388" s="9" t="s">
        <v>722</v>
      </c>
      <c r="X388" s="9">
        <f ca="1">IFERROR(OFFSET(ITEM_RES!$A$5,MATCH(BUILDING!W388,ITEM_RES!$J$5:$J$226,0)-1,0),0)</f>
        <v>0</v>
      </c>
      <c r="Z388" s="85" t="s">
        <v>547</v>
      </c>
      <c r="AA388" s="9">
        <f ca="1">IFERROR(OFFSET(ITEM_RES!$A$5,MATCH(BUILDING!Z388,ITEM_RES!$J$5:$J$226,0)-1,0),0)</f>
        <v>211020201</v>
      </c>
      <c r="AC388" s="9" t="s">
        <v>525</v>
      </c>
      <c r="AD388" s="9">
        <v>4</v>
      </c>
      <c r="AF388" s="11">
        <f ca="1">IFERROR(OFFSET(MANOR_LEVEL!$B$1,MATCH(AG388-1,MANOR_LEVEL!$A:$A,0)-1,0),0)</f>
        <v>0</v>
      </c>
      <c r="AG388" s="56">
        <v>1</v>
      </c>
      <c r="AI388" s="56">
        <f t="shared" ca="1" si="126"/>
        <v>108</v>
      </c>
      <c r="AJ388" s="10">
        <f ca="1">AO388+AQ388+(IFERROR(OFFSET(ITEM_RES!$S$1,MATCH(AU388,ITEM_RES!$A:$A,0)-1,0),0)*AW388+IFERROR(OFFSET(ITEM_RES!$S$1,MATCH(AZ388,ITEM_RES!$A:$A,0)-1,0),0)*BB388+IFERROR(OFFSET(ITEM_RES!$S$1,MATCH(BE388,ITEM_RES!$A:$A,0)-1,0),0)*BG388+IFERROR(OFFSET(ITEM_RES!$S$1,MATCH(BJ388,ITEM_RES!$A:$A,0)-1,0),0)*BL388+IFERROR(OFFSET(ITEM_RES!$S$1,MATCH(BO388,ITEM_RES!$A:$A,0)-1,0),0)*BQ388)/1000</f>
        <v>107.6</v>
      </c>
      <c r="AK388" s="183">
        <f t="shared" ca="1" si="130"/>
        <v>143</v>
      </c>
      <c r="AM388" s="11">
        <f t="shared" si="128"/>
        <v>20</v>
      </c>
      <c r="AN388" s="10">
        <v>20</v>
      </c>
      <c r="AO388" s="11">
        <f t="shared" si="124"/>
        <v>25</v>
      </c>
      <c r="AP388" s="10">
        <v>25</v>
      </c>
      <c r="AQ388" s="11">
        <f t="shared" si="124"/>
        <v>25</v>
      </c>
      <c r="AR388" s="10">
        <v>25</v>
      </c>
      <c r="AS388" s="56">
        <f t="shared" si="129"/>
        <v>2</v>
      </c>
      <c r="AU388" s="11">
        <f ca="1">IFERROR(OFFSET(ITEM_RES!$A$1,MATCH(AV388,ITEM_RES!$J:$J,0)-1,0),0)</f>
        <v>211010501</v>
      </c>
      <c r="AV388" s="10" t="s">
        <v>427</v>
      </c>
      <c r="AW388" s="11">
        <v>1920</v>
      </c>
      <c r="AZ388" s="11">
        <f ca="1">IFERROR(OFFSET(ITEM_RES!$A$1,MATCH(BA388,ITEM_RES!$J:$J,0)-1,0),0)</f>
        <v>211020101</v>
      </c>
      <c r="BA388" s="10" t="s">
        <v>448</v>
      </c>
      <c r="BB388" s="11">
        <v>1920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  <c r="BO388" s="11">
        <f ca="1">IFERROR(OFFSET(ITEM_RES!$A$1,MATCH(BP388,ITEM_RES!$J:$J,0)-1,0),0)</f>
        <v>0</v>
      </c>
    </row>
    <row r="389" spans="1:70" x14ac:dyDescent="0.3">
      <c r="A389" s="14">
        <f t="shared" si="121"/>
        <v>111090005</v>
      </c>
      <c r="B389" s="13">
        <v>11</v>
      </c>
      <c r="C389" s="12">
        <f t="shared" si="122"/>
        <v>1</v>
      </c>
      <c r="D389" s="13">
        <v>9</v>
      </c>
      <c r="E389" s="13">
        <v>0</v>
      </c>
      <c r="F389" s="12">
        <f t="shared" si="123"/>
        <v>5</v>
      </c>
      <c r="H389" s="9">
        <v>1</v>
      </c>
      <c r="I389" s="9">
        <v>5</v>
      </c>
      <c r="K389" s="9" t="s">
        <v>370</v>
      </c>
      <c r="M389" s="9" t="s">
        <v>958</v>
      </c>
      <c r="N389" s="9" t="s">
        <v>976</v>
      </c>
      <c r="O389" s="9">
        <v>1</v>
      </c>
      <c r="P389" s="9">
        <v>15</v>
      </c>
      <c r="Q389" s="9" t="s">
        <v>781</v>
      </c>
      <c r="U389" s="9" t="s">
        <v>722</v>
      </c>
      <c r="X389" s="9">
        <f ca="1">IFERROR(OFFSET(ITEM_RES!$A$5,MATCH(BUILDING!W389,ITEM_RES!$J$5:$J$226,0)-1,0),0)</f>
        <v>0</v>
      </c>
      <c r="Z389" s="85" t="s">
        <v>547</v>
      </c>
      <c r="AA389" s="9">
        <f ca="1">IFERROR(OFFSET(ITEM_RES!$A$5,MATCH(BUILDING!Z389,ITEM_RES!$J$5:$J$226,0)-1,0),0)</f>
        <v>211020201</v>
      </c>
      <c r="AC389" s="9" t="s">
        <v>525</v>
      </c>
      <c r="AD389" s="9">
        <v>5</v>
      </c>
      <c r="AF389" s="11">
        <f ca="1">IFERROR(OFFSET(MANOR_LEVEL!$B$1,MATCH(AG389-1,MANOR_LEVEL!$A:$A,0)-1,0),0)</f>
        <v>0</v>
      </c>
      <c r="AG389" s="56">
        <v>1</v>
      </c>
      <c r="AI389" s="56">
        <f t="shared" ca="1" si="126"/>
        <v>860</v>
      </c>
      <c r="AJ389" s="10">
        <f ca="1">AO389+AQ389+(IFERROR(OFFSET(ITEM_RES!$S$1,MATCH(AU389,ITEM_RES!$A:$A,0)-1,0),0)*AW389+IFERROR(OFFSET(ITEM_RES!$S$1,MATCH(AZ389,ITEM_RES!$A:$A,0)-1,0),0)*BB389+IFERROR(OFFSET(ITEM_RES!$S$1,MATCH(BE389,ITEM_RES!$A:$A,0)-1,0),0)*BG389+IFERROR(OFFSET(ITEM_RES!$S$1,MATCH(BJ389,ITEM_RES!$A:$A,0)-1,0),0)*BL389+IFERROR(OFFSET(ITEM_RES!$S$1,MATCH(BO389,ITEM_RES!$A:$A,0)-1,0),0)*BQ389)/1000</f>
        <v>860</v>
      </c>
      <c r="AK389" s="183">
        <f t="shared" ca="1" si="130"/>
        <v>968</v>
      </c>
      <c r="AM389" s="11">
        <f t="shared" si="128"/>
        <v>25</v>
      </c>
      <c r="AN389" s="10">
        <v>25</v>
      </c>
      <c r="AO389" s="11">
        <f t="shared" si="124"/>
        <v>40</v>
      </c>
      <c r="AP389" s="10">
        <v>40</v>
      </c>
      <c r="AQ389" s="11">
        <f t="shared" si="124"/>
        <v>40</v>
      </c>
      <c r="AR389" s="10">
        <v>40</v>
      </c>
      <c r="AS389" s="56">
        <f t="shared" si="129"/>
        <v>2</v>
      </c>
      <c r="AU389" s="11">
        <f ca="1">IFERROR(OFFSET(ITEM_RES!$A$1,MATCH(AV389,ITEM_RES!$J:$J,0)-1,0),0)</f>
        <v>211010501</v>
      </c>
      <c r="AV389" s="10" t="s">
        <v>427</v>
      </c>
      <c r="AW389" s="11">
        <v>26000</v>
      </c>
      <c r="AZ389" s="11">
        <f ca="1">IFERROR(OFFSET(ITEM_RES!$A$1,MATCH(BA389,ITEM_RES!$J:$J,0)-1,0),0)</f>
        <v>211020101</v>
      </c>
      <c r="BA389" s="10" t="s">
        <v>448</v>
      </c>
      <c r="BB389" s="11">
        <v>26000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  <c r="BO389" s="11">
        <f ca="1">IFERROR(OFFSET(ITEM_RES!$A$1,MATCH(BP389,ITEM_RES!$J:$J,0)-1,0),0)</f>
        <v>0</v>
      </c>
    </row>
    <row r="390" spans="1:70" x14ac:dyDescent="0.3">
      <c r="A390" s="14">
        <f t="shared" si="121"/>
        <v>111090006</v>
      </c>
      <c r="B390" s="13">
        <v>11</v>
      </c>
      <c r="C390" s="12">
        <f t="shared" si="122"/>
        <v>1</v>
      </c>
      <c r="D390" s="13">
        <v>9</v>
      </c>
      <c r="E390" s="13">
        <v>0</v>
      </c>
      <c r="F390" s="12">
        <f t="shared" si="123"/>
        <v>6</v>
      </c>
      <c r="H390" s="9">
        <v>1</v>
      </c>
      <c r="I390" s="9">
        <v>6</v>
      </c>
      <c r="K390" s="9" t="s">
        <v>370</v>
      </c>
      <c r="M390" s="9" t="s">
        <v>958</v>
      </c>
      <c r="N390" s="9" t="s">
        <v>976</v>
      </c>
      <c r="O390" s="9">
        <v>1</v>
      </c>
      <c r="P390" s="9">
        <v>15</v>
      </c>
      <c r="Q390" s="9" t="s">
        <v>781</v>
      </c>
      <c r="U390" s="9" t="s">
        <v>722</v>
      </c>
      <c r="X390" s="9">
        <f ca="1">IFERROR(OFFSET(ITEM_RES!$A$5,MATCH(BUILDING!W390,ITEM_RES!$J$5:$J$226,0)-1,0),0)</f>
        <v>0</v>
      </c>
      <c r="Z390" s="85" t="s">
        <v>547</v>
      </c>
      <c r="AA390" s="9">
        <f ca="1">IFERROR(OFFSET(ITEM_RES!$A$5,MATCH(BUILDING!Z390,ITEM_RES!$J$5:$J$226,0)-1,0),0)</f>
        <v>211020201</v>
      </c>
      <c r="AC390" s="9" t="s">
        <v>525</v>
      </c>
      <c r="AD390" s="9">
        <v>6</v>
      </c>
      <c r="AF390" s="11">
        <f ca="1">IFERROR(OFFSET(MANOR_LEVEL!$B$1,MATCH(AG390-1,MANOR_LEVEL!$A:$A,0)-1,0),0)</f>
        <v>528</v>
      </c>
      <c r="AG390" s="56">
        <v>3</v>
      </c>
      <c r="AI390" s="56">
        <f t="shared" ca="1" si="126"/>
        <v>7300</v>
      </c>
      <c r="AJ390" s="10">
        <f ca="1">AO390+AQ390+(IFERROR(OFFSET(ITEM_RES!$S$1,MATCH(AU390,ITEM_RES!$A:$A,0)-1,0),0)*AW390+IFERROR(OFFSET(ITEM_RES!$S$1,MATCH(AZ390,ITEM_RES!$A:$A,0)-1,0),0)*BB390+IFERROR(OFFSET(ITEM_RES!$S$1,MATCH(BE390,ITEM_RES!$A:$A,0)-1,0),0)*BG390+IFERROR(OFFSET(ITEM_RES!$S$1,MATCH(BJ390,ITEM_RES!$A:$A,0)-1,0),0)*BL390+IFERROR(OFFSET(ITEM_RES!$S$1,MATCH(BO390,ITEM_RES!$A:$A,0)-1,0),0)*BQ390)/1000</f>
        <v>7300</v>
      </c>
      <c r="AK390" s="183">
        <f t="shared" ca="1" si="130"/>
        <v>8160</v>
      </c>
      <c r="AM390" s="11">
        <f t="shared" si="128"/>
        <v>30</v>
      </c>
      <c r="AN390" s="10">
        <v>30</v>
      </c>
      <c r="AO390" s="11">
        <f t="shared" si="124"/>
        <v>50</v>
      </c>
      <c r="AP390" s="10">
        <v>50</v>
      </c>
      <c r="AQ390" s="11">
        <f t="shared" si="124"/>
        <v>50</v>
      </c>
      <c r="AR390" s="10">
        <v>50</v>
      </c>
      <c r="AS390" s="56">
        <f t="shared" si="129"/>
        <v>2</v>
      </c>
      <c r="AU390" s="11">
        <f ca="1">IFERROR(OFFSET(ITEM_RES!$A$1,MATCH(AV390,ITEM_RES!$J:$J,0)-1,0),0)</f>
        <v>211010501</v>
      </c>
      <c r="AV390" s="10" t="s">
        <v>427</v>
      </c>
      <c r="AW390" s="11">
        <v>240000</v>
      </c>
      <c r="AZ390" s="11">
        <f ca="1">IFERROR(OFFSET(ITEM_RES!$A$1,MATCH(BA390,ITEM_RES!$J:$J,0)-1,0),0)</f>
        <v>211020101</v>
      </c>
      <c r="BA390" s="10" t="s">
        <v>448</v>
      </c>
      <c r="BB390" s="11">
        <v>240000</v>
      </c>
      <c r="BE390" s="11">
        <f ca="1">IFERROR(OFFSET(ITEM_RES!$A$1,MATCH(BF390,ITEM_RES!$J:$J,0)-1,0),0)</f>
        <v>0</v>
      </c>
      <c r="BJ390" s="11">
        <f ca="1">IFERROR(OFFSET(ITEM_RES!$A$1,MATCH(BK390,ITEM_RES!$J:$J,0)-1,0),0)</f>
        <v>0</v>
      </c>
      <c r="BO390" s="11">
        <f ca="1">IFERROR(OFFSET(ITEM_RES!$A$1,MATCH(BP390,ITEM_RES!$J:$J,0)-1,0),0)</f>
        <v>0</v>
      </c>
    </row>
    <row r="391" spans="1:70" x14ac:dyDescent="0.3">
      <c r="A391" s="14">
        <f t="shared" si="121"/>
        <v>111090007</v>
      </c>
      <c r="B391" s="13">
        <v>11</v>
      </c>
      <c r="C391" s="12">
        <f t="shared" si="122"/>
        <v>1</v>
      </c>
      <c r="D391" s="13">
        <v>9</v>
      </c>
      <c r="E391" s="13">
        <v>0</v>
      </c>
      <c r="F391" s="12">
        <f t="shared" si="123"/>
        <v>7</v>
      </c>
      <c r="H391" s="9">
        <v>1</v>
      </c>
      <c r="I391" s="9">
        <v>7</v>
      </c>
      <c r="K391" s="9" t="s">
        <v>370</v>
      </c>
      <c r="M391" s="9" t="s">
        <v>958</v>
      </c>
      <c r="N391" s="9" t="s">
        <v>976</v>
      </c>
      <c r="O391" s="9">
        <v>1</v>
      </c>
      <c r="P391" s="9">
        <v>15</v>
      </c>
      <c r="Q391" s="9" t="s">
        <v>781</v>
      </c>
      <c r="U391" s="9" t="s">
        <v>722</v>
      </c>
      <c r="X391" s="9">
        <f ca="1">IFERROR(OFFSET(ITEM_RES!$A$5,MATCH(BUILDING!W391,ITEM_RES!$J$5:$J$226,0)-1,0),0)</f>
        <v>0</v>
      </c>
      <c r="Z391" s="85" t="s">
        <v>547</v>
      </c>
      <c r="AA391" s="9">
        <f ca="1">IFERROR(OFFSET(ITEM_RES!$A$5,MATCH(BUILDING!Z391,ITEM_RES!$J$5:$J$226,0)-1,0),0)</f>
        <v>211020201</v>
      </c>
      <c r="AC391" s="9" t="s">
        <v>525</v>
      </c>
      <c r="AD391" s="9">
        <v>7</v>
      </c>
      <c r="AF391" s="11">
        <f ca="1">IFERROR(OFFSET(MANOR_LEVEL!$B$1,MATCH(AG391-1,MANOR_LEVEL!$A:$A,0)-1,0),0)</f>
        <v>800</v>
      </c>
      <c r="AG391" s="56">
        <v>4</v>
      </c>
      <c r="AI391" s="56">
        <f t="shared" ca="1" si="126"/>
        <v>16400</v>
      </c>
      <c r="AJ391" s="10">
        <f ca="1">AO391+AQ391+(IFERROR(OFFSET(ITEM_RES!$S$1,MATCH(AU391,ITEM_RES!$A:$A,0)-1,0),0)*AW391+IFERROR(OFFSET(ITEM_RES!$S$1,MATCH(AZ391,ITEM_RES!$A:$A,0)-1,0),0)*BB391+IFERROR(OFFSET(ITEM_RES!$S$1,MATCH(BE391,ITEM_RES!$A:$A,0)-1,0),0)*BG391+IFERROR(OFFSET(ITEM_RES!$S$1,MATCH(BJ391,ITEM_RES!$A:$A,0)-1,0),0)*BL391+IFERROR(OFFSET(ITEM_RES!$S$1,MATCH(BO391,ITEM_RES!$A:$A,0)-1,0),0)*BQ391)/1000</f>
        <v>16400</v>
      </c>
      <c r="AK391" s="183">
        <f t="shared" ca="1" si="130"/>
        <v>23700</v>
      </c>
      <c r="AM391" s="11">
        <f t="shared" si="128"/>
        <v>35</v>
      </c>
      <c r="AN391" s="10">
        <v>35</v>
      </c>
      <c r="AO391" s="11">
        <f t="shared" si="124"/>
        <v>100</v>
      </c>
      <c r="AP391" s="10">
        <v>100</v>
      </c>
      <c r="AQ391" s="11">
        <f t="shared" si="124"/>
        <v>100</v>
      </c>
      <c r="AR391" s="10">
        <v>100</v>
      </c>
      <c r="AS391" s="56">
        <f t="shared" si="129"/>
        <v>2</v>
      </c>
      <c r="AU391" s="11">
        <f ca="1">IFERROR(OFFSET(ITEM_RES!$A$1,MATCH(AV391,ITEM_RES!$J:$J,0)-1,0),0)</f>
        <v>211010501</v>
      </c>
      <c r="AV391" s="10" t="s">
        <v>427</v>
      </c>
      <c r="AW391" s="11">
        <v>540000</v>
      </c>
      <c r="AZ391" s="11">
        <f ca="1">IFERROR(OFFSET(ITEM_RES!$A$1,MATCH(BA391,ITEM_RES!$J:$J,0)-1,0),0)</f>
        <v>211020101</v>
      </c>
      <c r="BA391" s="10" t="s">
        <v>448</v>
      </c>
      <c r="BB391" s="11">
        <v>540000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  <c r="BO391" s="11">
        <f ca="1">IFERROR(OFFSET(ITEM_RES!$A$1,MATCH(BP391,ITEM_RES!$J:$J,0)-1,0),0)</f>
        <v>0</v>
      </c>
    </row>
    <row r="392" spans="1:70" x14ac:dyDescent="0.3">
      <c r="A392" s="14">
        <f t="shared" si="121"/>
        <v>111090008</v>
      </c>
      <c r="B392" s="13">
        <v>11</v>
      </c>
      <c r="C392" s="12">
        <f t="shared" si="122"/>
        <v>1</v>
      </c>
      <c r="D392" s="13">
        <v>9</v>
      </c>
      <c r="E392" s="13">
        <v>0</v>
      </c>
      <c r="F392" s="12">
        <f t="shared" si="123"/>
        <v>8</v>
      </c>
      <c r="H392" s="9">
        <v>1</v>
      </c>
      <c r="I392" s="9">
        <v>8</v>
      </c>
      <c r="K392" s="9" t="s">
        <v>370</v>
      </c>
      <c r="M392" s="9" t="s">
        <v>958</v>
      </c>
      <c r="N392" s="9" t="s">
        <v>976</v>
      </c>
      <c r="O392" s="9">
        <v>1</v>
      </c>
      <c r="P392" s="9">
        <v>15</v>
      </c>
      <c r="Q392" s="9" t="s">
        <v>781</v>
      </c>
      <c r="U392" s="9" t="s">
        <v>722</v>
      </c>
      <c r="X392" s="9">
        <f ca="1">IFERROR(OFFSET(ITEM_RES!$A$5,MATCH(BUILDING!W392,ITEM_RES!$J$5:$J$226,0)-1,0),0)</f>
        <v>0</v>
      </c>
      <c r="Z392" s="85" t="s">
        <v>547</v>
      </c>
      <c r="AA392" s="9">
        <f ca="1">IFERROR(OFFSET(ITEM_RES!$A$5,MATCH(BUILDING!Z392,ITEM_RES!$J$5:$J$226,0)-1,0),0)</f>
        <v>211020201</v>
      </c>
      <c r="AC392" s="9" t="s">
        <v>525</v>
      </c>
      <c r="AD392" s="9">
        <v>8</v>
      </c>
      <c r="AF392" s="11">
        <f ca="1">IFERROR(OFFSET(MANOR_LEVEL!$B$1,MATCH(AG392-1,MANOR_LEVEL!$A:$A,0)-1,0),0)</f>
        <v>1500</v>
      </c>
      <c r="AG392" s="56">
        <v>5</v>
      </c>
      <c r="AI392" s="56">
        <f t="shared" ca="1" si="126"/>
        <v>30200</v>
      </c>
      <c r="AJ392" s="10">
        <f ca="1">AO392+AQ392+(IFERROR(OFFSET(ITEM_RES!$S$1,MATCH(AU392,ITEM_RES!$A:$A,0)-1,0),0)*AW392+IFERROR(OFFSET(ITEM_RES!$S$1,MATCH(AZ392,ITEM_RES!$A:$A,0)-1,0),0)*BB392+IFERROR(OFFSET(ITEM_RES!$S$1,MATCH(BE392,ITEM_RES!$A:$A,0)-1,0),0)*BG392+IFERROR(OFFSET(ITEM_RES!$S$1,MATCH(BJ392,ITEM_RES!$A:$A,0)-1,0),0)*BL392+IFERROR(OFFSET(ITEM_RES!$S$1,MATCH(BO392,ITEM_RES!$A:$A,0)-1,0),0)*BQ392)/1000</f>
        <v>30200</v>
      </c>
      <c r="AK392" s="183">
        <f t="shared" ca="1" si="130"/>
        <v>46600</v>
      </c>
      <c r="AM392" s="11">
        <f t="shared" si="128"/>
        <v>40</v>
      </c>
      <c r="AN392" s="10">
        <v>40</v>
      </c>
      <c r="AO392" s="11">
        <f t="shared" si="124"/>
        <v>100</v>
      </c>
      <c r="AP392" s="10">
        <v>100</v>
      </c>
      <c r="AQ392" s="11">
        <f t="shared" si="124"/>
        <v>100</v>
      </c>
      <c r="AR392" s="10">
        <v>100</v>
      </c>
      <c r="AS392" s="56">
        <f t="shared" si="129"/>
        <v>2</v>
      </c>
      <c r="AU392" s="11">
        <f ca="1">IFERROR(OFFSET(ITEM_RES!$A$1,MATCH(AV392,ITEM_RES!$J:$J,0)-1,0),0)</f>
        <v>211010501</v>
      </c>
      <c r="AV392" s="10" t="s">
        <v>427</v>
      </c>
      <c r="AW392" s="11">
        <v>1000000</v>
      </c>
      <c r="AZ392" s="11">
        <f ca="1">IFERROR(OFFSET(ITEM_RES!$A$1,MATCH(BA392,ITEM_RES!$J:$J,0)-1,0),0)</f>
        <v>211020101</v>
      </c>
      <c r="BA392" s="10" t="s">
        <v>448</v>
      </c>
      <c r="BB392" s="11">
        <v>1000000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  <c r="BO392" s="11">
        <f ca="1">IFERROR(OFFSET(ITEM_RES!$A$1,MATCH(BP392,ITEM_RES!$J:$J,0)-1,0),0)</f>
        <v>0</v>
      </c>
    </row>
    <row r="393" spans="1:70" x14ac:dyDescent="0.3">
      <c r="A393" s="14">
        <f t="shared" si="121"/>
        <v>111090009</v>
      </c>
      <c r="B393" s="13">
        <v>11</v>
      </c>
      <c r="C393" s="12">
        <f t="shared" si="122"/>
        <v>1</v>
      </c>
      <c r="D393" s="13">
        <v>9</v>
      </c>
      <c r="E393" s="13">
        <v>0</v>
      </c>
      <c r="F393" s="12">
        <f t="shared" si="123"/>
        <v>9</v>
      </c>
      <c r="H393" s="9">
        <v>1</v>
      </c>
      <c r="I393" s="9">
        <v>9</v>
      </c>
      <c r="K393" s="9" t="s">
        <v>370</v>
      </c>
      <c r="M393" s="9" t="s">
        <v>958</v>
      </c>
      <c r="N393" s="9" t="s">
        <v>976</v>
      </c>
      <c r="O393" s="9">
        <v>1</v>
      </c>
      <c r="P393" s="9">
        <v>15</v>
      </c>
      <c r="Q393" s="9" t="s">
        <v>781</v>
      </c>
      <c r="U393" s="9" t="s">
        <v>722</v>
      </c>
      <c r="X393" s="9">
        <f ca="1">IFERROR(OFFSET(ITEM_RES!$A$5,MATCH(BUILDING!W393,ITEM_RES!$J$5:$J$226,0)-1,0),0)</f>
        <v>0</v>
      </c>
      <c r="Z393" s="85" t="s">
        <v>547</v>
      </c>
      <c r="AA393" s="9">
        <f ca="1">IFERROR(OFFSET(ITEM_RES!$A$5,MATCH(BUILDING!Z393,ITEM_RES!$J$5:$J$226,0)-1,0),0)</f>
        <v>211020201</v>
      </c>
      <c r="AC393" s="9" t="s">
        <v>525</v>
      </c>
      <c r="AD393" s="9">
        <v>9</v>
      </c>
      <c r="AF393" s="11">
        <f ca="1">IFERROR(OFFSET(MANOR_LEVEL!$B$1,MATCH(AG393-1,MANOR_LEVEL!$A:$A,0)-1,0),0)</f>
        <v>3872</v>
      </c>
      <c r="AG393" s="56">
        <v>6</v>
      </c>
      <c r="AI393" s="56">
        <f t="shared" ca="1" si="126"/>
        <v>47700</v>
      </c>
      <c r="AJ393" s="10">
        <f ca="1">AO393+AQ393+(IFERROR(OFFSET(ITEM_RES!$S$1,MATCH(AU393,ITEM_RES!$A:$A,0)-1,0),0)*AW393+IFERROR(OFFSET(ITEM_RES!$S$1,MATCH(AZ393,ITEM_RES!$A:$A,0)-1,0),0)*BB393+IFERROR(OFFSET(ITEM_RES!$S$1,MATCH(BE393,ITEM_RES!$A:$A,0)-1,0),0)*BG393+IFERROR(OFFSET(ITEM_RES!$S$1,MATCH(BJ393,ITEM_RES!$A:$A,0)-1,0),0)*BL393+IFERROR(OFFSET(ITEM_RES!$S$1,MATCH(BO393,ITEM_RES!$A:$A,0)-1,0),0)*BQ393)/1000</f>
        <v>47700</v>
      </c>
      <c r="AK393" s="183">
        <f t="shared" ca="1" si="130"/>
        <v>77900</v>
      </c>
      <c r="AM393" s="11">
        <f t="shared" si="128"/>
        <v>45</v>
      </c>
      <c r="AN393" s="10">
        <v>45</v>
      </c>
      <c r="AO393" s="11">
        <f t="shared" si="124"/>
        <v>150</v>
      </c>
      <c r="AP393" s="10">
        <v>150</v>
      </c>
      <c r="AQ393" s="11">
        <f t="shared" si="124"/>
        <v>150</v>
      </c>
      <c r="AR393" s="10">
        <v>150</v>
      </c>
      <c r="AS393" s="56">
        <f t="shared" si="129"/>
        <v>2</v>
      </c>
      <c r="AU393" s="11">
        <f ca="1">IFERROR(OFFSET(ITEM_RES!$A$1,MATCH(AV393,ITEM_RES!$J:$J,0)-1,0),0)</f>
        <v>211010501</v>
      </c>
      <c r="AV393" s="10" t="s">
        <v>427</v>
      </c>
      <c r="AW393" s="11">
        <v>1580000</v>
      </c>
      <c r="AZ393" s="11">
        <f ca="1">IFERROR(OFFSET(ITEM_RES!$A$1,MATCH(BA393,ITEM_RES!$J:$J,0)-1,0),0)</f>
        <v>211020101</v>
      </c>
      <c r="BA393" s="10" t="s">
        <v>448</v>
      </c>
      <c r="BB393" s="11">
        <v>1580000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  <c r="BO393" s="11">
        <f ca="1">IFERROR(OFFSET(ITEM_RES!$A$1,MATCH(BP393,ITEM_RES!$J:$J,0)-1,0),0)</f>
        <v>0</v>
      </c>
    </row>
    <row r="394" spans="1:70" x14ac:dyDescent="0.3">
      <c r="A394" s="14">
        <f t="shared" si="121"/>
        <v>111090010</v>
      </c>
      <c r="B394" s="13">
        <v>11</v>
      </c>
      <c r="C394" s="12">
        <f t="shared" si="122"/>
        <v>1</v>
      </c>
      <c r="D394" s="13">
        <v>9</v>
      </c>
      <c r="E394" s="13">
        <v>0</v>
      </c>
      <c r="F394" s="12">
        <f t="shared" si="123"/>
        <v>10</v>
      </c>
      <c r="H394" s="9">
        <v>1</v>
      </c>
      <c r="I394" s="9">
        <v>10</v>
      </c>
      <c r="K394" s="9" t="s">
        <v>370</v>
      </c>
      <c r="M394" s="9" t="s">
        <v>958</v>
      </c>
      <c r="N394" s="9" t="s">
        <v>976</v>
      </c>
      <c r="O394" s="9">
        <v>1</v>
      </c>
      <c r="P394" s="9">
        <v>15</v>
      </c>
      <c r="Q394" s="9" t="s">
        <v>781</v>
      </c>
      <c r="U394" s="9" t="s">
        <v>722</v>
      </c>
      <c r="X394" s="9">
        <f ca="1">IFERROR(OFFSET(ITEM_RES!$A$5,MATCH(BUILDING!W394,ITEM_RES!$J$5:$J$226,0)-1,0),0)</f>
        <v>0</v>
      </c>
      <c r="Z394" s="85" t="s">
        <v>547</v>
      </c>
      <c r="AA394" s="9">
        <f ca="1">IFERROR(OFFSET(ITEM_RES!$A$5,MATCH(BUILDING!Z394,ITEM_RES!$J$5:$J$226,0)-1,0),0)</f>
        <v>211020201</v>
      </c>
      <c r="AC394" s="9" t="s">
        <v>525</v>
      </c>
      <c r="AD394" s="9">
        <v>10</v>
      </c>
      <c r="AF394" s="11">
        <f ca="1">IFERROR(OFFSET(MANOR_LEVEL!$B$1,MATCH(AG394-1,MANOR_LEVEL!$A:$A,0)-1,0),0)</f>
        <v>32640</v>
      </c>
      <c r="AG394" s="56">
        <v>7</v>
      </c>
      <c r="AI394" s="56">
        <f t="shared" ca="1" si="126"/>
        <v>66400</v>
      </c>
      <c r="AJ394" s="10">
        <f ca="1">AO394+AQ394+(IFERROR(OFFSET(ITEM_RES!$S$1,MATCH(AU394,ITEM_RES!$A:$A,0)-1,0),0)*AW394+IFERROR(OFFSET(ITEM_RES!$S$1,MATCH(AZ394,ITEM_RES!$A:$A,0)-1,0),0)*BB394+IFERROR(OFFSET(ITEM_RES!$S$1,MATCH(BE394,ITEM_RES!$A:$A,0)-1,0),0)*BG394+IFERROR(OFFSET(ITEM_RES!$S$1,MATCH(BJ394,ITEM_RES!$A:$A,0)-1,0),0)*BL394+IFERROR(OFFSET(ITEM_RES!$S$1,MATCH(BO394,ITEM_RES!$A:$A,0)-1,0),0)*BQ394)/1000</f>
        <v>66400</v>
      </c>
      <c r="AK394" s="183">
        <f t="shared" ca="1" si="130"/>
        <v>114100</v>
      </c>
      <c r="AM394" s="11">
        <f t="shared" si="128"/>
        <v>50</v>
      </c>
      <c r="AN394" s="10">
        <v>50</v>
      </c>
      <c r="AO394" s="11">
        <f t="shared" si="124"/>
        <v>200</v>
      </c>
      <c r="AP394" s="10">
        <v>200</v>
      </c>
      <c r="AQ394" s="11">
        <f t="shared" si="124"/>
        <v>200</v>
      </c>
      <c r="AR394" s="10">
        <v>200</v>
      </c>
      <c r="AS394" s="56">
        <f t="shared" si="129"/>
        <v>2</v>
      </c>
      <c r="AU394" s="11">
        <f ca="1">IFERROR(OFFSET(ITEM_RES!$A$1,MATCH(AV394,ITEM_RES!$J:$J,0)-1,0),0)</f>
        <v>211010501</v>
      </c>
      <c r="AV394" s="10" t="s">
        <v>427</v>
      </c>
      <c r="AW394" s="11">
        <v>2200000</v>
      </c>
      <c r="AZ394" s="11">
        <f ca="1">IFERROR(OFFSET(ITEM_RES!$A$1,MATCH(BA394,ITEM_RES!$J:$J,0)-1,0),0)</f>
        <v>211020101</v>
      </c>
      <c r="BA394" s="10" t="s">
        <v>448</v>
      </c>
      <c r="BB394" s="11">
        <v>2200000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  <c r="BO394" s="11">
        <f ca="1">IFERROR(OFFSET(ITEM_RES!$A$1,MATCH(BP394,ITEM_RES!$J:$J,0)-1,0),0)</f>
        <v>0</v>
      </c>
    </row>
    <row r="395" spans="1:70" x14ac:dyDescent="0.3">
      <c r="A395" s="14">
        <f t="shared" si="121"/>
        <v>111090011</v>
      </c>
      <c r="B395" s="13">
        <v>11</v>
      </c>
      <c r="C395" s="12">
        <f t="shared" si="122"/>
        <v>1</v>
      </c>
      <c r="D395" s="13">
        <v>9</v>
      </c>
      <c r="E395" s="13">
        <v>0</v>
      </c>
      <c r="F395" s="12">
        <f t="shared" si="123"/>
        <v>11</v>
      </c>
      <c r="H395" s="9">
        <v>1</v>
      </c>
      <c r="I395" s="9">
        <v>11</v>
      </c>
      <c r="K395" s="9" t="s">
        <v>370</v>
      </c>
      <c r="M395" s="9" t="s">
        <v>958</v>
      </c>
      <c r="N395" s="9" t="s">
        <v>976</v>
      </c>
      <c r="O395" s="9">
        <v>1</v>
      </c>
      <c r="P395" s="9">
        <v>15</v>
      </c>
      <c r="Q395" s="9" t="s">
        <v>781</v>
      </c>
      <c r="U395" s="9" t="s">
        <v>722</v>
      </c>
      <c r="X395" s="9">
        <f ca="1">IFERROR(OFFSET(ITEM_RES!$A$5,MATCH(BUILDING!W395,ITEM_RES!$J$5:$J$226,0)-1,0),0)</f>
        <v>0</v>
      </c>
      <c r="Z395" s="85" t="s">
        <v>547</v>
      </c>
      <c r="AA395" s="9">
        <f ca="1">IFERROR(OFFSET(ITEM_RES!$A$5,MATCH(BUILDING!Z395,ITEM_RES!$J$5:$J$226,0)-1,0),0)</f>
        <v>211020201</v>
      </c>
      <c r="AC395" s="9" t="s">
        <v>525</v>
      </c>
      <c r="AD395" s="9">
        <v>11</v>
      </c>
      <c r="AF395" s="11">
        <f ca="1">IFERROR(OFFSET(MANOR_LEVEL!$B$1,MATCH(AG395-1,MANOR_LEVEL!$A:$A,0)-1,0),0)</f>
        <v>94800</v>
      </c>
      <c r="AG395" s="56">
        <v>8</v>
      </c>
      <c r="AI395" s="56">
        <f t="shared" ca="1" si="126"/>
        <v>132500</v>
      </c>
      <c r="AJ395" s="10">
        <f ca="1">AO395+AQ395+(IFERROR(OFFSET(ITEM_RES!$S$1,MATCH(AU395,ITEM_RES!$A:$A,0)-1,0),0)*AW395+IFERROR(OFFSET(ITEM_RES!$S$1,MATCH(AZ395,ITEM_RES!$A:$A,0)-1,0),0)*BB395+IFERROR(OFFSET(ITEM_RES!$S$1,MATCH(BE395,ITEM_RES!$A:$A,0)-1,0),0)*BG395+IFERROR(OFFSET(ITEM_RES!$S$1,MATCH(BJ395,ITEM_RES!$A:$A,0)-1,0),0)*BL395+IFERROR(OFFSET(ITEM_RES!$S$1,MATCH(BO395,ITEM_RES!$A:$A,0)-1,0),0)*BQ395)/1000</f>
        <v>132500</v>
      </c>
      <c r="AK395" s="183">
        <f t="shared" ca="1" si="130"/>
        <v>198900</v>
      </c>
      <c r="AM395" s="11">
        <f t="shared" si="128"/>
        <v>55</v>
      </c>
      <c r="AN395" s="10">
        <v>55</v>
      </c>
      <c r="AO395" s="11">
        <f t="shared" si="124"/>
        <v>250</v>
      </c>
      <c r="AP395" s="10">
        <v>250</v>
      </c>
      <c r="AQ395" s="11">
        <f t="shared" si="124"/>
        <v>250</v>
      </c>
      <c r="AR395" s="10">
        <v>250</v>
      </c>
      <c r="AS395" s="56">
        <f t="shared" si="129"/>
        <v>2</v>
      </c>
      <c r="AU395" s="11">
        <f ca="1">IFERROR(OFFSET(ITEM_RES!$A$1,MATCH(AV395,ITEM_RES!$J:$J,0)-1,0),0)</f>
        <v>211010501</v>
      </c>
      <c r="AV395" s="10" t="s">
        <v>427</v>
      </c>
      <c r="AW395" s="11">
        <v>4400000</v>
      </c>
      <c r="AZ395" s="11">
        <f ca="1">IFERROR(OFFSET(ITEM_RES!$A$1,MATCH(BA395,ITEM_RES!$J:$J,0)-1,0),0)</f>
        <v>211020101</v>
      </c>
      <c r="BA395" s="10" t="s">
        <v>448</v>
      </c>
      <c r="BB395" s="11">
        <v>4400000</v>
      </c>
      <c r="BE395" s="11">
        <f ca="1">IFERROR(OFFSET(ITEM_RES!$A$1,MATCH(BF395,ITEM_RES!$J:$J,0)-1,0),0)</f>
        <v>0</v>
      </c>
      <c r="BJ395" s="11">
        <f ca="1">IFERROR(OFFSET(ITEM_RES!$A$1,MATCH(BK395,ITEM_RES!$J:$J,0)-1,0),0)</f>
        <v>0</v>
      </c>
      <c r="BO395" s="11">
        <f ca="1">IFERROR(OFFSET(ITEM_RES!$A$1,MATCH(BP395,ITEM_RES!$J:$J,0)-1,0),0)</f>
        <v>0</v>
      </c>
    </row>
    <row r="396" spans="1:70" x14ac:dyDescent="0.3">
      <c r="A396" s="14">
        <f t="shared" si="121"/>
        <v>111090012</v>
      </c>
      <c r="B396" s="13">
        <v>11</v>
      </c>
      <c r="C396" s="12">
        <f t="shared" si="122"/>
        <v>1</v>
      </c>
      <c r="D396" s="13">
        <v>9</v>
      </c>
      <c r="E396" s="13">
        <v>0</v>
      </c>
      <c r="F396" s="12">
        <f t="shared" si="123"/>
        <v>12</v>
      </c>
      <c r="H396" s="9">
        <v>1</v>
      </c>
      <c r="I396" s="9">
        <v>12</v>
      </c>
      <c r="K396" s="9" t="s">
        <v>370</v>
      </c>
      <c r="M396" s="9" t="s">
        <v>958</v>
      </c>
      <c r="N396" s="9" t="s">
        <v>976</v>
      </c>
      <c r="O396" s="9">
        <v>1</v>
      </c>
      <c r="P396" s="9">
        <v>15</v>
      </c>
      <c r="Q396" s="9" t="s">
        <v>781</v>
      </c>
      <c r="U396" s="9" t="s">
        <v>722</v>
      </c>
      <c r="X396" s="9">
        <f ca="1">IFERROR(OFFSET(ITEM_RES!$A$5,MATCH(BUILDING!W396,ITEM_RES!$J$5:$J$226,0)-1,0),0)</f>
        <v>0</v>
      </c>
      <c r="Z396" s="85" t="s">
        <v>547</v>
      </c>
      <c r="AA396" s="9">
        <f ca="1">IFERROR(OFFSET(ITEM_RES!$A$5,MATCH(BUILDING!Z396,ITEM_RES!$J$5:$J$226,0)-1,0),0)</f>
        <v>211020201</v>
      </c>
      <c r="AC396" s="9" t="s">
        <v>525</v>
      </c>
      <c r="AD396" s="9">
        <v>12</v>
      </c>
      <c r="AF396" s="11">
        <f ca="1">IFERROR(OFFSET(MANOR_LEVEL!$B$1,MATCH(AG396-1,MANOR_LEVEL!$A:$A,0)-1,0),0)</f>
        <v>186400</v>
      </c>
      <c r="AG396" s="56">
        <v>9</v>
      </c>
      <c r="AI396" s="56">
        <f t="shared" ca="1" si="126"/>
        <v>156600</v>
      </c>
      <c r="AJ396" s="10">
        <f ca="1">AO396+AQ396+(IFERROR(OFFSET(ITEM_RES!$S$1,MATCH(AU396,ITEM_RES!$A:$A,0)-1,0),0)*AW396+IFERROR(OFFSET(ITEM_RES!$S$1,MATCH(AZ396,ITEM_RES!$A:$A,0)-1,0),0)*BB396+IFERROR(OFFSET(ITEM_RES!$S$1,MATCH(BE396,ITEM_RES!$A:$A,0)-1,0),0)*BG396+IFERROR(OFFSET(ITEM_RES!$S$1,MATCH(BJ396,ITEM_RES!$A:$A,0)-1,0),0)*BL396+IFERROR(OFFSET(ITEM_RES!$S$1,MATCH(BO396,ITEM_RES!$A:$A,0)-1,0),0)*BQ396)/1000</f>
        <v>156600</v>
      </c>
      <c r="AK396" s="183">
        <f t="shared" ca="1" si="130"/>
        <v>289100</v>
      </c>
      <c r="AM396" s="11">
        <f t="shared" si="128"/>
        <v>60</v>
      </c>
      <c r="AN396" s="10">
        <v>60</v>
      </c>
      <c r="AO396" s="11">
        <f t="shared" si="124"/>
        <v>300</v>
      </c>
      <c r="AP396" s="10">
        <v>300</v>
      </c>
      <c r="AQ396" s="11">
        <f t="shared" si="124"/>
        <v>300</v>
      </c>
      <c r="AR396" s="10">
        <v>300</v>
      </c>
      <c r="AS396" s="56">
        <f t="shared" si="129"/>
        <v>2</v>
      </c>
      <c r="AU396" s="11">
        <f ca="1">IFERROR(OFFSET(ITEM_RES!$A$1,MATCH(AV396,ITEM_RES!$J:$J,0)-1,0),0)</f>
        <v>211010501</v>
      </c>
      <c r="AV396" s="10" t="s">
        <v>427</v>
      </c>
      <c r="AW396" s="11">
        <v>5200000</v>
      </c>
      <c r="AZ396" s="11">
        <f ca="1">IFERROR(OFFSET(ITEM_RES!$A$1,MATCH(BA396,ITEM_RES!$J:$J,0)-1,0),0)</f>
        <v>211020101</v>
      </c>
      <c r="BA396" s="10" t="s">
        <v>448</v>
      </c>
      <c r="BB396" s="11">
        <v>5200000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  <c r="BO396" s="11">
        <f ca="1">IFERROR(OFFSET(ITEM_RES!$A$1,MATCH(BP396,ITEM_RES!$J:$J,0)-1,0),0)</f>
        <v>0</v>
      </c>
    </row>
    <row r="397" spans="1:70" x14ac:dyDescent="0.3">
      <c r="A397" s="14">
        <f t="shared" si="121"/>
        <v>111090013</v>
      </c>
      <c r="B397" s="13">
        <v>11</v>
      </c>
      <c r="C397" s="12">
        <f t="shared" si="122"/>
        <v>1</v>
      </c>
      <c r="D397" s="13">
        <v>9</v>
      </c>
      <c r="E397" s="13">
        <v>0</v>
      </c>
      <c r="F397" s="12">
        <f t="shared" si="123"/>
        <v>13</v>
      </c>
      <c r="H397" s="9">
        <v>1</v>
      </c>
      <c r="I397" s="9">
        <v>13</v>
      </c>
      <c r="K397" s="9" t="s">
        <v>370</v>
      </c>
      <c r="M397" s="9" t="s">
        <v>958</v>
      </c>
      <c r="N397" s="9" t="s">
        <v>976</v>
      </c>
      <c r="O397" s="9">
        <v>1</v>
      </c>
      <c r="P397" s="9">
        <v>15</v>
      </c>
      <c r="Q397" s="9" t="s">
        <v>781</v>
      </c>
      <c r="U397" s="9" t="s">
        <v>722</v>
      </c>
      <c r="X397" s="9">
        <f ca="1">IFERROR(OFFSET(ITEM_RES!$A$5,MATCH(BUILDING!W397,ITEM_RES!$J$5:$J$226,0)-1,0),0)</f>
        <v>0</v>
      </c>
      <c r="Z397" s="85" t="s">
        <v>547</v>
      </c>
      <c r="AA397" s="9">
        <f ca="1">IFERROR(OFFSET(ITEM_RES!$A$5,MATCH(BUILDING!Z397,ITEM_RES!$J$5:$J$226,0)-1,0),0)</f>
        <v>211020201</v>
      </c>
      <c r="AC397" s="9" t="s">
        <v>525</v>
      </c>
      <c r="AD397" s="9">
        <v>13</v>
      </c>
      <c r="AF397" s="11">
        <f ca="1">IFERROR(OFFSET(MANOR_LEVEL!$B$1,MATCH(AG397-1,MANOR_LEVEL!$A:$A,0)-1,0),0)</f>
        <v>311600</v>
      </c>
      <c r="AG397" s="56">
        <v>10</v>
      </c>
      <c r="AI397" s="56">
        <f t="shared" ca="1" si="126"/>
        <v>258700</v>
      </c>
      <c r="AJ397" s="10">
        <f ca="1">AO397+AQ397+(IFERROR(OFFSET(ITEM_RES!$S$1,MATCH(AU397,ITEM_RES!$A:$A,0)-1,0),0)*AW397+IFERROR(OFFSET(ITEM_RES!$S$1,MATCH(AZ397,ITEM_RES!$A:$A,0)-1,0),0)*BB397+IFERROR(OFFSET(ITEM_RES!$S$1,MATCH(BE397,ITEM_RES!$A:$A,0)-1,0),0)*BG397+IFERROR(OFFSET(ITEM_RES!$S$1,MATCH(BJ397,ITEM_RES!$A:$A,0)-1,0),0)*BL397+IFERROR(OFFSET(ITEM_RES!$S$1,MATCH(BO397,ITEM_RES!$A:$A,0)-1,0),0)*BQ397)/1000</f>
        <v>258700</v>
      </c>
      <c r="AK397" s="183">
        <f t="shared" ca="1" si="130"/>
        <v>415300</v>
      </c>
      <c r="AM397" s="11">
        <f t="shared" si="128"/>
        <v>65</v>
      </c>
      <c r="AN397" s="10">
        <v>65</v>
      </c>
      <c r="AO397" s="11">
        <f t="shared" si="124"/>
        <v>350</v>
      </c>
      <c r="AP397" s="10">
        <v>350</v>
      </c>
      <c r="AQ397" s="11">
        <f t="shared" si="124"/>
        <v>350</v>
      </c>
      <c r="AR397" s="10">
        <v>350</v>
      </c>
      <c r="AS397" s="56">
        <f t="shared" si="129"/>
        <v>2</v>
      </c>
      <c r="AU397" s="11">
        <f ca="1">IFERROR(OFFSET(ITEM_RES!$A$1,MATCH(AV397,ITEM_RES!$J:$J,0)-1,0),0)</f>
        <v>211010501</v>
      </c>
      <c r="AV397" s="10" t="s">
        <v>427</v>
      </c>
      <c r="AW397" s="11">
        <v>8600000</v>
      </c>
      <c r="AZ397" s="11">
        <f ca="1">IFERROR(OFFSET(ITEM_RES!$A$1,MATCH(BA397,ITEM_RES!$J:$J,0)-1,0),0)</f>
        <v>211020101</v>
      </c>
      <c r="BA397" s="10" t="s">
        <v>448</v>
      </c>
      <c r="BB397" s="11">
        <v>8600000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  <c r="BO397" s="11">
        <f ca="1">IFERROR(OFFSET(ITEM_RES!$A$1,MATCH(BP397,ITEM_RES!$J:$J,0)-1,0),0)</f>
        <v>0</v>
      </c>
    </row>
    <row r="398" spans="1:70" x14ac:dyDescent="0.3">
      <c r="A398" s="14">
        <f t="shared" si="121"/>
        <v>111090014</v>
      </c>
      <c r="B398" s="13">
        <v>11</v>
      </c>
      <c r="C398" s="12">
        <f t="shared" si="122"/>
        <v>1</v>
      </c>
      <c r="D398" s="13">
        <v>9</v>
      </c>
      <c r="E398" s="13">
        <v>0</v>
      </c>
      <c r="F398" s="12">
        <f t="shared" si="123"/>
        <v>14</v>
      </c>
      <c r="H398" s="9">
        <v>1</v>
      </c>
      <c r="I398" s="9">
        <v>14</v>
      </c>
      <c r="K398" s="9" t="s">
        <v>370</v>
      </c>
      <c r="M398" s="9" t="s">
        <v>958</v>
      </c>
      <c r="N398" s="9" t="s">
        <v>976</v>
      </c>
      <c r="O398" s="9">
        <v>1</v>
      </c>
      <c r="P398" s="9">
        <v>15</v>
      </c>
      <c r="Q398" s="9" t="s">
        <v>781</v>
      </c>
      <c r="U398" s="9" t="s">
        <v>722</v>
      </c>
      <c r="X398" s="9">
        <f ca="1">IFERROR(OFFSET(ITEM_RES!$A$5,MATCH(BUILDING!W398,ITEM_RES!$J$5:$J$226,0)-1,0),0)</f>
        <v>0</v>
      </c>
      <c r="Z398" s="85" t="s">
        <v>547</v>
      </c>
      <c r="AA398" s="9">
        <f ca="1">IFERROR(OFFSET(ITEM_RES!$A$5,MATCH(BUILDING!Z398,ITEM_RES!$J$5:$J$226,0)-1,0),0)</f>
        <v>211020201</v>
      </c>
      <c r="AC398" s="9" t="s">
        <v>525</v>
      </c>
      <c r="AD398" s="9">
        <v>14</v>
      </c>
      <c r="AF398" s="11">
        <f ca="1">IFERROR(OFFSET(MANOR_LEVEL!$B$1,MATCH(AG398-1,MANOR_LEVEL!$A:$A,0)-1,0),0)</f>
        <v>456800</v>
      </c>
      <c r="AG398" s="56">
        <v>11</v>
      </c>
      <c r="AI398" s="56">
        <f t="shared" ca="1" si="126"/>
        <v>396900</v>
      </c>
      <c r="AJ398" s="10">
        <f ca="1">AO398+AQ398+(IFERROR(OFFSET(ITEM_RES!$S$1,MATCH(AU398,ITEM_RES!$A:$A,0)-1,0),0)*AW398+IFERROR(OFFSET(ITEM_RES!$S$1,MATCH(AZ398,ITEM_RES!$A:$A,0)-1,0),0)*BB398+IFERROR(OFFSET(ITEM_RES!$S$1,MATCH(BE398,ITEM_RES!$A:$A,0)-1,0),0)*BG398+IFERROR(OFFSET(ITEM_RES!$S$1,MATCH(BJ398,ITEM_RES!$A:$A,0)-1,0),0)*BL398+IFERROR(OFFSET(ITEM_RES!$S$1,MATCH(BO398,ITEM_RES!$A:$A,0)-1,0),0)*BQ398)/1000</f>
        <v>396900</v>
      </c>
      <c r="AK398" s="183">
        <f t="shared" ca="1" si="130"/>
        <v>655600</v>
      </c>
      <c r="AM398" s="11">
        <f t="shared" si="128"/>
        <v>70</v>
      </c>
      <c r="AN398" s="10">
        <v>70</v>
      </c>
      <c r="AO398" s="11">
        <f t="shared" si="124"/>
        <v>450</v>
      </c>
      <c r="AP398" s="10">
        <v>450</v>
      </c>
      <c r="AQ398" s="11">
        <f t="shared" si="124"/>
        <v>450</v>
      </c>
      <c r="AR398" s="10">
        <v>450</v>
      </c>
      <c r="AS398" s="56">
        <f t="shared" si="129"/>
        <v>2</v>
      </c>
      <c r="AU398" s="11">
        <f ca="1">IFERROR(OFFSET(ITEM_RES!$A$1,MATCH(AV398,ITEM_RES!$J:$J,0)-1,0),0)</f>
        <v>211010501</v>
      </c>
      <c r="AV398" s="10" t="s">
        <v>427</v>
      </c>
      <c r="AW398" s="11">
        <v>13200000</v>
      </c>
      <c r="AZ398" s="11">
        <f ca="1">IFERROR(OFFSET(ITEM_RES!$A$1,MATCH(BA398,ITEM_RES!$J:$J,0)-1,0),0)</f>
        <v>211020101</v>
      </c>
      <c r="BA398" s="10" t="s">
        <v>448</v>
      </c>
      <c r="BB398" s="11">
        <v>13200000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  <c r="BO398" s="11">
        <f ca="1">IFERROR(OFFSET(ITEM_RES!$A$1,MATCH(BP398,ITEM_RES!$J:$J,0)-1,0),0)</f>
        <v>0</v>
      </c>
    </row>
    <row r="399" spans="1:70" x14ac:dyDescent="0.3">
      <c r="A399" s="14">
        <f t="shared" si="121"/>
        <v>111090015</v>
      </c>
      <c r="B399" s="13">
        <v>11</v>
      </c>
      <c r="C399" s="12">
        <f t="shared" si="122"/>
        <v>1</v>
      </c>
      <c r="D399" s="13">
        <v>9</v>
      </c>
      <c r="E399" s="13">
        <v>0</v>
      </c>
      <c r="F399" s="12">
        <f t="shared" si="123"/>
        <v>15</v>
      </c>
      <c r="H399" s="9">
        <v>1</v>
      </c>
      <c r="I399" s="9">
        <v>15</v>
      </c>
      <c r="K399" s="9" t="s">
        <v>370</v>
      </c>
      <c r="M399" s="9" t="s">
        <v>958</v>
      </c>
      <c r="N399" s="9" t="s">
        <v>976</v>
      </c>
      <c r="O399" s="9">
        <v>1</v>
      </c>
      <c r="P399" s="9">
        <v>15</v>
      </c>
      <c r="Q399" s="9" t="s">
        <v>781</v>
      </c>
      <c r="U399" s="9" t="s">
        <v>722</v>
      </c>
      <c r="X399" s="9">
        <f ca="1">IFERROR(OFFSET(ITEM_RES!$A$5,MATCH(BUILDING!W399,ITEM_RES!$J$5:$J$226,0)-1,0),0)</f>
        <v>0</v>
      </c>
      <c r="Z399" s="85" t="s">
        <v>547</v>
      </c>
      <c r="AA399" s="9">
        <f ca="1">IFERROR(OFFSET(ITEM_RES!$A$5,MATCH(BUILDING!Z399,ITEM_RES!$J$5:$J$226,0)-1,0),0)</f>
        <v>211020201</v>
      </c>
      <c r="AC399" s="9" t="s">
        <v>525</v>
      </c>
      <c r="AD399" s="9">
        <v>15</v>
      </c>
      <c r="AF399" s="11">
        <f ca="1">IFERROR(OFFSET(MANOR_LEVEL!$B$1,MATCH(AG399-1,MANOR_LEVEL!$A:$A,0)-1,0),0)</f>
        <v>796000</v>
      </c>
      <c r="AG399" s="56">
        <v>12</v>
      </c>
      <c r="AI399" s="56">
        <f t="shared" ca="1" si="126"/>
        <v>881100</v>
      </c>
      <c r="AJ399" s="10">
        <f ca="1">AO399+AQ399+(IFERROR(OFFSET(ITEM_RES!$S$1,MATCH(AU399,ITEM_RES!$A:$A,0)-1,0),0)*AW399+IFERROR(OFFSET(ITEM_RES!$S$1,MATCH(AZ399,ITEM_RES!$A:$A,0)-1,0),0)*BB399+IFERROR(OFFSET(ITEM_RES!$S$1,MATCH(BE399,ITEM_RES!$A:$A,0)-1,0),0)*BG399+IFERROR(OFFSET(ITEM_RES!$S$1,MATCH(BJ399,ITEM_RES!$A:$A,0)-1,0),0)*BL399+IFERROR(OFFSET(ITEM_RES!$S$1,MATCH(BO399,ITEM_RES!$A:$A,0)-1,0),0)*BQ399)/1000</f>
        <v>881100</v>
      </c>
      <c r="AK399" s="183">
        <f t="shared" ca="1" si="130"/>
        <v>1278000</v>
      </c>
      <c r="AM399" s="11">
        <f t="shared" si="128"/>
        <v>75</v>
      </c>
      <c r="AN399" s="10">
        <v>75</v>
      </c>
      <c r="AO399" s="11">
        <f t="shared" si="124"/>
        <v>550</v>
      </c>
      <c r="AP399" s="10">
        <v>550</v>
      </c>
      <c r="AQ399" s="11">
        <f t="shared" si="124"/>
        <v>550</v>
      </c>
      <c r="AR399" s="10">
        <v>550</v>
      </c>
      <c r="AS399" s="56">
        <f t="shared" si="129"/>
        <v>2</v>
      </c>
      <c r="AU399" s="11">
        <f ca="1">IFERROR(OFFSET(ITEM_RES!$A$1,MATCH(AV399,ITEM_RES!$J:$J,0)-1,0),0)</f>
        <v>211010601</v>
      </c>
      <c r="AV399" s="10" t="s">
        <v>443</v>
      </c>
      <c r="AW399" s="11">
        <v>22000000</v>
      </c>
      <c r="AZ399" s="11">
        <f ca="1">IFERROR(OFFSET(ITEM_RES!$A$1,MATCH(BA399,ITEM_RES!$J:$J,0)-1,0),0)</f>
        <v>211020101</v>
      </c>
      <c r="BA399" s="10" t="s">
        <v>448</v>
      </c>
      <c r="BB399" s="11">
        <v>22000000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  <c r="BO399" s="11">
        <f ca="1">IFERROR(OFFSET(ITEM_RES!$A$1,MATCH(BP399,ITEM_RES!$J:$J,0)-1,0),0)</f>
        <v>0</v>
      </c>
    </row>
    <row r="400" spans="1:70" x14ac:dyDescent="0.3">
      <c r="A400" s="14">
        <f t="shared" si="121"/>
        <v>111090016</v>
      </c>
      <c r="B400" s="13">
        <v>11</v>
      </c>
      <c r="C400" s="12">
        <f t="shared" si="122"/>
        <v>1</v>
      </c>
      <c r="D400" s="13">
        <v>9</v>
      </c>
      <c r="E400" s="13">
        <v>0</v>
      </c>
      <c r="F400" s="12">
        <f t="shared" si="123"/>
        <v>16</v>
      </c>
      <c r="H400" s="9">
        <v>1</v>
      </c>
      <c r="I400" s="9">
        <v>16</v>
      </c>
      <c r="K400" s="9" t="s">
        <v>370</v>
      </c>
      <c r="M400" s="9" t="s">
        <v>958</v>
      </c>
      <c r="N400" s="9" t="s">
        <v>976</v>
      </c>
      <c r="O400" s="9">
        <v>0</v>
      </c>
      <c r="P400" s="9">
        <v>15</v>
      </c>
      <c r="Q400" s="9" t="s">
        <v>781</v>
      </c>
      <c r="U400" s="9" t="s">
        <v>722</v>
      </c>
      <c r="X400" s="9">
        <f ca="1">IFERROR(OFFSET(ITEM_RES!$A$5,MATCH(BUILDING!W400,ITEM_RES!$J$5:$J$226,0)-1,0),0)</f>
        <v>0</v>
      </c>
      <c r="Z400" s="85" t="s">
        <v>547</v>
      </c>
      <c r="AA400" s="9">
        <f ca="1">IFERROR(OFFSET(ITEM_RES!$A$5,MATCH(BUILDING!Z400,ITEM_RES!$J$5:$J$226,0)-1,0),0)</f>
        <v>211020201</v>
      </c>
      <c r="AC400" s="9" t="s">
        <v>525</v>
      </c>
      <c r="AD400" s="9">
        <v>16</v>
      </c>
      <c r="AF400" s="11">
        <f ca="1">IFERROR(OFFSET(MANOR_LEVEL!$B$1,MATCH(AG400-1,MANOR_LEVEL!$A:$A,0)-1,0),0)</f>
        <v>1156400</v>
      </c>
      <c r="AG400" s="56">
        <v>13</v>
      </c>
      <c r="AI400" s="56">
        <f t="shared" ca="1" si="126"/>
        <v>1201400</v>
      </c>
      <c r="AJ400" s="10">
        <f ca="1">AO400+AQ400+(IFERROR(OFFSET(ITEM_RES!$S$1,MATCH(AU400,ITEM_RES!$A:$A,0)-1,0),0)*AW400+IFERROR(OFFSET(ITEM_RES!$S$1,MATCH(AZ400,ITEM_RES!$A:$A,0)-1,0),0)*BB400+IFERROR(OFFSET(ITEM_RES!$S$1,MATCH(BE400,ITEM_RES!$A:$A,0)-1,0),0)*BG400+IFERROR(OFFSET(ITEM_RES!$S$1,MATCH(BJ400,ITEM_RES!$A:$A,0)-1,0),0)*BL400+IFERROR(OFFSET(ITEM_RES!$S$1,MATCH(BO400,ITEM_RES!$A:$A,0)-1,0),0)*BQ400)/1000</f>
        <v>1201400</v>
      </c>
      <c r="AK400" s="183">
        <f t="shared" ca="1" si="130"/>
        <v>2082500</v>
      </c>
      <c r="AM400" s="11">
        <f t="shared" si="128"/>
        <v>80</v>
      </c>
      <c r="AN400" s="10">
        <v>80</v>
      </c>
      <c r="AO400" s="11">
        <f t="shared" si="124"/>
        <v>700</v>
      </c>
      <c r="AP400" s="10">
        <v>700</v>
      </c>
      <c r="AQ400" s="11">
        <f t="shared" si="124"/>
        <v>700</v>
      </c>
      <c r="AR400" s="10">
        <v>700</v>
      </c>
      <c r="AS400" s="56">
        <f t="shared" si="129"/>
        <v>2</v>
      </c>
      <c r="AU400" s="11">
        <f ca="1">IFERROR(OFFSET(ITEM_RES!$A$1,MATCH(AV400,ITEM_RES!$J:$J,0)-1,0),0)</f>
        <v>211010601</v>
      </c>
      <c r="AV400" s="10" t="s">
        <v>443</v>
      </c>
      <c r="AW400" s="11">
        <v>30000000</v>
      </c>
      <c r="AZ400" s="11">
        <f ca="1">IFERROR(OFFSET(ITEM_RES!$A$1,MATCH(BA400,ITEM_RES!$J:$J,0)-1,0),0)</f>
        <v>211020101</v>
      </c>
      <c r="BA400" s="10" t="s">
        <v>448</v>
      </c>
      <c r="BB400" s="11">
        <v>30000000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  <c r="BO400" s="11">
        <f ca="1">IFERROR(OFFSET(ITEM_RES!$A$1,MATCH(BP400,ITEM_RES!$J:$J,0)-1,0),0)</f>
        <v>0</v>
      </c>
    </row>
    <row r="401" spans="1:70" x14ac:dyDescent="0.3">
      <c r="A401" s="14">
        <f t="shared" si="121"/>
        <v>111090017</v>
      </c>
      <c r="B401" s="13">
        <v>11</v>
      </c>
      <c r="C401" s="12">
        <f t="shared" si="122"/>
        <v>1</v>
      </c>
      <c r="D401" s="13">
        <v>9</v>
      </c>
      <c r="E401" s="13">
        <v>0</v>
      </c>
      <c r="F401" s="12">
        <f t="shared" si="123"/>
        <v>17</v>
      </c>
      <c r="H401" s="9">
        <v>1</v>
      </c>
      <c r="I401" s="9">
        <v>17</v>
      </c>
      <c r="K401" s="9" t="s">
        <v>370</v>
      </c>
      <c r="M401" s="9" t="s">
        <v>958</v>
      </c>
      <c r="N401" s="9" t="s">
        <v>976</v>
      </c>
      <c r="O401" s="9">
        <v>0</v>
      </c>
      <c r="P401" s="9">
        <v>15</v>
      </c>
      <c r="Q401" s="9" t="s">
        <v>781</v>
      </c>
      <c r="U401" s="9" t="s">
        <v>722</v>
      </c>
      <c r="X401" s="9">
        <f ca="1">IFERROR(OFFSET(ITEM_RES!$A$5,MATCH(BUILDING!W401,ITEM_RES!$J$5:$J$226,0)-1,0),0)</f>
        <v>0</v>
      </c>
      <c r="Z401" s="85" t="s">
        <v>547</v>
      </c>
      <c r="AA401" s="9">
        <f ca="1">IFERROR(OFFSET(ITEM_RES!$A$5,MATCH(BUILDING!Z401,ITEM_RES!$J$5:$J$226,0)-1,0),0)</f>
        <v>211020201</v>
      </c>
      <c r="AC401" s="9" t="s">
        <v>525</v>
      </c>
      <c r="AD401" s="9">
        <v>17</v>
      </c>
      <c r="AF401" s="11">
        <f ca="1">IFERROR(OFFSET(MANOR_LEVEL!$B$1,MATCH(AG401-1,MANOR_LEVEL!$A:$A,0)-1,0),0)</f>
        <v>1661200</v>
      </c>
      <c r="AG401" s="56">
        <v>14</v>
      </c>
      <c r="AI401" s="56">
        <f t="shared" ca="1" si="126"/>
        <v>1841700</v>
      </c>
      <c r="AJ401" s="10">
        <f ca="1">AO401+AQ401+(IFERROR(OFFSET(ITEM_RES!$S$1,MATCH(AU401,ITEM_RES!$A:$A,0)-1,0),0)*AW401+IFERROR(OFFSET(ITEM_RES!$S$1,MATCH(AZ401,ITEM_RES!$A:$A,0)-1,0),0)*BB401+IFERROR(OFFSET(ITEM_RES!$S$1,MATCH(BE401,ITEM_RES!$A:$A,0)-1,0),0)*BG401+IFERROR(OFFSET(ITEM_RES!$S$1,MATCH(BJ401,ITEM_RES!$A:$A,0)-1,0),0)*BL401+IFERROR(OFFSET(ITEM_RES!$S$1,MATCH(BO401,ITEM_RES!$A:$A,0)-1,0),0)*BQ401)/1000</f>
        <v>1841700</v>
      </c>
      <c r="AK401" s="183">
        <f t="shared" ca="1" si="130"/>
        <v>3043100</v>
      </c>
      <c r="AM401" s="11">
        <f t="shared" si="128"/>
        <v>85</v>
      </c>
      <c r="AN401" s="10">
        <v>85</v>
      </c>
      <c r="AO401" s="11">
        <f t="shared" si="124"/>
        <v>850</v>
      </c>
      <c r="AP401" s="10">
        <v>850</v>
      </c>
      <c r="AQ401" s="11">
        <f t="shared" si="124"/>
        <v>850</v>
      </c>
      <c r="AR401" s="10">
        <v>850</v>
      </c>
      <c r="AS401" s="56">
        <f t="shared" si="129"/>
        <v>2</v>
      </c>
      <c r="AU401" s="11">
        <f ca="1">IFERROR(OFFSET(ITEM_RES!$A$1,MATCH(AV401,ITEM_RES!$J:$J,0)-1,0),0)</f>
        <v>211010601</v>
      </c>
      <c r="AV401" s="10" t="s">
        <v>443</v>
      </c>
      <c r="AW401" s="11">
        <v>46000000</v>
      </c>
      <c r="AZ401" s="11">
        <f ca="1">IFERROR(OFFSET(ITEM_RES!$A$1,MATCH(BA401,ITEM_RES!$J:$J,0)-1,0),0)</f>
        <v>211020101</v>
      </c>
      <c r="BA401" s="10" t="s">
        <v>448</v>
      </c>
      <c r="BB401" s="11">
        <v>46000000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  <c r="BO401" s="11">
        <f ca="1">IFERROR(OFFSET(ITEM_RES!$A$1,MATCH(BP401,ITEM_RES!$J:$J,0)-1,0),0)</f>
        <v>0</v>
      </c>
    </row>
    <row r="402" spans="1:70" x14ac:dyDescent="0.3">
      <c r="A402" s="14">
        <f t="shared" si="121"/>
        <v>111090018</v>
      </c>
      <c r="B402" s="13">
        <v>11</v>
      </c>
      <c r="C402" s="12">
        <f t="shared" si="122"/>
        <v>1</v>
      </c>
      <c r="D402" s="13">
        <v>9</v>
      </c>
      <c r="E402" s="13">
        <v>0</v>
      </c>
      <c r="F402" s="12">
        <f t="shared" si="123"/>
        <v>18</v>
      </c>
      <c r="H402" s="9">
        <v>1</v>
      </c>
      <c r="I402" s="9">
        <v>18</v>
      </c>
      <c r="K402" s="9" t="s">
        <v>370</v>
      </c>
      <c r="M402" s="9" t="s">
        <v>958</v>
      </c>
      <c r="N402" s="9" t="s">
        <v>976</v>
      </c>
      <c r="O402" s="9">
        <v>0</v>
      </c>
      <c r="P402" s="9">
        <v>15</v>
      </c>
      <c r="Q402" s="9" t="s">
        <v>781</v>
      </c>
      <c r="U402" s="9" t="s">
        <v>722</v>
      </c>
      <c r="X402" s="9">
        <f ca="1">IFERROR(OFFSET(ITEM_RES!$A$5,MATCH(BUILDING!W402,ITEM_RES!$J$5:$J$226,0)-1,0),0)</f>
        <v>0</v>
      </c>
      <c r="Z402" s="85" t="s">
        <v>547</v>
      </c>
      <c r="AA402" s="9">
        <f ca="1">IFERROR(OFFSET(ITEM_RES!$A$5,MATCH(BUILDING!Z402,ITEM_RES!$J$5:$J$226,0)-1,0),0)</f>
        <v>211020201</v>
      </c>
      <c r="AC402" s="9" t="s">
        <v>525</v>
      </c>
      <c r="AD402" s="9">
        <v>18</v>
      </c>
      <c r="AF402" s="11">
        <f ca="1">IFERROR(OFFSET(MANOR_LEVEL!$B$1,MATCH(AG402-1,MANOR_LEVEL!$A:$A,0)-1,0),0)</f>
        <v>2622400</v>
      </c>
      <c r="AG402" s="56">
        <v>15</v>
      </c>
      <c r="AI402" s="56">
        <f t="shared" ca="1" si="126"/>
        <v>2802100</v>
      </c>
      <c r="AJ402" s="10">
        <f ca="1">AO402+AQ402+(IFERROR(OFFSET(ITEM_RES!$S$1,MATCH(AU402,ITEM_RES!$A:$A,0)-1,0),0)*AW402+IFERROR(OFFSET(ITEM_RES!$S$1,MATCH(AZ402,ITEM_RES!$A:$A,0)-1,0),0)*BB402+IFERROR(OFFSET(ITEM_RES!$S$1,MATCH(BE402,ITEM_RES!$A:$A,0)-1,0),0)*BG402+IFERROR(OFFSET(ITEM_RES!$S$1,MATCH(BJ402,ITEM_RES!$A:$A,0)-1,0),0)*BL402+IFERROR(OFFSET(ITEM_RES!$S$1,MATCH(BO402,ITEM_RES!$A:$A,0)-1,0),0)*BQ402)/1000</f>
        <v>2802100</v>
      </c>
      <c r="AK402" s="183">
        <f t="shared" ca="1" si="130"/>
        <v>4643800</v>
      </c>
      <c r="AM402" s="11">
        <f t="shared" si="128"/>
        <v>90</v>
      </c>
      <c r="AN402" s="10">
        <v>90</v>
      </c>
      <c r="AO402" s="11">
        <f t="shared" si="124"/>
        <v>1050</v>
      </c>
      <c r="AP402" s="10">
        <v>1050</v>
      </c>
      <c r="AQ402" s="11">
        <f t="shared" si="124"/>
        <v>1050</v>
      </c>
      <c r="AR402" s="10">
        <v>1050</v>
      </c>
      <c r="AS402" s="56">
        <f t="shared" si="129"/>
        <v>2</v>
      </c>
      <c r="AU402" s="11">
        <f ca="1">IFERROR(OFFSET(ITEM_RES!$A$1,MATCH(AV402,ITEM_RES!$J:$J,0)-1,0),0)</f>
        <v>211010601</v>
      </c>
      <c r="AV402" s="10" t="s">
        <v>443</v>
      </c>
      <c r="AW402" s="11">
        <v>70000000</v>
      </c>
      <c r="AZ402" s="11">
        <f ca="1">IFERROR(OFFSET(ITEM_RES!$A$1,MATCH(BA402,ITEM_RES!$J:$J,0)-1,0),0)</f>
        <v>211020101</v>
      </c>
      <c r="BA402" s="10" t="s">
        <v>448</v>
      </c>
      <c r="BB402" s="11">
        <v>70000000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  <c r="BO402" s="11">
        <f ca="1">IFERROR(OFFSET(ITEM_RES!$A$1,MATCH(BP402,ITEM_RES!$J:$J,0)-1,0),0)</f>
        <v>0</v>
      </c>
    </row>
    <row r="403" spans="1:70" x14ac:dyDescent="0.3">
      <c r="A403" s="14">
        <f t="shared" si="121"/>
        <v>111090019</v>
      </c>
      <c r="B403" s="13">
        <v>11</v>
      </c>
      <c r="C403" s="12">
        <f t="shared" si="122"/>
        <v>1</v>
      </c>
      <c r="D403" s="13">
        <v>9</v>
      </c>
      <c r="E403" s="13">
        <v>0</v>
      </c>
      <c r="F403" s="12">
        <f t="shared" si="123"/>
        <v>19</v>
      </c>
      <c r="H403" s="9">
        <v>1</v>
      </c>
      <c r="I403" s="9">
        <v>19</v>
      </c>
      <c r="K403" s="9" t="s">
        <v>370</v>
      </c>
      <c r="M403" s="9" t="s">
        <v>958</v>
      </c>
      <c r="N403" s="9" t="s">
        <v>976</v>
      </c>
      <c r="O403" s="9">
        <v>0</v>
      </c>
      <c r="P403" s="9">
        <v>15</v>
      </c>
      <c r="Q403" s="9" t="s">
        <v>781</v>
      </c>
      <c r="U403" s="9" t="s">
        <v>722</v>
      </c>
      <c r="X403" s="9">
        <f ca="1">IFERROR(OFFSET(ITEM_RES!$A$5,MATCH(BUILDING!W403,ITEM_RES!$J$5:$J$226,0)-1,0),0)</f>
        <v>0</v>
      </c>
      <c r="Z403" s="85" t="s">
        <v>547</v>
      </c>
      <c r="AA403" s="9">
        <f ca="1">IFERROR(OFFSET(ITEM_RES!$A$5,MATCH(BUILDING!Z403,ITEM_RES!$J$5:$J$226,0)-1,0),0)</f>
        <v>211020201</v>
      </c>
      <c r="AC403" s="9" t="s">
        <v>525</v>
      </c>
      <c r="AD403" s="9">
        <v>19</v>
      </c>
      <c r="AF403" s="11">
        <f ca="1">IFERROR(OFFSET(MANOR_LEVEL!$B$1,MATCH(AG403-1,MANOR_LEVEL!$A:$A,0)-1,0),0)</f>
        <v>4232000</v>
      </c>
      <c r="AG403" s="56">
        <v>16</v>
      </c>
      <c r="AI403" s="56">
        <f t="shared" ca="1" si="126"/>
        <v>3842500</v>
      </c>
      <c r="AJ403" s="10">
        <f ca="1">AO403+AQ403+(IFERROR(OFFSET(ITEM_RES!$S$1,MATCH(AU403,ITEM_RES!$A:$A,0)-1,0),0)*AW403+IFERROR(OFFSET(ITEM_RES!$S$1,MATCH(AZ403,ITEM_RES!$A:$A,0)-1,0),0)*BB403+IFERROR(OFFSET(ITEM_RES!$S$1,MATCH(BE403,ITEM_RES!$A:$A,0)-1,0),0)*BG403+IFERROR(OFFSET(ITEM_RES!$S$1,MATCH(BJ403,ITEM_RES!$A:$A,0)-1,0),0)*BL403+IFERROR(OFFSET(ITEM_RES!$S$1,MATCH(BO403,ITEM_RES!$A:$A,0)-1,0),0)*BQ403)/1000</f>
        <v>3842500</v>
      </c>
      <c r="AK403" s="183">
        <f t="shared" ca="1" si="130"/>
        <v>6644600</v>
      </c>
      <c r="AM403" s="11">
        <f t="shared" si="128"/>
        <v>95</v>
      </c>
      <c r="AN403" s="10">
        <v>95</v>
      </c>
      <c r="AO403" s="11">
        <f t="shared" si="124"/>
        <v>1250</v>
      </c>
      <c r="AP403" s="10">
        <v>1250</v>
      </c>
      <c r="AQ403" s="11">
        <f t="shared" si="124"/>
        <v>1250</v>
      </c>
      <c r="AR403" s="10">
        <v>1250</v>
      </c>
      <c r="AS403" s="56">
        <f t="shared" si="129"/>
        <v>2</v>
      </c>
      <c r="AU403" s="11">
        <f ca="1">IFERROR(OFFSET(ITEM_RES!$A$1,MATCH(AV403,ITEM_RES!$J:$J,0)-1,0),0)</f>
        <v>211010601</v>
      </c>
      <c r="AV403" s="10" t="s">
        <v>443</v>
      </c>
      <c r="AW403" s="11">
        <v>96000000</v>
      </c>
      <c r="AZ403" s="11">
        <f ca="1">IFERROR(OFFSET(ITEM_RES!$A$1,MATCH(BA403,ITEM_RES!$J:$J,0)-1,0),0)</f>
        <v>211020101</v>
      </c>
      <c r="BA403" s="10" t="s">
        <v>448</v>
      </c>
      <c r="BB403" s="11">
        <v>96000000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  <c r="BO403" s="11">
        <f ca="1">IFERROR(OFFSET(ITEM_RES!$A$1,MATCH(BP403,ITEM_RES!$J:$J,0)-1,0),0)</f>
        <v>0</v>
      </c>
    </row>
    <row r="404" spans="1:70" ht="17.25" thickBot="1" x14ac:dyDescent="0.35">
      <c r="A404" s="14">
        <f t="shared" si="121"/>
        <v>111090020</v>
      </c>
      <c r="B404" s="13">
        <v>11</v>
      </c>
      <c r="C404" s="12">
        <f t="shared" si="122"/>
        <v>1</v>
      </c>
      <c r="D404" s="13">
        <v>9</v>
      </c>
      <c r="E404" s="13">
        <v>0</v>
      </c>
      <c r="F404" s="12">
        <f t="shared" si="123"/>
        <v>20</v>
      </c>
      <c r="H404" s="9">
        <v>1</v>
      </c>
      <c r="I404" s="9">
        <v>20</v>
      </c>
      <c r="K404" s="9" t="s">
        <v>370</v>
      </c>
      <c r="M404" s="9" t="s">
        <v>958</v>
      </c>
      <c r="N404" s="9" t="s">
        <v>976</v>
      </c>
      <c r="O404" s="9">
        <v>0</v>
      </c>
      <c r="P404" s="9">
        <v>15</v>
      </c>
      <c r="Q404" s="9" t="s">
        <v>781</v>
      </c>
      <c r="U404" s="9" t="s">
        <v>722</v>
      </c>
      <c r="X404" s="9">
        <f ca="1">IFERROR(OFFSET(ITEM_RES!$A$5,MATCH(BUILDING!W404,ITEM_RES!$J$5:$J$226,0)-1,0),0)</f>
        <v>0</v>
      </c>
      <c r="Z404" s="85" t="s">
        <v>547</v>
      </c>
      <c r="AA404" s="9">
        <f ca="1">IFERROR(OFFSET(ITEM_RES!$A$5,MATCH(BUILDING!Z404,ITEM_RES!$J$5:$J$226,0)-1,0),0)</f>
        <v>211020201</v>
      </c>
      <c r="AC404" s="9" t="s">
        <v>525</v>
      </c>
      <c r="AD404" s="9">
        <v>20</v>
      </c>
      <c r="AF404" s="11">
        <f ca="1">IFERROR(OFFSET(MANOR_LEVEL!$B$1,MATCH(AG404-1,MANOR_LEVEL!$A:$A,0)-1,0),0)</f>
        <v>7450000</v>
      </c>
      <c r="AG404" s="56">
        <v>17</v>
      </c>
      <c r="AI404" s="56">
        <f t="shared" ca="1" si="126"/>
        <v>6083000</v>
      </c>
      <c r="AJ404" s="10">
        <f ca="1">AO404+AQ404+(IFERROR(OFFSET(ITEM_RES!$S$1,MATCH(AU404,ITEM_RES!$A:$A,0)-1,0),0)*AW404+IFERROR(OFFSET(ITEM_RES!$S$1,MATCH(AZ404,ITEM_RES!$A:$A,0)-1,0),0)*BB404+IFERROR(OFFSET(ITEM_RES!$S$1,MATCH(BE404,ITEM_RES!$A:$A,0)-1,0),0)*BG404+IFERROR(OFFSET(ITEM_RES!$S$1,MATCH(BJ404,ITEM_RES!$A:$A,0)-1,0),0)*BL404+IFERROR(OFFSET(ITEM_RES!$S$1,MATCH(BO404,ITEM_RES!$A:$A,0)-1,0),0)*BQ404)/1000</f>
        <v>6083000</v>
      </c>
      <c r="AK404" s="183">
        <f t="shared" ca="1" si="130"/>
        <v>9925500</v>
      </c>
      <c r="AM404" s="11">
        <f t="shared" si="128"/>
        <v>100</v>
      </c>
      <c r="AN404" s="10">
        <v>100</v>
      </c>
      <c r="AO404" s="11">
        <f t="shared" si="124"/>
        <v>1500</v>
      </c>
      <c r="AP404" s="10">
        <v>1500</v>
      </c>
      <c r="AQ404" s="11">
        <f t="shared" si="124"/>
        <v>1500</v>
      </c>
      <c r="AR404" s="10">
        <v>1500</v>
      </c>
      <c r="AS404" s="56">
        <f t="shared" si="129"/>
        <v>2</v>
      </c>
      <c r="AU404" s="11">
        <f ca="1">IFERROR(OFFSET(ITEM_RES!$A$1,MATCH(AV404,ITEM_RES!$J:$J,0)-1,0),0)</f>
        <v>211010601</v>
      </c>
      <c r="AV404" s="10" t="s">
        <v>443</v>
      </c>
      <c r="AW404" s="11">
        <v>152000000</v>
      </c>
      <c r="AZ404" s="11">
        <f ca="1">IFERROR(OFFSET(ITEM_RES!$A$1,MATCH(BA404,ITEM_RES!$J:$J,0)-1,0),0)</f>
        <v>211020101</v>
      </c>
      <c r="BA404" s="10" t="s">
        <v>448</v>
      </c>
      <c r="BB404" s="11">
        <v>152000000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  <c r="BO404" s="11">
        <f ca="1">IFERROR(OFFSET(ITEM_RES!$A$1,MATCH(BP404,ITEM_RES!$J:$J,0)-1,0),0)</f>
        <v>0</v>
      </c>
    </row>
    <row r="405" spans="1:70" s="15" customFormat="1" x14ac:dyDescent="0.3">
      <c r="A405" s="21">
        <f t="shared" ref="A405:A448" si="131">B405*10000000+C405*1000000+D405*10000+E405*100+F405</f>
        <v>112060001</v>
      </c>
      <c r="B405" s="20">
        <v>11</v>
      </c>
      <c r="C405" s="19">
        <f t="shared" ref="C405:C448" si="132">H405</f>
        <v>2</v>
      </c>
      <c r="D405" s="20">
        <v>6</v>
      </c>
      <c r="E405" s="20">
        <v>0</v>
      </c>
      <c r="F405" s="19">
        <f t="shared" ref="F405:F448" si="133">I405</f>
        <v>1</v>
      </c>
      <c r="G405" s="79"/>
      <c r="H405" s="16">
        <v>2</v>
      </c>
      <c r="I405" s="16">
        <v>1</v>
      </c>
      <c r="J405" s="79"/>
      <c r="K405" s="16" t="s">
        <v>422</v>
      </c>
      <c r="L405" s="16">
        <v>8</v>
      </c>
      <c r="M405" s="16" t="s">
        <v>959</v>
      </c>
      <c r="N405" s="16" t="s">
        <v>977</v>
      </c>
      <c r="O405" s="16">
        <v>1</v>
      </c>
      <c r="P405" s="16">
        <v>15</v>
      </c>
      <c r="Q405" s="16" t="s">
        <v>1165</v>
      </c>
      <c r="R405" s="17"/>
      <c r="S405" s="17"/>
      <c r="T405" s="18"/>
      <c r="U405" s="16" t="s">
        <v>721</v>
      </c>
      <c r="V405" s="79"/>
      <c r="W405" s="87" t="s">
        <v>553</v>
      </c>
      <c r="X405" s="16">
        <f ca="1">IFERROR(OFFSET(ITEM_RES!$A$5,MATCH(BUILDING!W405,ITEM_RES!$J$5:$J$226,0)-1,0),0)</f>
        <v>211020401</v>
      </c>
      <c r="Y405" s="18">
        <v>1</v>
      </c>
      <c r="Z405" s="87" t="s">
        <v>548</v>
      </c>
      <c r="AA405" s="16">
        <f ca="1">IFERROR(OFFSET(ITEM_RES!$A$5,MATCH(BUILDING!Z405,ITEM_RES!$J$5:$J$226,0)-1,0),0)</f>
        <v>211020501</v>
      </c>
      <c r="AB405" s="79"/>
      <c r="AC405" s="16" t="s">
        <v>526</v>
      </c>
      <c r="AD405" s="16">
        <v>1</v>
      </c>
      <c r="AE405" s="79"/>
      <c r="AF405" s="18">
        <f ca="1">IFERROR(OFFSET(MANOR_LEVEL!$B$1,MATCH(AG405-1,MANOR_LEVEL!$A:$A,0)-1,0),0)</f>
        <v>311600</v>
      </c>
      <c r="AG405" s="57">
        <v>10</v>
      </c>
      <c r="AH405" s="79"/>
      <c r="AI405" s="57">
        <f t="shared" ca="1" si="126"/>
        <v>110</v>
      </c>
      <c r="AJ405" s="17">
        <f ca="1">AO405+AQ405+(IFERROR(OFFSET(ITEM_RES!$S$1,MATCH(AU405,ITEM_RES!$A:$A,0)-1,0),0)*AW405+IFERROR(OFFSET(ITEM_RES!$S$1,MATCH(AZ405,ITEM_RES!$A:$A,0)-1,0),0)*BB405+IFERROR(OFFSET(ITEM_RES!$S$1,MATCH(BE405,ITEM_RES!$A:$A,0)-1,0),0)*BG405+IFERROR(OFFSET(ITEM_RES!$S$1,MATCH(BJ405,ITEM_RES!$A:$A,0)-1,0),0)*BL405+IFERROR(OFFSET(ITEM_RES!$S$1,MATCH(BO405,ITEM_RES!$A:$A,0)-1,0),0)*BQ405)/1000</f>
        <v>110.11</v>
      </c>
      <c r="AK405" s="185">
        <f ca="1">AI405</f>
        <v>110</v>
      </c>
      <c r="AL405" s="79"/>
      <c r="AM405" s="18">
        <f t="shared" si="128"/>
        <v>5</v>
      </c>
      <c r="AN405" s="17">
        <v>5</v>
      </c>
      <c r="AO405" s="18">
        <f t="shared" ref="AO405:AQ449" si="134">ROUND(AP405,0)</f>
        <v>5</v>
      </c>
      <c r="AP405" s="17">
        <v>5</v>
      </c>
      <c r="AQ405" s="18">
        <f t="shared" si="134"/>
        <v>5</v>
      </c>
      <c r="AR405" s="17">
        <v>5</v>
      </c>
      <c r="AS405" s="57">
        <f t="shared" si="129"/>
        <v>3</v>
      </c>
      <c r="AT405" s="18"/>
      <c r="AU405" s="18">
        <f ca="1">IFERROR(OFFSET(ITEM_RES!$A$1,MATCH(AV405,ITEM_RES!$J:$J,0)-1,0),0)</f>
        <v>211020401</v>
      </c>
      <c r="AV405" s="17" t="s">
        <v>436</v>
      </c>
      <c r="AW405" s="18">
        <v>1</v>
      </c>
      <c r="AX405" s="17"/>
      <c r="AY405" s="18"/>
      <c r="AZ405" s="18">
        <f ca="1">IFERROR(OFFSET(ITEM_RES!$A$1,MATCH(BA405,ITEM_RES!$J:$J,0)-1,0),0)</f>
        <v>211020801</v>
      </c>
      <c r="BA405" s="17" t="s">
        <v>437</v>
      </c>
      <c r="BB405" s="18">
        <v>1</v>
      </c>
      <c r="BC405" s="17"/>
      <c r="BD405" s="18"/>
      <c r="BE405" s="18">
        <f ca="1">IFERROR(OFFSET(ITEM_RES!$A$1,MATCH(BF405,ITEM_RES!$J:$J,0)-1,0),0)</f>
        <v>213010101</v>
      </c>
      <c r="BF405" s="17" t="s">
        <v>452</v>
      </c>
      <c r="BG405" s="18">
        <v>1</v>
      </c>
      <c r="BH405" s="17"/>
      <c r="BI405" s="18"/>
      <c r="BJ405" s="18">
        <f ca="1">IFERROR(OFFSET(ITEM_RES!$A$1,MATCH(BK405,ITEM_RES!$J:$J,0)-1,0),0)</f>
        <v>0</v>
      </c>
      <c r="BK405" s="17"/>
      <c r="BL405" s="18"/>
      <c r="BM405" s="17"/>
      <c r="BN405" s="18"/>
      <c r="BO405" s="18">
        <f ca="1">IFERROR(OFFSET(ITEM_RES!$A$1,MATCH(BP405,ITEM_RES!$J:$J,0)-1,0),0)</f>
        <v>0</v>
      </c>
      <c r="BP405" s="17"/>
      <c r="BQ405" s="18"/>
      <c r="BR405" s="17"/>
    </row>
    <row r="406" spans="1:70" x14ac:dyDescent="0.3">
      <c r="A406" s="14">
        <f t="shared" si="131"/>
        <v>112060002</v>
      </c>
      <c r="B406" s="13">
        <v>11</v>
      </c>
      <c r="C406" s="12">
        <f t="shared" si="132"/>
        <v>2</v>
      </c>
      <c r="D406" s="13">
        <v>6</v>
      </c>
      <c r="E406" s="13">
        <v>0</v>
      </c>
      <c r="F406" s="12">
        <f t="shared" si="133"/>
        <v>2</v>
      </c>
      <c r="H406" s="9">
        <v>2</v>
      </c>
      <c r="I406" s="9">
        <v>2</v>
      </c>
      <c r="K406" s="9" t="s">
        <v>422</v>
      </c>
      <c r="M406" s="9" t="s">
        <v>959</v>
      </c>
      <c r="N406" s="9" t="s">
        <v>977</v>
      </c>
      <c r="O406" s="9">
        <v>1</v>
      </c>
      <c r="P406" s="9">
        <v>15</v>
      </c>
      <c r="Q406" s="9" t="s">
        <v>1165</v>
      </c>
      <c r="U406" s="9" t="s">
        <v>721</v>
      </c>
      <c r="W406" s="85" t="s">
        <v>553</v>
      </c>
      <c r="X406" s="9">
        <f ca="1">IFERROR(OFFSET(ITEM_RES!$A$5,MATCH(BUILDING!W406,ITEM_RES!$J$5:$J$226,0)-1,0),0)</f>
        <v>211020401</v>
      </c>
      <c r="Y406" s="11">
        <v>1</v>
      </c>
      <c r="Z406" s="85" t="s">
        <v>548</v>
      </c>
      <c r="AA406" s="9">
        <f ca="1">IFERROR(OFFSET(ITEM_RES!$A$5,MATCH(BUILDING!Z406,ITEM_RES!$J$5:$J$226,0)-1,0),0)</f>
        <v>211020501</v>
      </c>
      <c r="AC406" s="9" t="s">
        <v>526</v>
      </c>
      <c r="AD406" s="9">
        <v>2</v>
      </c>
      <c r="AF406" s="11">
        <f ca="1">IFERROR(OFFSET(MANOR_LEVEL!$B$1,MATCH(AG406-1,MANOR_LEVEL!$A:$A,0)-1,0),0)</f>
        <v>311600</v>
      </c>
      <c r="AG406" s="56">
        <v>10</v>
      </c>
      <c r="AI406" s="56">
        <f t="shared" ca="1" si="126"/>
        <v>20</v>
      </c>
      <c r="AJ406" s="10">
        <f ca="1">AO406+AQ406+(IFERROR(OFFSET(ITEM_RES!$S$1,MATCH(AU406,ITEM_RES!$A:$A,0)-1,0),0)*AW406+IFERROR(OFFSET(ITEM_RES!$S$1,MATCH(AZ406,ITEM_RES!$A:$A,0)-1,0),0)*BB406+IFERROR(OFFSET(ITEM_RES!$S$1,MATCH(BE406,ITEM_RES!$A:$A,0)-1,0),0)*BG406+IFERROR(OFFSET(ITEM_RES!$S$1,MATCH(BJ406,ITEM_RES!$A:$A,0)-1,0),0)*BL406+IFERROR(OFFSET(ITEM_RES!$S$1,MATCH(BO406,ITEM_RES!$A:$A,0)-1,0),0)*BQ406)/1000</f>
        <v>20.11</v>
      </c>
      <c r="AK406" s="183">
        <f ca="1">AI405+AI406</f>
        <v>130</v>
      </c>
      <c r="AM406" s="11">
        <f t="shared" si="128"/>
        <v>10</v>
      </c>
      <c r="AN406" s="10">
        <v>10</v>
      </c>
      <c r="AO406" s="11">
        <f t="shared" si="134"/>
        <v>10</v>
      </c>
      <c r="AP406" s="10">
        <v>10</v>
      </c>
      <c r="AQ406" s="11">
        <f t="shared" si="134"/>
        <v>10</v>
      </c>
      <c r="AR406" s="10">
        <v>10</v>
      </c>
      <c r="AS406" s="56">
        <f t="shared" si="129"/>
        <v>2</v>
      </c>
      <c r="AU406" s="11">
        <f ca="1">IFERROR(OFFSET(ITEM_RES!$A$1,MATCH(AV406,ITEM_RES!$J:$J,0)-1,0),0)</f>
        <v>211020401</v>
      </c>
      <c r="AV406" s="10" t="s">
        <v>436</v>
      </c>
      <c r="AW406" s="11">
        <v>1</v>
      </c>
      <c r="AZ406" s="11">
        <f ca="1">IFERROR(OFFSET(ITEM_RES!$A$1,MATCH(BA406,ITEM_RES!$J:$J,0)-1,0),0)</f>
        <v>211020801</v>
      </c>
      <c r="BA406" s="10" t="s">
        <v>437</v>
      </c>
      <c r="BB406" s="11">
        <v>1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  <c r="BO406" s="11">
        <f ca="1">IFERROR(OFFSET(ITEM_RES!$A$1,MATCH(BP406,ITEM_RES!$J:$J,0)-1,0),0)</f>
        <v>0</v>
      </c>
    </row>
    <row r="407" spans="1:70" x14ac:dyDescent="0.3">
      <c r="A407" s="14">
        <f t="shared" si="131"/>
        <v>112060003</v>
      </c>
      <c r="B407" s="13">
        <v>11</v>
      </c>
      <c r="C407" s="12">
        <f t="shared" si="132"/>
        <v>2</v>
      </c>
      <c r="D407" s="13">
        <v>6</v>
      </c>
      <c r="E407" s="13">
        <v>0</v>
      </c>
      <c r="F407" s="12">
        <f t="shared" si="133"/>
        <v>3</v>
      </c>
      <c r="H407" s="9">
        <v>2</v>
      </c>
      <c r="I407" s="9">
        <v>3</v>
      </c>
      <c r="K407" s="9" t="s">
        <v>422</v>
      </c>
      <c r="M407" s="9" t="s">
        <v>959</v>
      </c>
      <c r="N407" s="9" t="s">
        <v>977</v>
      </c>
      <c r="O407" s="9">
        <v>1</v>
      </c>
      <c r="P407" s="9">
        <v>15</v>
      </c>
      <c r="Q407" s="9" t="s">
        <v>1165</v>
      </c>
      <c r="U407" s="9" t="s">
        <v>721</v>
      </c>
      <c r="W407" s="85" t="s">
        <v>553</v>
      </c>
      <c r="X407" s="9">
        <f ca="1">IFERROR(OFFSET(ITEM_RES!$A$5,MATCH(BUILDING!W407,ITEM_RES!$J$5:$J$226,0)-1,0),0)</f>
        <v>211020401</v>
      </c>
      <c r="Y407" s="11">
        <v>1</v>
      </c>
      <c r="Z407" s="85" t="s">
        <v>548</v>
      </c>
      <c r="AA407" s="9">
        <f ca="1">IFERROR(OFFSET(ITEM_RES!$A$5,MATCH(BUILDING!Z407,ITEM_RES!$J$5:$J$226,0)-1,0),0)</f>
        <v>211020501</v>
      </c>
      <c r="AC407" s="9" t="s">
        <v>526</v>
      </c>
      <c r="AD407" s="9">
        <v>3</v>
      </c>
      <c r="AF407" s="11">
        <f ca="1">IFERROR(OFFSET(MANOR_LEVEL!$B$1,MATCH(AG407-1,MANOR_LEVEL!$A:$A,0)-1,0),0)</f>
        <v>311600</v>
      </c>
      <c r="AG407" s="56">
        <v>10</v>
      </c>
      <c r="AI407" s="56">
        <f t="shared" ca="1" si="126"/>
        <v>30</v>
      </c>
      <c r="AJ407" s="10">
        <f ca="1">AO407+AQ407+(IFERROR(OFFSET(ITEM_RES!$S$1,MATCH(AU407,ITEM_RES!$A:$A,0)-1,0),0)*AW407+IFERROR(OFFSET(ITEM_RES!$S$1,MATCH(AZ407,ITEM_RES!$A:$A,0)-1,0),0)*BB407+IFERROR(OFFSET(ITEM_RES!$S$1,MATCH(BE407,ITEM_RES!$A:$A,0)-1,0),0)*BG407+IFERROR(OFFSET(ITEM_RES!$S$1,MATCH(BJ407,ITEM_RES!$A:$A,0)-1,0),0)*BL407+IFERROR(OFFSET(ITEM_RES!$S$1,MATCH(BO407,ITEM_RES!$A:$A,0)-1,0),0)*BQ407)/1000</f>
        <v>30.11</v>
      </c>
      <c r="AK407" s="183">
        <f t="shared" ref="AK407:AK424" ca="1" si="135">AI406+AI407</f>
        <v>50</v>
      </c>
      <c r="AM407" s="11">
        <f t="shared" si="128"/>
        <v>15</v>
      </c>
      <c r="AN407" s="10">
        <v>15</v>
      </c>
      <c r="AO407" s="11">
        <f t="shared" si="134"/>
        <v>15</v>
      </c>
      <c r="AP407" s="10">
        <v>15</v>
      </c>
      <c r="AQ407" s="11">
        <f t="shared" si="134"/>
        <v>15</v>
      </c>
      <c r="AR407" s="10">
        <v>15</v>
      </c>
      <c r="AS407" s="56">
        <f t="shared" si="129"/>
        <v>2</v>
      </c>
      <c r="AU407" s="11">
        <f ca="1">IFERROR(OFFSET(ITEM_RES!$A$1,MATCH(AV407,ITEM_RES!$J:$J,0)-1,0),0)</f>
        <v>211020401</v>
      </c>
      <c r="AV407" s="10" t="s">
        <v>436</v>
      </c>
      <c r="AW407" s="11">
        <v>1</v>
      </c>
      <c r="AZ407" s="11">
        <f ca="1">IFERROR(OFFSET(ITEM_RES!$A$1,MATCH(BA407,ITEM_RES!$J:$J,0)-1,0),0)</f>
        <v>211020801</v>
      </c>
      <c r="BA407" s="10" t="s">
        <v>437</v>
      </c>
      <c r="BB407" s="11">
        <v>1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  <c r="BO407" s="11">
        <f ca="1">IFERROR(OFFSET(ITEM_RES!$A$1,MATCH(BP407,ITEM_RES!$J:$J,0)-1,0),0)</f>
        <v>0</v>
      </c>
    </row>
    <row r="408" spans="1:70" x14ac:dyDescent="0.3">
      <c r="A408" s="14">
        <f t="shared" si="131"/>
        <v>112060004</v>
      </c>
      <c r="B408" s="13">
        <v>11</v>
      </c>
      <c r="C408" s="12">
        <f t="shared" si="132"/>
        <v>2</v>
      </c>
      <c r="D408" s="13">
        <v>6</v>
      </c>
      <c r="E408" s="13">
        <v>0</v>
      </c>
      <c r="F408" s="12">
        <f t="shared" si="133"/>
        <v>4</v>
      </c>
      <c r="H408" s="9">
        <v>2</v>
      </c>
      <c r="I408" s="9">
        <v>4</v>
      </c>
      <c r="K408" s="9" t="s">
        <v>422</v>
      </c>
      <c r="M408" s="9" t="s">
        <v>959</v>
      </c>
      <c r="N408" s="9" t="s">
        <v>977</v>
      </c>
      <c r="O408" s="9">
        <v>1</v>
      </c>
      <c r="P408" s="9">
        <v>15</v>
      </c>
      <c r="Q408" s="9" t="s">
        <v>1165</v>
      </c>
      <c r="U408" s="9" t="s">
        <v>721</v>
      </c>
      <c r="W408" s="85" t="s">
        <v>553</v>
      </c>
      <c r="X408" s="9">
        <f ca="1">IFERROR(OFFSET(ITEM_RES!$A$5,MATCH(BUILDING!W408,ITEM_RES!$J$5:$J$226,0)-1,0),0)</f>
        <v>211020401</v>
      </c>
      <c r="Y408" s="11">
        <v>1</v>
      </c>
      <c r="Z408" s="85" t="s">
        <v>548</v>
      </c>
      <c r="AA408" s="9">
        <f ca="1">IFERROR(OFFSET(ITEM_RES!$A$5,MATCH(BUILDING!Z408,ITEM_RES!$J$5:$J$226,0)-1,0),0)</f>
        <v>211020501</v>
      </c>
      <c r="AC408" s="9" t="s">
        <v>526</v>
      </c>
      <c r="AD408" s="9">
        <v>4</v>
      </c>
      <c r="AF408" s="11">
        <f ca="1">IFERROR(OFFSET(MANOR_LEVEL!$B$1,MATCH(AG408-1,MANOR_LEVEL!$A:$A,0)-1,0),0)</f>
        <v>311600</v>
      </c>
      <c r="AG408" s="56">
        <v>10</v>
      </c>
      <c r="AI408" s="56">
        <f t="shared" ca="1" si="126"/>
        <v>50</v>
      </c>
      <c r="AJ408" s="10">
        <f ca="1">AO408+AQ408+(IFERROR(OFFSET(ITEM_RES!$S$1,MATCH(AU408,ITEM_RES!$A:$A,0)-1,0),0)*AW408+IFERROR(OFFSET(ITEM_RES!$S$1,MATCH(AZ408,ITEM_RES!$A:$A,0)-1,0),0)*BB408+IFERROR(OFFSET(ITEM_RES!$S$1,MATCH(BE408,ITEM_RES!$A:$A,0)-1,0),0)*BG408+IFERROR(OFFSET(ITEM_RES!$S$1,MATCH(BJ408,ITEM_RES!$A:$A,0)-1,0),0)*BL408+IFERROR(OFFSET(ITEM_RES!$S$1,MATCH(BO408,ITEM_RES!$A:$A,0)-1,0),0)*BQ408)/1000</f>
        <v>50.11</v>
      </c>
      <c r="AK408" s="183">
        <f t="shared" ca="1" si="135"/>
        <v>80</v>
      </c>
      <c r="AM408" s="11">
        <f t="shared" si="128"/>
        <v>20</v>
      </c>
      <c r="AN408" s="10">
        <v>20</v>
      </c>
      <c r="AO408" s="11">
        <f t="shared" si="134"/>
        <v>25</v>
      </c>
      <c r="AP408" s="10">
        <v>25</v>
      </c>
      <c r="AQ408" s="11">
        <f t="shared" si="134"/>
        <v>25</v>
      </c>
      <c r="AR408" s="10">
        <v>25</v>
      </c>
      <c r="AS408" s="56">
        <f t="shared" si="129"/>
        <v>2</v>
      </c>
      <c r="AU408" s="11">
        <f ca="1">IFERROR(OFFSET(ITEM_RES!$A$1,MATCH(AV408,ITEM_RES!$J:$J,0)-1,0),0)</f>
        <v>211020401</v>
      </c>
      <c r="AV408" s="10" t="s">
        <v>436</v>
      </c>
      <c r="AW408" s="11">
        <v>1</v>
      </c>
      <c r="AZ408" s="11">
        <f ca="1">IFERROR(OFFSET(ITEM_RES!$A$1,MATCH(BA408,ITEM_RES!$J:$J,0)-1,0),0)</f>
        <v>211020801</v>
      </c>
      <c r="BA408" s="10" t="s">
        <v>437</v>
      </c>
      <c r="BB408" s="11">
        <v>1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  <c r="BO408" s="11">
        <f ca="1">IFERROR(OFFSET(ITEM_RES!$A$1,MATCH(BP408,ITEM_RES!$J:$J,0)-1,0),0)</f>
        <v>0</v>
      </c>
    </row>
    <row r="409" spans="1:70" x14ac:dyDescent="0.3">
      <c r="A409" s="14">
        <f t="shared" si="131"/>
        <v>112060005</v>
      </c>
      <c r="B409" s="13">
        <v>11</v>
      </c>
      <c r="C409" s="12">
        <f t="shared" si="132"/>
        <v>2</v>
      </c>
      <c r="D409" s="13">
        <v>6</v>
      </c>
      <c r="E409" s="13">
        <v>0</v>
      </c>
      <c r="F409" s="12">
        <f t="shared" si="133"/>
        <v>5</v>
      </c>
      <c r="H409" s="9">
        <v>2</v>
      </c>
      <c r="I409" s="9">
        <v>5</v>
      </c>
      <c r="K409" s="9" t="s">
        <v>422</v>
      </c>
      <c r="M409" s="9" t="s">
        <v>959</v>
      </c>
      <c r="N409" s="9" t="s">
        <v>977</v>
      </c>
      <c r="O409" s="9">
        <v>1</v>
      </c>
      <c r="P409" s="9">
        <v>15</v>
      </c>
      <c r="Q409" s="9" t="s">
        <v>1165</v>
      </c>
      <c r="U409" s="9" t="s">
        <v>721</v>
      </c>
      <c r="W409" s="85" t="s">
        <v>553</v>
      </c>
      <c r="X409" s="9">
        <f ca="1">IFERROR(OFFSET(ITEM_RES!$A$5,MATCH(BUILDING!W409,ITEM_RES!$J$5:$J$226,0)-1,0),0)</f>
        <v>211020401</v>
      </c>
      <c r="Y409" s="11">
        <v>1</v>
      </c>
      <c r="Z409" s="85" t="s">
        <v>548</v>
      </c>
      <c r="AA409" s="9">
        <f ca="1">IFERROR(OFFSET(ITEM_RES!$A$5,MATCH(BUILDING!Z409,ITEM_RES!$J$5:$J$226,0)-1,0),0)</f>
        <v>211020501</v>
      </c>
      <c r="AC409" s="9" t="s">
        <v>526</v>
      </c>
      <c r="AD409" s="9">
        <v>5</v>
      </c>
      <c r="AF409" s="11">
        <f ca="1">IFERROR(OFFSET(MANOR_LEVEL!$B$1,MATCH(AG409-1,MANOR_LEVEL!$A:$A,0)-1,0),0)</f>
        <v>311600</v>
      </c>
      <c r="AG409" s="56">
        <v>10</v>
      </c>
      <c r="AI409" s="56">
        <f t="shared" ca="1" si="126"/>
        <v>80</v>
      </c>
      <c r="AJ409" s="10">
        <f ca="1">AO409+AQ409+(IFERROR(OFFSET(ITEM_RES!$S$1,MATCH(AU409,ITEM_RES!$A:$A,0)-1,0),0)*AW409+IFERROR(OFFSET(ITEM_RES!$S$1,MATCH(AZ409,ITEM_RES!$A:$A,0)-1,0),0)*BB409+IFERROR(OFFSET(ITEM_RES!$S$1,MATCH(BE409,ITEM_RES!$A:$A,0)-1,0),0)*BG409+IFERROR(OFFSET(ITEM_RES!$S$1,MATCH(BJ409,ITEM_RES!$A:$A,0)-1,0),0)*BL409+IFERROR(OFFSET(ITEM_RES!$S$1,MATCH(BO409,ITEM_RES!$A:$A,0)-1,0),0)*BQ409)/1000</f>
        <v>80.11</v>
      </c>
      <c r="AK409" s="183">
        <f t="shared" ca="1" si="135"/>
        <v>130</v>
      </c>
      <c r="AM409" s="11">
        <f t="shared" si="128"/>
        <v>25</v>
      </c>
      <c r="AN409" s="10">
        <v>25</v>
      </c>
      <c r="AO409" s="11">
        <f t="shared" si="134"/>
        <v>40</v>
      </c>
      <c r="AP409" s="10">
        <v>40</v>
      </c>
      <c r="AQ409" s="11">
        <f t="shared" si="134"/>
        <v>40</v>
      </c>
      <c r="AR409" s="10">
        <v>40</v>
      </c>
      <c r="AS409" s="56">
        <f t="shared" si="129"/>
        <v>2</v>
      </c>
      <c r="AU409" s="11">
        <f ca="1">IFERROR(OFFSET(ITEM_RES!$A$1,MATCH(AV409,ITEM_RES!$J:$J,0)-1,0),0)</f>
        <v>211020401</v>
      </c>
      <c r="AV409" s="10" t="s">
        <v>436</v>
      </c>
      <c r="AW409" s="11">
        <v>1</v>
      </c>
      <c r="AZ409" s="11">
        <f ca="1">IFERROR(OFFSET(ITEM_RES!$A$1,MATCH(BA409,ITEM_RES!$J:$J,0)-1,0),0)</f>
        <v>211020801</v>
      </c>
      <c r="BA409" s="10" t="s">
        <v>437</v>
      </c>
      <c r="BB409" s="11">
        <v>1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  <c r="BO409" s="11">
        <f ca="1">IFERROR(OFFSET(ITEM_RES!$A$1,MATCH(BP409,ITEM_RES!$J:$J,0)-1,0),0)</f>
        <v>0</v>
      </c>
    </row>
    <row r="410" spans="1:70" x14ac:dyDescent="0.3">
      <c r="A410" s="14">
        <f t="shared" si="131"/>
        <v>112060006</v>
      </c>
      <c r="B410" s="13">
        <v>11</v>
      </c>
      <c r="C410" s="12">
        <f t="shared" si="132"/>
        <v>2</v>
      </c>
      <c r="D410" s="13">
        <v>6</v>
      </c>
      <c r="E410" s="13">
        <v>0</v>
      </c>
      <c r="F410" s="12">
        <f t="shared" si="133"/>
        <v>6</v>
      </c>
      <c r="H410" s="9">
        <v>2</v>
      </c>
      <c r="I410" s="9">
        <v>6</v>
      </c>
      <c r="K410" s="9" t="s">
        <v>422</v>
      </c>
      <c r="M410" s="9" t="s">
        <v>959</v>
      </c>
      <c r="N410" s="9" t="s">
        <v>977</v>
      </c>
      <c r="O410" s="9">
        <v>1</v>
      </c>
      <c r="P410" s="9">
        <v>15</v>
      </c>
      <c r="Q410" s="9" t="s">
        <v>1165</v>
      </c>
      <c r="U410" s="9" t="s">
        <v>721</v>
      </c>
      <c r="W410" s="85" t="s">
        <v>553</v>
      </c>
      <c r="X410" s="9">
        <f ca="1">IFERROR(OFFSET(ITEM_RES!$A$5,MATCH(BUILDING!W410,ITEM_RES!$J$5:$J$226,0)-1,0),0)</f>
        <v>211020401</v>
      </c>
      <c r="Y410" s="11">
        <v>1</v>
      </c>
      <c r="Z410" s="85" t="s">
        <v>548</v>
      </c>
      <c r="AA410" s="9">
        <f ca="1">IFERROR(OFFSET(ITEM_RES!$A$5,MATCH(BUILDING!Z410,ITEM_RES!$J$5:$J$226,0)-1,0),0)</f>
        <v>211020501</v>
      </c>
      <c r="AC410" s="9" t="s">
        <v>526</v>
      </c>
      <c r="AD410" s="9">
        <v>6</v>
      </c>
      <c r="AF410" s="11">
        <f ca="1">IFERROR(OFFSET(MANOR_LEVEL!$B$1,MATCH(AG410-1,MANOR_LEVEL!$A:$A,0)-1,0),0)</f>
        <v>311600</v>
      </c>
      <c r="AG410" s="56">
        <v>10</v>
      </c>
      <c r="AI410" s="56">
        <f t="shared" ca="1" si="126"/>
        <v>600</v>
      </c>
      <c r="AJ410" s="10">
        <f ca="1">AO410+AQ410+(IFERROR(OFFSET(ITEM_RES!$S$1,MATCH(AU410,ITEM_RES!$A:$A,0)-1,0),0)*AW410+IFERROR(OFFSET(ITEM_RES!$S$1,MATCH(AZ410,ITEM_RES!$A:$A,0)-1,0),0)*BB410+IFERROR(OFFSET(ITEM_RES!$S$1,MATCH(BE410,ITEM_RES!$A:$A,0)-1,0),0)*BG410+IFERROR(OFFSET(ITEM_RES!$S$1,MATCH(BJ410,ITEM_RES!$A:$A,0)-1,0),0)*BL410+IFERROR(OFFSET(ITEM_RES!$S$1,MATCH(BO410,ITEM_RES!$A:$A,0)-1,0),0)*BQ410)/1000</f>
        <v>600.11</v>
      </c>
      <c r="AK410" s="183">
        <f t="shared" ca="1" si="135"/>
        <v>680</v>
      </c>
      <c r="AM410" s="11">
        <f t="shared" si="128"/>
        <v>30</v>
      </c>
      <c r="AN410" s="10">
        <v>30</v>
      </c>
      <c r="AO410" s="11">
        <f t="shared" si="134"/>
        <v>50</v>
      </c>
      <c r="AP410" s="10">
        <v>50</v>
      </c>
      <c r="AQ410" s="11">
        <f t="shared" si="134"/>
        <v>50</v>
      </c>
      <c r="AR410" s="10">
        <v>50</v>
      </c>
      <c r="AS410" s="56">
        <f t="shared" si="129"/>
        <v>3</v>
      </c>
      <c r="AU410" s="11">
        <f ca="1">IFERROR(OFFSET(ITEM_RES!$A$1,MATCH(AV410,ITEM_RES!$J:$J,0)-1,0),0)</f>
        <v>211020401</v>
      </c>
      <c r="AV410" s="10" t="s">
        <v>436</v>
      </c>
      <c r="AW410" s="11">
        <v>1</v>
      </c>
      <c r="AZ410" s="11">
        <f ca="1">IFERROR(OFFSET(ITEM_RES!$A$1,MATCH(BA410,ITEM_RES!$J:$J,0)-1,0),0)</f>
        <v>211020801</v>
      </c>
      <c r="BA410" s="10" t="s">
        <v>437</v>
      </c>
      <c r="BB410" s="11">
        <v>1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213011301</v>
      </c>
      <c r="BK410" s="10" t="s">
        <v>469</v>
      </c>
      <c r="BL410" s="11">
        <v>1</v>
      </c>
      <c r="BO410" s="11">
        <f ca="1">IFERROR(OFFSET(ITEM_RES!$A$1,MATCH(BP410,ITEM_RES!$J:$J,0)-1,0),0)</f>
        <v>0</v>
      </c>
    </row>
    <row r="411" spans="1:70" x14ac:dyDescent="0.3">
      <c r="A411" s="14">
        <f t="shared" si="131"/>
        <v>112060007</v>
      </c>
      <c r="B411" s="13">
        <v>11</v>
      </c>
      <c r="C411" s="12">
        <f t="shared" si="132"/>
        <v>2</v>
      </c>
      <c r="D411" s="13">
        <v>6</v>
      </c>
      <c r="E411" s="13">
        <v>0</v>
      </c>
      <c r="F411" s="12">
        <f t="shared" si="133"/>
        <v>7</v>
      </c>
      <c r="H411" s="9">
        <v>2</v>
      </c>
      <c r="I411" s="9">
        <v>7</v>
      </c>
      <c r="K411" s="9" t="s">
        <v>422</v>
      </c>
      <c r="M411" s="9" t="s">
        <v>959</v>
      </c>
      <c r="N411" s="9" t="s">
        <v>977</v>
      </c>
      <c r="O411" s="9">
        <v>1</v>
      </c>
      <c r="P411" s="9">
        <v>15</v>
      </c>
      <c r="Q411" s="9" t="s">
        <v>1165</v>
      </c>
      <c r="U411" s="9" t="s">
        <v>721</v>
      </c>
      <c r="W411" s="85" t="s">
        <v>553</v>
      </c>
      <c r="X411" s="9">
        <f ca="1">IFERROR(OFFSET(ITEM_RES!$A$5,MATCH(BUILDING!W411,ITEM_RES!$J$5:$J$226,0)-1,0),0)</f>
        <v>211020401</v>
      </c>
      <c r="Y411" s="11">
        <v>1</v>
      </c>
      <c r="Z411" s="85" t="s">
        <v>548</v>
      </c>
      <c r="AA411" s="9">
        <f ca="1">IFERROR(OFFSET(ITEM_RES!$A$5,MATCH(BUILDING!Z411,ITEM_RES!$J$5:$J$226,0)-1,0),0)</f>
        <v>211020501</v>
      </c>
      <c r="AC411" s="9" t="s">
        <v>526</v>
      </c>
      <c r="AD411" s="9">
        <v>7</v>
      </c>
      <c r="AF411" s="11">
        <f ca="1">IFERROR(OFFSET(MANOR_LEVEL!$B$1,MATCH(AG411-1,MANOR_LEVEL!$A:$A,0)-1,0),0)</f>
        <v>456800</v>
      </c>
      <c r="AG411" s="56">
        <v>11</v>
      </c>
      <c r="AI411" s="56">
        <f t="shared" ca="1" si="126"/>
        <v>200</v>
      </c>
      <c r="AJ411" s="10">
        <f ca="1">AO411+AQ411+(IFERROR(OFFSET(ITEM_RES!$S$1,MATCH(AU411,ITEM_RES!$A:$A,0)-1,0),0)*AW411+IFERROR(OFFSET(ITEM_RES!$S$1,MATCH(AZ411,ITEM_RES!$A:$A,0)-1,0),0)*BB411+IFERROR(OFFSET(ITEM_RES!$S$1,MATCH(BE411,ITEM_RES!$A:$A,0)-1,0),0)*BG411+IFERROR(OFFSET(ITEM_RES!$S$1,MATCH(BJ411,ITEM_RES!$A:$A,0)-1,0),0)*BL411+IFERROR(OFFSET(ITEM_RES!$S$1,MATCH(BO411,ITEM_RES!$A:$A,0)-1,0),0)*BQ411)/1000</f>
        <v>200.11</v>
      </c>
      <c r="AK411" s="183">
        <f t="shared" ca="1" si="135"/>
        <v>800</v>
      </c>
      <c r="AM411" s="11">
        <f t="shared" si="128"/>
        <v>35</v>
      </c>
      <c r="AN411" s="10">
        <v>35</v>
      </c>
      <c r="AO411" s="11">
        <f t="shared" si="134"/>
        <v>100</v>
      </c>
      <c r="AP411" s="10">
        <v>100</v>
      </c>
      <c r="AQ411" s="11">
        <f t="shared" si="134"/>
        <v>100</v>
      </c>
      <c r="AR411" s="10">
        <v>100</v>
      </c>
      <c r="AS411" s="56">
        <f t="shared" si="129"/>
        <v>2</v>
      </c>
      <c r="AU411" s="11">
        <f ca="1">IFERROR(OFFSET(ITEM_RES!$A$1,MATCH(AV411,ITEM_RES!$J:$J,0)-1,0),0)</f>
        <v>211020401</v>
      </c>
      <c r="AV411" s="10" t="s">
        <v>436</v>
      </c>
      <c r="AW411" s="11">
        <v>1</v>
      </c>
      <c r="AZ411" s="11">
        <f ca="1">IFERROR(OFFSET(ITEM_RES!$A$1,MATCH(BA411,ITEM_RES!$J:$J,0)-1,0),0)</f>
        <v>211020801</v>
      </c>
      <c r="BA411" s="10" t="s">
        <v>437</v>
      </c>
      <c r="BB411" s="11">
        <v>1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  <c r="BO411" s="11">
        <f ca="1">IFERROR(OFFSET(ITEM_RES!$A$1,MATCH(BP411,ITEM_RES!$J:$J,0)-1,0),0)</f>
        <v>0</v>
      </c>
    </row>
    <row r="412" spans="1:70" x14ac:dyDescent="0.3">
      <c r="A412" s="14">
        <f t="shared" si="131"/>
        <v>112060008</v>
      </c>
      <c r="B412" s="13">
        <v>11</v>
      </c>
      <c r="C412" s="12">
        <f t="shared" si="132"/>
        <v>2</v>
      </c>
      <c r="D412" s="13">
        <v>6</v>
      </c>
      <c r="E412" s="13">
        <v>0</v>
      </c>
      <c r="F412" s="12">
        <f t="shared" si="133"/>
        <v>8</v>
      </c>
      <c r="H412" s="9">
        <v>2</v>
      </c>
      <c r="I412" s="9">
        <v>8</v>
      </c>
      <c r="K412" s="9" t="s">
        <v>422</v>
      </c>
      <c r="M412" s="9" t="s">
        <v>959</v>
      </c>
      <c r="N412" s="9" t="s">
        <v>977</v>
      </c>
      <c r="O412" s="9">
        <v>1</v>
      </c>
      <c r="P412" s="9">
        <v>15</v>
      </c>
      <c r="Q412" s="9" t="s">
        <v>1165</v>
      </c>
      <c r="U412" s="9" t="s">
        <v>721</v>
      </c>
      <c r="W412" s="85" t="s">
        <v>553</v>
      </c>
      <c r="X412" s="9">
        <f ca="1">IFERROR(OFFSET(ITEM_RES!$A$5,MATCH(BUILDING!W412,ITEM_RES!$J$5:$J$226,0)-1,0),0)</f>
        <v>211020401</v>
      </c>
      <c r="Y412" s="11">
        <v>1</v>
      </c>
      <c r="Z412" s="85" t="s">
        <v>548</v>
      </c>
      <c r="AA412" s="9">
        <f ca="1">IFERROR(OFFSET(ITEM_RES!$A$5,MATCH(BUILDING!Z412,ITEM_RES!$J$5:$J$226,0)-1,0),0)</f>
        <v>211020501</v>
      </c>
      <c r="AC412" s="9" t="s">
        <v>526</v>
      </c>
      <c r="AD412" s="9">
        <v>8</v>
      </c>
      <c r="AF412" s="11">
        <f ca="1">IFERROR(OFFSET(MANOR_LEVEL!$B$1,MATCH(AG412-1,MANOR_LEVEL!$A:$A,0)-1,0),0)</f>
        <v>796000</v>
      </c>
      <c r="AG412" s="56">
        <v>12</v>
      </c>
      <c r="AI412" s="56">
        <f t="shared" ca="1" si="126"/>
        <v>200</v>
      </c>
      <c r="AJ412" s="10">
        <f ca="1">AO412+AQ412+(IFERROR(OFFSET(ITEM_RES!$S$1,MATCH(AU412,ITEM_RES!$A:$A,0)-1,0),0)*AW412+IFERROR(OFFSET(ITEM_RES!$S$1,MATCH(AZ412,ITEM_RES!$A:$A,0)-1,0),0)*BB412+IFERROR(OFFSET(ITEM_RES!$S$1,MATCH(BE412,ITEM_RES!$A:$A,0)-1,0),0)*BG412+IFERROR(OFFSET(ITEM_RES!$S$1,MATCH(BJ412,ITEM_RES!$A:$A,0)-1,0),0)*BL412+IFERROR(OFFSET(ITEM_RES!$S$1,MATCH(BO412,ITEM_RES!$A:$A,0)-1,0),0)*BQ412)/1000</f>
        <v>200.11</v>
      </c>
      <c r="AK412" s="183">
        <f t="shared" ca="1" si="135"/>
        <v>400</v>
      </c>
      <c r="AM412" s="11">
        <f t="shared" si="128"/>
        <v>40</v>
      </c>
      <c r="AN412" s="10">
        <v>40</v>
      </c>
      <c r="AO412" s="11">
        <f t="shared" si="134"/>
        <v>100</v>
      </c>
      <c r="AP412" s="10">
        <v>100</v>
      </c>
      <c r="AQ412" s="11">
        <f t="shared" si="134"/>
        <v>100</v>
      </c>
      <c r="AR412" s="10">
        <v>100</v>
      </c>
      <c r="AS412" s="56">
        <f t="shared" si="129"/>
        <v>2</v>
      </c>
      <c r="AU412" s="11">
        <f ca="1">IFERROR(OFFSET(ITEM_RES!$A$1,MATCH(AV412,ITEM_RES!$J:$J,0)-1,0),0)</f>
        <v>211020401</v>
      </c>
      <c r="AV412" s="10" t="s">
        <v>436</v>
      </c>
      <c r="AW412" s="11">
        <v>1</v>
      </c>
      <c r="AZ412" s="11">
        <f ca="1">IFERROR(OFFSET(ITEM_RES!$A$1,MATCH(BA412,ITEM_RES!$J:$J,0)-1,0),0)</f>
        <v>211020801</v>
      </c>
      <c r="BA412" s="10" t="s">
        <v>437</v>
      </c>
      <c r="BB412" s="11">
        <v>1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  <c r="BO412" s="11">
        <f ca="1">IFERROR(OFFSET(ITEM_RES!$A$1,MATCH(BP412,ITEM_RES!$J:$J,0)-1,0),0)</f>
        <v>0</v>
      </c>
    </row>
    <row r="413" spans="1:70" x14ac:dyDescent="0.3">
      <c r="A413" s="14">
        <f t="shared" si="131"/>
        <v>112060009</v>
      </c>
      <c r="B413" s="13">
        <v>11</v>
      </c>
      <c r="C413" s="12">
        <f t="shared" si="132"/>
        <v>2</v>
      </c>
      <c r="D413" s="13">
        <v>6</v>
      </c>
      <c r="E413" s="13">
        <v>0</v>
      </c>
      <c r="F413" s="12">
        <f t="shared" si="133"/>
        <v>9</v>
      </c>
      <c r="H413" s="9">
        <v>2</v>
      </c>
      <c r="I413" s="9">
        <v>9</v>
      </c>
      <c r="K413" s="9" t="s">
        <v>422</v>
      </c>
      <c r="M413" s="9" t="s">
        <v>959</v>
      </c>
      <c r="N413" s="9" t="s">
        <v>977</v>
      </c>
      <c r="O413" s="9">
        <v>1</v>
      </c>
      <c r="P413" s="9">
        <v>15</v>
      </c>
      <c r="Q413" s="9" t="s">
        <v>1165</v>
      </c>
      <c r="U413" s="9" t="s">
        <v>721</v>
      </c>
      <c r="W413" s="85" t="s">
        <v>553</v>
      </c>
      <c r="X413" s="9">
        <f ca="1">IFERROR(OFFSET(ITEM_RES!$A$5,MATCH(BUILDING!W413,ITEM_RES!$J$5:$J$226,0)-1,0),0)</f>
        <v>211020401</v>
      </c>
      <c r="Y413" s="11">
        <v>1</v>
      </c>
      <c r="Z413" s="85" t="s">
        <v>548</v>
      </c>
      <c r="AA413" s="9">
        <f ca="1">IFERROR(OFFSET(ITEM_RES!$A$5,MATCH(BUILDING!Z413,ITEM_RES!$J$5:$J$226,0)-1,0),0)</f>
        <v>211020501</v>
      </c>
      <c r="AC413" s="9" t="s">
        <v>526</v>
      </c>
      <c r="AD413" s="9">
        <v>9</v>
      </c>
      <c r="AF413" s="11">
        <f ca="1">IFERROR(OFFSET(MANOR_LEVEL!$B$1,MATCH(AG413-1,MANOR_LEVEL!$A:$A,0)-1,0),0)</f>
        <v>1156400</v>
      </c>
      <c r="AG413" s="56">
        <v>13</v>
      </c>
      <c r="AI413" s="56">
        <f t="shared" ca="1" si="126"/>
        <v>300</v>
      </c>
      <c r="AJ413" s="10">
        <f ca="1">AO413+AQ413+(IFERROR(OFFSET(ITEM_RES!$S$1,MATCH(AU413,ITEM_RES!$A:$A,0)-1,0),0)*AW413+IFERROR(OFFSET(ITEM_RES!$S$1,MATCH(AZ413,ITEM_RES!$A:$A,0)-1,0),0)*BB413+IFERROR(OFFSET(ITEM_RES!$S$1,MATCH(BE413,ITEM_RES!$A:$A,0)-1,0),0)*BG413+IFERROR(OFFSET(ITEM_RES!$S$1,MATCH(BJ413,ITEM_RES!$A:$A,0)-1,0),0)*BL413+IFERROR(OFFSET(ITEM_RES!$S$1,MATCH(BO413,ITEM_RES!$A:$A,0)-1,0),0)*BQ413)/1000</f>
        <v>300.11</v>
      </c>
      <c r="AK413" s="183">
        <f t="shared" ca="1" si="135"/>
        <v>500</v>
      </c>
      <c r="AM413" s="11">
        <f t="shared" si="128"/>
        <v>45</v>
      </c>
      <c r="AN413" s="10">
        <v>45</v>
      </c>
      <c r="AO413" s="11">
        <f t="shared" si="134"/>
        <v>150</v>
      </c>
      <c r="AP413" s="10">
        <v>150</v>
      </c>
      <c r="AQ413" s="11">
        <f t="shared" si="134"/>
        <v>150</v>
      </c>
      <c r="AR413" s="10">
        <v>150</v>
      </c>
      <c r="AS413" s="56">
        <f t="shared" si="129"/>
        <v>2</v>
      </c>
      <c r="AU413" s="11">
        <f ca="1">IFERROR(OFFSET(ITEM_RES!$A$1,MATCH(AV413,ITEM_RES!$J:$J,0)-1,0),0)</f>
        <v>211020401</v>
      </c>
      <c r="AV413" s="10" t="s">
        <v>436</v>
      </c>
      <c r="AW413" s="11">
        <v>1</v>
      </c>
      <c r="AZ413" s="11">
        <f ca="1">IFERROR(OFFSET(ITEM_RES!$A$1,MATCH(BA413,ITEM_RES!$J:$J,0)-1,0),0)</f>
        <v>211020801</v>
      </c>
      <c r="BA413" s="10" t="s">
        <v>437</v>
      </c>
      <c r="BB413" s="11">
        <v>1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  <c r="BO413" s="11">
        <f ca="1">IFERROR(OFFSET(ITEM_RES!$A$1,MATCH(BP413,ITEM_RES!$J:$J,0)-1,0),0)</f>
        <v>0</v>
      </c>
    </row>
    <row r="414" spans="1:70" x14ac:dyDescent="0.3">
      <c r="A414" s="14">
        <f t="shared" si="131"/>
        <v>112060010</v>
      </c>
      <c r="B414" s="13">
        <v>11</v>
      </c>
      <c r="C414" s="12">
        <f t="shared" si="132"/>
        <v>2</v>
      </c>
      <c r="D414" s="13">
        <v>6</v>
      </c>
      <c r="E414" s="13">
        <v>0</v>
      </c>
      <c r="F414" s="12">
        <f t="shared" si="133"/>
        <v>10</v>
      </c>
      <c r="H414" s="9">
        <v>2</v>
      </c>
      <c r="I414" s="9">
        <v>10</v>
      </c>
      <c r="K414" s="9" t="s">
        <v>422</v>
      </c>
      <c r="M414" s="9" t="s">
        <v>959</v>
      </c>
      <c r="N414" s="9" t="s">
        <v>977</v>
      </c>
      <c r="O414" s="9">
        <v>1</v>
      </c>
      <c r="P414" s="9">
        <v>15</v>
      </c>
      <c r="Q414" s="9" t="s">
        <v>1165</v>
      </c>
      <c r="U414" s="9" t="s">
        <v>721</v>
      </c>
      <c r="W414" s="85" t="s">
        <v>553</v>
      </c>
      <c r="X414" s="9">
        <f ca="1">IFERROR(OFFSET(ITEM_RES!$A$5,MATCH(BUILDING!W414,ITEM_RES!$J$5:$J$226,0)-1,0),0)</f>
        <v>211020401</v>
      </c>
      <c r="Y414" s="11">
        <v>1</v>
      </c>
      <c r="Z414" s="85" t="s">
        <v>548</v>
      </c>
      <c r="AA414" s="9">
        <f ca="1">IFERROR(OFFSET(ITEM_RES!$A$5,MATCH(BUILDING!Z414,ITEM_RES!$J$5:$J$226,0)-1,0),0)</f>
        <v>211020501</v>
      </c>
      <c r="AC414" s="9" t="s">
        <v>526</v>
      </c>
      <c r="AD414" s="9">
        <v>10</v>
      </c>
      <c r="AF414" s="11">
        <f ca="1">IFERROR(OFFSET(MANOR_LEVEL!$B$1,MATCH(AG414-1,MANOR_LEVEL!$A:$A,0)-1,0),0)</f>
        <v>1156400</v>
      </c>
      <c r="AG414" s="56">
        <v>13</v>
      </c>
      <c r="AI414" s="56">
        <f t="shared" ca="1" si="126"/>
        <v>400</v>
      </c>
      <c r="AJ414" s="10">
        <f ca="1">AO414+AQ414+(IFERROR(OFFSET(ITEM_RES!$S$1,MATCH(AU414,ITEM_RES!$A:$A,0)-1,0),0)*AW414+IFERROR(OFFSET(ITEM_RES!$S$1,MATCH(AZ414,ITEM_RES!$A:$A,0)-1,0),0)*BB414+IFERROR(OFFSET(ITEM_RES!$S$1,MATCH(BE414,ITEM_RES!$A:$A,0)-1,0),0)*BG414+IFERROR(OFFSET(ITEM_RES!$S$1,MATCH(BJ414,ITEM_RES!$A:$A,0)-1,0),0)*BL414+IFERROR(OFFSET(ITEM_RES!$S$1,MATCH(BO414,ITEM_RES!$A:$A,0)-1,0),0)*BQ414)/1000</f>
        <v>400.11</v>
      </c>
      <c r="AK414" s="183">
        <f t="shared" ca="1" si="135"/>
        <v>700</v>
      </c>
      <c r="AM414" s="11">
        <f t="shared" si="128"/>
        <v>50</v>
      </c>
      <c r="AN414" s="10">
        <v>50</v>
      </c>
      <c r="AO414" s="11">
        <f t="shared" si="134"/>
        <v>200</v>
      </c>
      <c r="AP414" s="10">
        <v>200</v>
      </c>
      <c r="AQ414" s="11">
        <f t="shared" si="134"/>
        <v>200</v>
      </c>
      <c r="AR414" s="10">
        <v>200</v>
      </c>
      <c r="AS414" s="56">
        <f t="shared" si="129"/>
        <v>2</v>
      </c>
      <c r="AU414" s="11">
        <f ca="1">IFERROR(OFFSET(ITEM_RES!$A$1,MATCH(AV414,ITEM_RES!$J:$J,0)-1,0),0)</f>
        <v>211020401</v>
      </c>
      <c r="AV414" s="10" t="s">
        <v>436</v>
      </c>
      <c r="AW414" s="11">
        <v>1</v>
      </c>
      <c r="AZ414" s="11">
        <f ca="1">IFERROR(OFFSET(ITEM_RES!$A$1,MATCH(BA414,ITEM_RES!$J:$J,0)-1,0),0)</f>
        <v>211020801</v>
      </c>
      <c r="BA414" s="10" t="s">
        <v>437</v>
      </c>
      <c r="BB414" s="11">
        <v>1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  <c r="BO414" s="11">
        <f ca="1">IFERROR(OFFSET(ITEM_RES!$A$1,MATCH(BP414,ITEM_RES!$J:$J,0)-1,0),0)</f>
        <v>0</v>
      </c>
    </row>
    <row r="415" spans="1:70" x14ac:dyDescent="0.3">
      <c r="A415" s="14">
        <f t="shared" si="131"/>
        <v>112060011</v>
      </c>
      <c r="B415" s="13">
        <v>11</v>
      </c>
      <c r="C415" s="12">
        <f t="shared" si="132"/>
        <v>2</v>
      </c>
      <c r="D415" s="13">
        <v>6</v>
      </c>
      <c r="E415" s="13">
        <v>0</v>
      </c>
      <c r="F415" s="12">
        <f t="shared" si="133"/>
        <v>11</v>
      </c>
      <c r="H415" s="9">
        <v>2</v>
      </c>
      <c r="I415" s="9">
        <v>11</v>
      </c>
      <c r="K415" s="9" t="s">
        <v>422</v>
      </c>
      <c r="M415" s="9" t="s">
        <v>959</v>
      </c>
      <c r="N415" s="9" t="s">
        <v>977</v>
      </c>
      <c r="O415" s="9">
        <v>1</v>
      </c>
      <c r="P415" s="9">
        <v>15</v>
      </c>
      <c r="Q415" s="9" t="s">
        <v>1165</v>
      </c>
      <c r="U415" s="9" t="s">
        <v>721</v>
      </c>
      <c r="W415" s="85" t="s">
        <v>553</v>
      </c>
      <c r="X415" s="9">
        <f ca="1">IFERROR(OFFSET(ITEM_RES!$A$5,MATCH(BUILDING!W415,ITEM_RES!$J$5:$J$226,0)-1,0),0)</f>
        <v>211020401</v>
      </c>
      <c r="Y415" s="11">
        <v>1</v>
      </c>
      <c r="Z415" s="85" t="s">
        <v>548</v>
      </c>
      <c r="AA415" s="9">
        <f ca="1">IFERROR(OFFSET(ITEM_RES!$A$5,MATCH(BUILDING!Z415,ITEM_RES!$J$5:$J$226,0)-1,0),0)</f>
        <v>211020501</v>
      </c>
      <c r="AC415" s="9" t="s">
        <v>526</v>
      </c>
      <c r="AD415" s="9">
        <v>11</v>
      </c>
      <c r="AF415" s="11">
        <f ca="1">IFERROR(OFFSET(MANOR_LEVEL!$B$1,MATCH(AG415-1,MANOR_LEVEL!$A:$A,0)-1,0),0)</f>
        <v>1661200</v>
      </c>
      <c r="AG415" s="56">
        <v>14</v>
      </c>
      <c r="AI415" s="56">
        <f t="shared" ca="1" si="126"/>
        <v>500</v>
      </c>
      <c r="AJ415" s="10">
        <f ca="1">AO415+AQ415+(IFERROR(OFFSET(ITEM_RES!$S$1,MATCH(AU415,ITEM_RES!$A:$A,0)-1,0),0)*AW415+IFERROR(OFFSET(ITEM_RES!$S$1,MATCH(AZ415,ITEM_RES!$A:$A,0)-1,0),0)*BB415+IFERROR(OFFSET(ITEM_RES!$S$1,MATCH(BE415,ITEM_RES!$A:$A,0)-1,0),0)*BG415+IFERROR(OFFSET(ITEM_RES!$S$1,MATCH(BJ415,ITEM_RES!$A:$A,0)-1,0),0)*BL415+IFERROR(OFFSET(ITEM_RES!$S$1,MATCH(BO415,ITEM_RES!$A:$A,0)-1,0),0)*BQ415)/1000</f>
        <v>500.11</v>
      </c>
      <c r="AK415" s="183">
        <f t="shared" ca="1" si="135"/>
        <v>900</v>
      </c>
      <c r="AM415" s="11">
        <f t="shared" si="128"/>
        <v>55</v>
      </c>
      <c r="AN415" s="10">
        <v>55</v>
      </c>
      <c r="AO415" s="11">
        <f t="shared" si="134"/>
        <v>250</v>
      </c>
      <c r="AP415" s="10">
        <v>250</v>
      </c>
      <c r="AQ415" s="11">
        <f t="shared" si="134"/>
        <v>250</v>
      </c>
      <c r="AR415" s="10">
        <v>250</v>
      </c>
      <c r="AS415" s="56">
        <f t="shared" si="129"/>
        <v>2</v>
      </c>
      <c r="AU415" s="11">
        <f ca="1">IFERROR(OFFSET(ITEM_RES!$A$1,MATCH(AV415,ITEM_RES!$J:$J,0)-1,0),0)</f>
        <v>211020401</v>
      </c>
      <c r="AV415" s="10" t="s">
        <v>436</v>
      </c>
      <c r="AW415" s="11">
        <v>1</v>
      </c>
      <c r="AZ415" s="11">
        <f ca="1">IFERROR(OFFSET(ITEM_RES!$A$1,MATCH(BA415,ITEM_RES!$J:$J,0)-1,0),0)</f>
        <v>211020801</v>
      </c>
      <c r="BA415" s="10" t="s">
        <v>437</v>
      </c>
      <c r="BB415" s="11">
        <v>1</v>
      </c>
      <c r="BE415" s="11">
        <f ca="1">IFERROR(OFFSET(ITEM_RES!$A$1,MATCH(BF415,ITEM_RES!$J:$J,0)-1,0),0)</f>
        <v>0</v>
      </c>
      <c r="BJ415" s="11">
        <f ca="1">IFERROR(OFFSET(ITEM_RES!$A$1,MATCH(BK415,ITEM_RES!$J:$J,0)-1,0),0)</f>
        <v>0</v>
      </c>
      <c r="BO415" s="11">
        <f ca="1">IFERROR(OFFSET(ITEM_RES!$A$1,MATCH(BP415,ITEM_RES!$J:$J,0)-1,0),0)</f>
        <v>0</v>
      </c>
    </row>
    <row r="416" spans="1:70" x14ac:dyDescent="0.3">
      <c r="A416" s="14">
        <f t="shared" si="131"/>
        <v>112060012</v>
      </c>
      <c r="B416" s="13">
        <v>11</v>
      </c>
      <c r="C416" s="12">
        <f t="shared" si="132"/>
        <v>2</v>
      </c>
      <c r="D416" s="13">
        <v>6</v>
      </c>
      <c r="E416" s="13">
        <v>0</v>
      </c>
      <c r="F416" s="12">
        <f t="shared" si="133"/>
        <v>12</v>
      </c>
      <c r="H416" s="9">
        <v>2</v>
      </c>
      <c r="I416" s="9">
        <v>12</v>
      </c>
      <c r="K416" s="9" t="s">
        <v>422</v>
      </c>
      <c r="M416" s="9" t="s">
        <v>959</v>
      </c>
      <c r="N416" s="9" t="s">
        <v>977</v>
      </c>
      <c r="O416" s="9">
        <v>1</v>
      </c>
      <c r="P416" s="9">
        <v>15</v>
      </c>
      <c r="Q416" s="9" t="s">
        <v>1165</v>
      </c>
      <c r="U416" s="9" t="s">
        <v>721</v>
      </c>
      <c r="W416" s="85" t="s">
        <v>553</v>
      </c>
      <c r="X416" s="9">
        <f ca="1">IFERROR(OFFSET(ITEM_RES!$A$5,MATCH(BUILDING!W416,ITEM_RES!$J$5:$J$226,0)-1,0),0)</f>
        <v>211020401</v>
      </c>
      <c r="Y416" s="11">
        <v>1</v>
      </c>
      <c r="Z416" s="85" t="s">
        <v>548</v>
      </c>
      <c r="AA416" s="9">
        <f ca="1">IFERROR(OFFSET(ITEM_RES!$A$5,MATCH(BUILDING!Z416,ITEM_RES!$J$5:$J$226,0)-1,0),0)</f>
        <v>211020501</v>
      </c>
      <c r="AC416" s="9" t="s">
        <v>526</v>
      </c>
      <c r="AD416" s="9">
        <v>12</v>
      </c>
      <c r="AF416" s="11">
        <f ca="1">IFERROR(OFFSET(MANOR_LEVEL!$B$1,MATCH(AG416-1,MANOR_LEVEL!$A:$A,0)-1,0),0)</f>
        <v>2622400</v>
      </c>
      <c r="AG416" s="56">
        <v>15</v>
      </c>
      <c r="AI416" s="56">
        <f t="shared" ca="1" si="126"/>
        <v>600</v>
      </c>
      <c r="AJ416" s="10">
        <f ca="1">AO416+AQ416+(IFERROR(OFFSET(ITEM_RES!$S$1,MATCH(AU416,ITEM_RES!$A:$A,0)-1,0),0)*AW416+IFERROR(OFFSET(ITEM_RES!$S$1,MATCH(AZ416,ITEM_RES!$A:$A,0)-1,0),0)*BB416+IFERROR(OFFSET(ITEM_RES!$S$1,MATCH(BE416,ITEM_RES!$A:$A,0)-1,0),0)*BG416+IFERROR(OFFSET(ITEM_RES!$S$1,MATCH(BJ416,ITEM_RES!$A:$A,0)-1,0),0)*BL416+IFERROR(OFFSET(ITEM_RES!$S$1,MATCH(BO416,ITEM_RES!$A:$A,0)-1,0),0)*BQ416)/1000</f>
        <v>600.11</v>
      </c>
      <c r="AK416" s="183">
        <f t="shared" ca="1" si="135"/>
        <v>1100</v>
      </c>
      <c r="AM416" s="11">
        <f t="shared" si="128"/>
        <v>60</v>
      </c>
      <c r="AN416" s="10">
        <v>60</v>
      </c>
      <c r="AO416" s="11">
        <f t="shared" si="134"/>
        <v>300</v>
      </c>
      <c r="AP416" s="10">
        <v>300</v>
      </c>
      <c r="AQ416" s="11">
        <f t="shared" si="134"/>
        <v>300</v>
      </c>
      <c r="AR416" s="10">
        <v>300</v>
      </c>
      <c r="AS416" s="56">
        <f t="shared" si="129"/>
        <v>2</v>
      </c>
      <c r="AU416" s="11">
        <f ca="1">IFERROR(OFFSET(ITEM_RES!$A$1,MATCH(AV416,ITEM_RES!$J:$J,0)-1,0),0)</f>
        <v>211020401</v>
      </c>
      <c r="AV416" s="10" t="s">
        <v>436</v>
      </c>
      <c r="AW416" s="11">
        <v>1</v>
      </c>
      <c r="AZ416" s="11">
        <f ca="1">IFERROR(OFFSET(ITEM_RES!$A$1,MATCH(BA416,ITEM_RES!$J:$J,0)-1,0),0)</f>
        <v>211020801</v>
      </c>
      <c r="BA416" s="10" t="s">
        <v>437</v>
      </c>
      <c r="BB416" s="11">
        <v>1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  <c r="BO416" s="11">
        <f ca="1">IFERROR(OFFSET(ITEM_RES!$A$1,MATCH(BP416,ITEM_RES!$J:$J,0)-1,0),0)</f>
        <v>0</v>
      </c>
    </row>
    <row r="417" spans="1:70" x14ac:dyDescent="0.3">
      <c r="A417" s="14">
        <f t="shared" si="131"/>
        <v>112060013</v>
      </c>
      <c r="B417" s="13">
        <v>11</v>
      </c>
      <c r="C417" s="12">
        <f t="shared" si="132"/>
        <v>2</v>
      </c>
      <c r="D417" s="13">
        <v>6</v>
      </c>
      <c r="E417" s="13">
        <v>0</v>
      </c>
      <c r="F417" s="12">
        <f t="shared" si="133"/>
        <v>13</v>
      </c>
      <c r="H417" s="9">
        <v>2</v>
      </c>
      <c r="I417" s="9">
        <v>13</v>
      </c>
      <c r="K417" s="9" t="s">
        <v>422</v>
      </c>
      <c r="M417" s="9" t="s">
        <v>959</v>
      </c>
      <c r="N417" s="9" t="s">
        <v>977</v>
      </c>
      <c r="O417" s="9">
        <v>1</v>
      </c>
      <c r="P417" s="9">
        <v>15</v>
      </c>
      <c r="Q417" s="9" t="s">
        <v>1165</v>
      </c>
      <c r="U417" s="9" t="s">
        <v>721</v>
      </c>
      <c r="W417" s="85" t="s">
        <v>553</v>
      </c>
      <c r="X417" s="9">
        <f ca="1">IFERROR(OFFSET(ITEM_RES!$A$5,MATCH(BUILDING!W417,ITEM_RES!$J$5:$J$226,0)-1,0),0)</f>
        <v>211020401</v>
      </c>
      <c r="Y417" s="11">
        <v>1</v>
      </c>
      <c r="Z417" s="85" t="s">
        <v>548</v>
      </c>
      <c r="AA417" s="9">
        <f ca="1">IFERROR(OFFSET(ITEM_RES!$A$5,MATCH(BUILDING!Z417,ITEM_RES!$J$5:$J$226,0)-1,0),0)</f>
        <v>211020501</v>
      </c>
      <c r="AC417" s="9" t="s">
        <v>526</v>
      </c>
      <c r="AD417" s="9">
        <v>13</v>
      </c>
      <c r="AF417" s="11">
        <f ca="1">IFERROR(OFFSET(MANOR_LEVEL!$B$1,MATCH(AG417-1,MANOR_LEVEL!$A:$A,0)-1,0),0)</f>
        <v>4232000</v>
      </c>
      <c r="AG417" s="56">
        <v>16</v>
      </c>
      <c r="AI417" s="56">
        <f t="shared" ca="1" si="126"/>
        <v>700</v>
      </c>
      <c r="AJ417" s="10">
        <f ca="1">AO417+AQ417+(IFERROR(OFFSET(ITEM_RES!$S$1,MATCH(AU417,ITEM_RES!$A:$A,0)-1,0),0)*AW417+IFERROR(OFFSET(ITEM_RES!$S$1,MATCH(AZ417,ITEM_RES!$A:$A,0)-1,0),0)*BB417+IFERROR(OFFSET(ITEM_RES!$S$1,MATCH(BE417,ITEM_RES!$A:$A,0)-1,0),0)*BG417+IFERROR(OFFSET(ITEM_RES!$S$1,MATCH(BJ417,ITEM_RES!$A:$A,0)-1,0),0)*BL417+IFERROR(OFFSET(ITEM_RES!$S$1,MATCH(BO417,ITEM_RES!$A:$A,0)-1,0),0)*BQ417)/1000</f>
        <v>700.11</v>
      </c>
      <c r="AK417" s="183">
        <f t="shared" ca="1" si="135"/>
        <v>1300</v>
      </c>
      <c r="AM417" s="11">
        <f t="shared" si="128"/>
        <v>65</v>
      </c>
      <c r="AN417" s="10">
        <v>65</v>
      </c>
      <c r="AO417" s="11">
        <f t="shared" si="134"/>
        <v>350</v>
      </c>
      <c r="AP417" s="10">
        <v>350</v>
      </c>
      <c r="AQ417" s="11">
        <f t="shared" si="134"/>
        <v>350</v>
      </c>
      <c r="AR417" s="10">
        <v>350</v>
      </c>
      <c r="AS417" s="56">
        <f t="shared" si="129"/>
        <v>2</v>
      </c>
      <c r="AU417" s="11">
        <f ca="1">IFERROR(OFFSET(ITEM_RES!$A$1,MATCH(AV417,ITEM_RES!$J:$J,0)-1,0),0)</f>
        <v>211020401</v>
      </c>
      <c r="AV417" s="10" t="s">
        <v>436</v>
      </c>
      <c r="AW417" s="11">
        <v>1</v>
      </c>
      <c r="AZ417" s="11">
        <f ca="1">IFERROR(OFFSET(ITEM_RES!$A$1,MATCH(BA417,ITEM_RES!$J:$J,0)-1,0),0)</f>
        <v>211020801</v>
      </c>
      <c r="BA417" s="10" t="s">
        <v>437</v>
      </c>
      <c r="BB417" s="11">
        <v>1</v>
      </c>
      <c r="BE417" s="11">
        <f ca="1">IFERROR(OFFSET(ITEM_RES!$A$1,MATCH(BF417,ITEM_RES!$J:$J,0)-1,0),0)</f>
        <v>0</v>
      </c>
      <c r="BJ417" s="11">
        <f ca="1">IFERROR(OFFSET(ITEM_RES!$A$1,MATCH(BK417,ITEM_RES!$J:$J,0)-1,0),0)</f>
        <v>0</v>
      </c>
      <c r="BO417" s="11">
        <f ca="1">IFERROR(OFFSET(ITEM_RES!$A$1,MATCH(BP417,ITEM_RES!$J:$J,0)-1,0),0)</f>
        <v>0</v>
      </c>
    </row>
    <row r="418" spans="1:70" x14ac:dyDescent="0.3">
      <c r="A418" s="14">
        <f t="shared" si="131"/>
        <v>112060014</v>
      </c>
      <c r="B418" s="13">
        <v>11</v>
      </c>
      <c r="C418" s="12">
        <f t="shared" si="132"/>
        <v>2</v>
      </c>
      <c r="D418" s="13">
        <v>6</v>
      </c>
      <c r="E418" s="13">
        <v>0</v>
      </c>
      <c r="F418" s="12">
        <f t="shared" si="133"/>
        <v>14</v>
      </c>
      <c r="H418" s="9">
        <v>2</v>
      </c>
      <c r="I418" s="9">
        <v>14</v>
      </c>
      <c r="K418" s="9" t="s">
        <v>422</v>
      </c>
      <c r="M418" s="9" t="s">
        <v>959</v>
      </c>
      <c r="N418" s="9" t="s">
        <v>977</v>
      </c>
      <c r="O418" s="9">
        <v>1</v>
      </c>
      <c r="P418" s="9">
        <v>15</v>
      </c>
      <c r="Q418" s="9" t="s">
        <v>1165</v>
      </c>
      <c r="U418" s="9" t="s">
        <v>721</v>
      </c>
      <c r="W418" s="85" t="s">
        <v>553</v>
      </c>
      <c r="X418" s="9">
        <f ca="1">IFERROR(OFFSET(ITEM_RES!$A$5,MATCH(BUILDING!W418,ITEM_RES!$J$5:$J$226,0)-1,0),0)</f>
        <v>211020401</v>
      </c>
      <c r="Y418" s="11">
        <v>1</v>
      </c>
      <c r="Z418" s="85" t="s">
        <v>548</v>
      </c>
      <c r="AA418" s="9">
        <f ca="1">IFERROR(OFFSET(ITEM_RES!$A$5,MATCH(BUILDING!Z418,ITEM_RES!$J$5:$J$226,0)-1,0),0)</f>
        <v>211020501</v>
      </c>
      <c r="AC418" s="9" t="s">
        <v>526</v>
      </c>
      <c r="AD418" s="9">
        <v>14</v>
      </c>
      <c r="AF418" s="11">
        <f ca="1">IFERROR(OFFSET(MANOR_LEVEL!$B$1,MATCH(AG418-1,MANOR_LEVEL!$A:$A,0)-1,0),0)</f>
        <v>7450000</v>
      </c>
      <c r="AG418" s="56">
        <v>17</v>
      </c>
      <c r="AI418" s="56">
        <f t="shared" ca="1" si="126"/>
        <v>900</v>
      </c>
      <c r="AJ418" s="10">
        <f ca="1">AO418+AQ418+(IFERROR(OFFSET(ITEM_RES!$S$1,MATCH(AU418,ITEM_RES!$A:$A,0)-1,0),0)*AW418+IFERROR(OFFSET(ITEM_RES!$S$1,MATCH(AZ418,ITEM_RES!$A:$A,0)-1,0),0)*BB418+IFERROR(OFFSET(ITEM_RES!$S$1,MATCH(BE418,ITEM_RES!$A:$A,0)-1,0),0)*BG418+IFERROR(OFFSET(ITEM_RES!$S$1,MATCH(BJ418,ITEM_RES!$A:$A,0)-1,0),0)*BL418+IFERROR(OFFSET(ITEM_RES!$S$1,MATCH(BO418,ITEM_RES!$A:$A,0)-1,0),0)*BQ418)/1000</f>
        <v>900.11</v>
      </c>
      <c r="AK418" s="183">
        <f t="shared" ca="1" si="135"/>
        <v>1600</v>
      </c>
      <c r="AM418" s="11">
        <f t="shared" si="128"/>
        <v>70</v>
      </c>
      <c r="AN418" s="10">
        <v>70</v>
      </c>
      <c r="AO418" s="11">
        <f t="shared" si="134"/>
        <v>450</v>
      </c>
      <c r="AP418" s="10">
        <v>450</v>
      </c>
      <c r="AQ418" s="11">
        <f t="shared" si="134"/>
        <v>450</v>
      </c>
      <c r="AR418" s="10">
        <v>450</v>
      </c>
      <c r="AS418" s="56">
        <f t="shared" si="129"/>
        <v>2</v>
      </c>
      <c r="AU418" s="11">
        <f ca="1">IFERROR(OFFSET(ITEM_RES!$A$1,MATCH(AV418,ITEM_RES!$J:$J,0)-1,0),0)</f>
        <v>211020401</v>
      </c>
      <c r="AV418" s="10" t="s">
        <v>436</v>
      </c>
      <c r="AW418" s="11">
        <v>1</v>
      </c>
      <c r="AZ418" s="11">
        <f ca="1">IFERROR(OFFSET(ITEM_RES!$A$1,MATCH(BA418,ITEM_RES!$J:$J,0)-1,0),0)</f>
        <v>211020801</v>
      </c>
      <c r="BA418" s="10" t="s">
        <v>437</v>
      </c>
      <c r="BB418" s="11">
        <v>1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  <c r="BO418" s="11">
        <f ca="1">IFERROR(OFFSET(ITEM_RES!$A$1,MATCH(BP418,ITEM_RES!$J:$J,0)-1,0),0)</f>
        <v>0</v>
      </c>
    </row>
    <row r="419" spans="1:70" x14ac:dyDescent="0.3">
      <c r="A419" s="14">
        <f t="shared" si="131"/>
        <v>112060015</v>
      </c>
      <c r="B419" s="13">
        <v>11</v>
      </c>
      <c r="C419" s="12">
        <f t="shared" si="132"/>
        <v>2</v>
      </c>
      <c r="D419" s="13">
        <v>6</v>
      </c>
      <c r="E419" s="13">
        <v>0</v>
      </c>
      <c r="F419" s="12">
        <f t="shared" si="133"/>
        <v>15</v>
      </c>
      <c r="H419" s="9">
        <v>2</v>
      </c>
      <c r="I419" s="9">
        <v>15</v>
      </c>
      <c r="K419" s="9" t="s">
        <v>422</v>
      </c>
      <c r="M419" s="9" t="s">
        <v>959</v>
      </c>
      <c r="N419" s="9" t="s">
        <v>977</v>
      </c>
      <c r="O419" s="9">
        <v>1</v>
      </c>
      <c r="P419" s="9">
        <v>15</v>
      </c>
      <c r="Q419" s="9" t="s">
        <v>1165</v>
      </c>
      <c r="U419" s="9" t="s">
        <v>721</v>
      </c>
      <c r="W419" s="85" t="s">
        <v>553</v>
      </c>
      <c r="X419" s="9">
        <f ca="1">IFERROR(OFFSET(ITEM_RES!$A$5,MATCH(BUILDING!W419,ITEM_RES!$J$5:$J$226,0)-1,0),0)</f>
        <v>211020401</v>
      </c>
      <c r="Y419" s="11">
        <v>1</v>
      </c>
      <c r="Z419" s="85" t="s">
        <v>548</v>
      </c>
      <c r="AA419" s="9">
        <f ca="1">IFERROR(OFFSET(ITEM_RES!$A$5,MATCH(BUILDING!Z419,ITEM_RES!$J$5:$J$226,0)-1,0),0)</f>
        <v>211020501</v>
      </c>
      <c r="AC419" s="9" t="s">
        <v>526</v>
      </c>
      <c r="AD419" s="9">
        <v>15</v>
      </c>
      <c r="AF419" s="11">
        <f ca="1">IFERROR(OFFSET(MANOR_LEVEL!$B$1,MATCH(AG419-1,MANOR_LEVEL!$A:$A,0)-1,0),0)</f>
        <v>12172400</v>
      </c>
      <c r="AG419" s="56">
        <v>18</v>
      </c>
      <c r="AI419" s="56">
        <f t="shared" ca="1" si="126"/>
        <v>1100</v>
      </c>
      <c r="AJ419" s="10">
        <f ca="1">AO419+AQ419+(IFERROR(OFFSET(ITEM_RES!$S$1,MATCH(AU419,ITEM_RES!$A:$A,0)-1,0),0)*AW419+IFERROR(OFFSET(ITEM_RES!$S$1,MATCH(AZ419,ITEM_RES!$A:$A,0)-1,0),0)*BB419+IFERROR(OFFSET(ITEM_RES!$S$1,MATCH(BE419,ITEM_RES!$A:$A,0)-1,0),0)*BG419+IFERROR(OFFSET(ITEM_RES!$S$1,MATCH(BJ419,ITEM_RES!$A:$A,0)-1,0),0)*BL419+IFERROR(OFFSET(ITEM_RES!$S$1,MATCH(BO419,ITEM_RES!$A:$A,0)-1,0),0)*BQ419)/1000</f>
        <v>1100.3</v>
      </c>
      <c r="AK419" s="183">
        <f t="shared" ca="1" si="135"/>
        <v>2000</v>
      </c>
      <c r="AM419" s="11">
        <f t="shared" si="128"/>
        <v>75</v>
      </c>
      <c r="AN419" s="10">
        <v>75</v>
      </c>
      <c r="AO419" s="11">
        <f t="shared" si="134"/>
        <v>550</v>
      </c>
      <c r="AP419" s="10">
        <v>550</v>
      </c>
      <c r="AQ419" s="11">
        <f t="shared" si="134"/>
        <v>550</v>
      </c>
      <c r="AR419" s="10">
        <v>550</v>
      </c>
      <c r="AS419" s="56">
        <f t="shared" si="129"/>
        <v>2</v>
      </c>
      <c r="AU419" s="11">
        <f ca="1">IFERROR(OFFSET(ITEM_RES!$A$1,MATCH(AV419,ITEM_RES!$J:$J,0)-1,0),0)</f>
        <v>211020501</v>
      </c>
      <c r="AV419" s="10" t="s">
        <v>433</v>
      </c>
      <c r="AW419" s="11">
        <v>1</v>
      </c>
      <c r="AZ419" s="11">
        <f ca="1">IFERROR(OFFSET(ITEM_RES!$A$1,MATCH(BA419,ITEM_RES!$J:$J,0)-1,0),0)</f>
        <v>211020801</v>
      </c>
      <c r="BA419" s="10" t="s">
        <v>437</v>
      </c>
      <c r="BB419" s="11">
        <v>1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  <c r="BO419" s="11">
        <f ca="1">IFERROR(OFFSET(ITEM_RES!$A$1,MATCH(BP419,ITEM_RES!$J:$J,0)-1,0),0)</f>
        <v>0</v>
      </c>
    </row>
    <row r="420" spans="1:70" x14ac:dyDescent="0.3">
      <c r="A420" s="14">
        <f t="shared" si="131"/>
        <v>112060016</v>
      </c>
      <c r="B420" s="13">
        <v>11</v>
      </c>
      <c r="C420" s="12">
        <f t="shared" si="132"/>
        <v>2</v>
      </c>
      <c r="D420" s="13">
        <v>6</v>
      </c>
      <c r="E420" s="13">
        <v>0</v>
      </c>
      <c r="F420" s="12">
        <f t="shared" si="133"/>
        <v>16</v>
      </c>
      <c r="H420" s="9">
        <v>2</v>
      </c>
      <c r="I420" s="9">
        <v>16</v>
      </c>
      <c r="K420" s="9" t="s">
        <v>422</v>
      </c>
      <c r="M420" s="9" t="s">
        <v>959</v>
      </c>
      <c r="N420" s="9" t="s">
        <v>977</v>
      </c>
      <c r="O420" s="9">
        <v>0</v>
      </c>
      <c r="P420" s="9">
        <v>15</v>
      </c>
      <c r="Q420" s="9" t="s">
        <v>1165</v>
      </c>
      <c r="U420" s="9" t="s">
        <v>721</v>
      </c>
      <c r="W420" s="85" t="s">
        <v>553</v>
      </c>
      <c r="X420" s="9">
        <f ca="1">IFERROR(OFFSET(ITEM_RES!$A$5,MATCH(BUILDING!W420,ITEM_RES!$J$5:$J$226,0)-1,0),0)</f>
        <v>211020401</v>
      </c>
      <c r="Y420" s="11">
        <v>1</v>
      </c>
      <c r="Z420" s="85" t="s">
        <v>548</v>
      </c>
      <c r="AA420" s="9">
        <f ca="1">IFERROR(OFFSET(ITEM_RES!$A$5,MATCH(BUILDING!Z420,ITEM_RES!$J$5:$J$226,0)-1,0),0)</f>
        <v>211020501</v>
      </c>
      <c r="AC420" s="9" t="s">
        <v>526</v>
      </c>
      <c r="AD420" s="9">
        <v>16</v>
      </c>
      <c r="AF420" s="11">
        <f ca="1">IFERROR(OFFSET(MANOR_LEVEL!$B$1,MATCH(AG420-1,MANOR_LEVEL!$A:$A,0)-1,0),0)</f>
        <v>12172400</v>
      </c>
      <c r="AG420" s="56">
        <v>18</v>
      </c>
      <c r="AI420" s="56">
        <f t="shared" ca="1" si="126"/>
        <v>1400</v>
      </c>
      <c r="AJ420" s="10">
        <f ca="1">AO420+AQ420+(IFERROR(OFFSET(ITEM_RES!$S$1,MATCH(AU420,ITEM_RES!$A:$A,0)-1,0),0)*AW420+IFERROR(OFFSET(ITEM_RES!$S$1,MATCH(AZ420,ITEM_RES!$A:$A,0)-1,0),0)*BB420+IFERROR(OFFSET(ITEM_RES!$S$1,MATCH(BE420,ITEM_RES!$A:$A,0)-1,0),0)*BG420+IFERROR(OFFSET(ITEM_RES!$S$1,MATCH(BJ420,ITEM_RES!$A:$A,0)-1,0),0)*BL420+IFERROR(OFFSET(ITEM_RES!$S$1,MATCH(BO420,ITEM_RES!$A:$A,0)-1,0),0)*BQ420)/1000</f>
        <v>1400.3</v>
      </c>
      <c r="AK420" s="183">
        <f t="shared" ca="1" si="135"/>
        <v>2500</v>
      </c>
      <c r="AM420" s="11">
        <f t="shared" si="128"/>
        <v>80</v>
      </c>
      <c r="AN420" s="10">
        <v>80</v>
      </c>
      <c r="AO420" s="11">
        <f t="shared" si="134"/>
        <v>700</v>
      </c>
      <c r="AP420" s="10">
        <v>700</v>
      </c>
      <c r="AQ420" s="11">
        <f t="shared" si="134"/>
        <v>700</v>
      </c>
      <c r="AR420" s="10">
        <v>700</v>
      </c>
      <c r="AS420" s="56">
        <f t="shared" si="129"/>
        <v>2</v>
      </c>
      <c r="AU420" s="11">
        <f ca="1">IFERROR(OFFSET(ITEM_RES!$A$1,MATCH(AV420,ITEM_RES!$J:$J,0)-1,0),0)</f>
        <v>211020501</v>
      </c>
      <c r="AV420" s="10" t="s">
        <v>433</v>
      </c>
      <c r="AW420" s="11">
        <v>1</v>
      </c>
      <c r="AZ420" s="11">
        <f ca="1">IFERROR(OFFSET(ITEM_RES!$A$1,MATCH(BA420,ITEM_RES!$J:$J,0)-1,0),0)</f>
        <v>211020801</v>
      </c>
      <c r="BA420" s="10" t="s">
        <v>437</v>
      </c>
      <c r="BB420" s="11">
        <v>1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  <c r="BO420" s="11">
        <f ca="1">IFERROR(OFFSET(ITEM_RES!$A$1,MATCH(BP420,ITEM_RES!$J:$J,0)-1,0),0)</f>
        <v>0</v>
      </c>
    </row>
    <row r="421" spans="1:70" x14ac:dyDescent="0.3">
      <c r="A421" s="14">
        <f t="shared" si="131"/>
        <v>112060017</v>
      </c>
      <c r="B421" s="13">
        <v>11</v>
      </c>
      <c r="C421" s="12">
        <f t="shared" si="132"/>
        <v>2</v>
      </c>
      <c r="D421" s="13">
        <v>6</v>
      </c>
      <c r="E421" s="13">
        <v>0</v>
      </c>
      <c r="F421" s="12">
        <f t="shared" si="133"/>
        <v>17</v>
      </c>
      <c r="H421" s="9">
        <v>2</v>
      </c>
      <c r="I421" s="9">
        <v>17</v>
      </c>
      <c r="K421" s="9" t="s">
        <v>422</v>
      </c>
      <c r="M421" s="9" t="s">
        <v>959</v>
      </c>
      <c r="N421" s="9" t="s">
        <v>977</v>
      </c>
      <c r="O421" s="9">
        <v>0</v>
      </c>
      <c r="P421" s="9">
        <v>15</v>
      </c>
      <c r="Q421" s="9" t="s">
        <v>1165</v>
      </c>
      <c r="U421" s="9" t="s">
        <v>721</v>
      </c>
      <c r="W421" s="85" t="s">
        <v>553</v>
      </c>
      <c r="X421" s="9">
        <f ca="1">IFERROR(OFFSET(ITEM_RES!$A$5,MATCH(BUILDING!W421,ITEM_RES!$J$5:$J$226,0)-1,0),0)</f>
        <v>211020401</v>
      </c>
      <c r="Y421" s="11">
        <v>1</v>
      </c>
      <c r="Z421" s="85" t="s">
        <v>548</v>
      </c>
      <c r="AA421" s="9">
        <f ca="1">IFERROR(OFFSET(ITEM_RES!$A$5,MATCH(BUILDING!Z421,ITEM_RES!$J$5:$J$226,0)-1,0),0)</f>
        <v>211020501</v>
      </c>
      <c r="AC421" s="9" t="s">
        <v>526</v>
      </c>
      <c r="AD421" s="9">
        <v>17</v>
      </c>
      <c r="AF421" s="11">
        <f ca="1">IFERROR(OFFSET(MANOR_LEVEL!$B$1,MATCH(AG421-1,MANOR_LEVEL!$A:$A,0)-1,0),0)</f>
        <v>12172400</v>
      </c>
      <c r="AG421" s="56">
        <v>18</v>
      </c>
      <c r="AI421" s="56">
        <f t="shared" ca="1" si="126"/>
        <v>1700</v>
      </c>
      <c r="AJ421" s="10">
        <f ca="1">AO421+AQ421+(IFERROR(OFFSET(ITEM_RES!$S$1,MATCH(AU421,ITEM_RES!$A:$A,0)-1,0),0)*AW421+IFERROR(OFFSET(ITEM_RES!$S$1,MATCH(AZ421,ITEM_RES!$A:$A,0)-1,0),0)*BB421+IFERROR(OFFSET(ITEM_RES!$S$1,MATCH(BE421,ITEM_RES!$A:$A,0)-1,0),0)*BG421+IFERROR(OFFSET(ITEM_RES!$S$1,MATCH(BJ421,ITEM_RES!$A:$A,0)-1,0),0)*BL421+IFERROR(OFFSET(ITEM_RES!$S$1,MATCH(BO421,ITEM_RES!$A:$A,0)-1,0),0)*BQ421)/1000</f>
        <v>1700.3</v>
      </c>
      <c r="AK421" s="183">
        <f t="shared" ca="1" si="135"/>
        <v>3100</v>
      </c>
      <c r="AM421" s="11">
        <f t="shared" si="128"/>
        <v>85</v>
      </c>
      <c r="AN421" s="10">
        <v>85</v>
      </c>
      <c r="AO421" s="11">
        <f t="shared" si="134"/>
        <v>850</v>
      </c>
      <c r="AP421" s="10">
        <v>850</v>
      </c>
      <c r="AQ421" s="11">
        <f t="shared" si="134"/>
        <v>850</v>
      </c>
      <c r="AR421" s="10">
        <v>850</v>
      </c>
      <c r="AS421" s="56">
        <f t="shared" si="129"/>
        <v>2</v>
      </c>
      <c r="AU421" s="11">
        <f ca="1">IFERROR(OFFSET(ITEM_RES!$A$1,MATCH(AV421,ITEM_RES!$J:$J,0)-1,0),0)</f>
        <v>211020501</v>
      </c>
      <c r="AV421" s="10" t="s">
        <v>433</v>
      </c>
      <c r="AW421" s="11">
        <v>1</v>
      </c>
      <c r="AZ421" s="11">
        <f ca="1">IFERROR(OFFSET(ITEM_RES!$A$1,MATCH(BA421,ITEM_RES!$J:$J,0)-1,0),0)</f>
        <v>211020801</v>
      </c>
      <c r="BA421" s="10" t="s">
        <v>437</v>
      </c>
      <c r="BB421" s="11">
        <v>1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  <c r="BO421" s="11">
        <f ca="1">IFERROR(OFFSET(ITEM_RES!$A$1,MATCH(BP421,ITEM_RES!$J:$J,0)-1,0),0)</f>
        <v>0</v>
      </c>
    </row>
    <row r="422" spans="1:70" x14ac:dyDescent="0.3">
      <c r="A422" s="14">
        <f t="shared" si="131"/>
        <v>112060018</v>
      </c>
      <c r="B422" s="13">
        <v>11</v>
      </c>
      <c r="C422" s="12">
        <f t="shared" si="132"/>
        <v>2</v>
      </c>
      <c r="D422" s="13">
        <v>6</v>
      </c>
      <c r="E422" s="13">
        <v>0</v>
      </c>
      <c r="F422" s="12">
        <f t="shared" si="133"/>
        <v>18</v>
      </c>
      <c r="H422" s="9">
        <v>2</v>
      </c>
      <c r="I422" s="9">
        <v>18</v>
      </c>
      <c r="K422" s="9" t="s">
        <v>422</v>
      </c>
      <c r="M422" s="9" t="s">
        <v>959</v>
      </c>
      <c r="N422" s="9" t="s">
        <v>977</v>
      </c>
      <c r="O422" s="9">
        <v>0</v>
      </c>
      <c r="P422" s="9">
        <v>15</v>
      </c>
      <c r="Q422" s="9" t="s">
        <v>1165</v>
      </c>
      <c r="U422" s="9" t="s">
        <v>721</v>
      </c>
      <c r="W422" s="85" t="s">
        <v>553</v>
      </c>
      <c r="X422" s="9">
        <f ca="1">IFERROR(OFFSET(ITEM_RES!$A$5,MATCH(BUILDING!W422,ITEM_RES!$J$5:$J$226,0)-1,0),0)</f>
        <v>211020401</v>
      </c>
      <c r="Y422" s="11">
        <v>1</v>
      </c>
      <c r="Z422" s="85" t="s">
        <v>548</v>
      </c>
      <c r="AA422" s="9">
        <f ca="1">IFERROR(OFFSET(ITEM_RES!$A$5,MATCH(BUILDING!Z422,ITEM_RES!$J$5:$J$226,0)-1,0),0)</f>
        <v>211020501</v>
      </c>
      <c r="AC422" s="9" t="s">
        <v>526</v>
      </c>
      <c r="AD422" s="9">
        <v>18</v>
      </c>
      <c r="AF422" s="11">
        <f ca="1">IFERROR(OFFSET(MANOR_LEVEL!$B$1,MATCH(AG422-1,MANOR_LEVEL!$A:$A,0)-1,0),0)</f>
        <v>12172400</v>
      </c>
      <c r="AG422" s="56">
        <v>18</v>
      </c>
      <c r="AI422" s="56">
        <f t="shared" ca="1" si="126"/>
        <v>2100</v>
      </c>
      <c r="AJ422" s="10">
        <f ca="1">AO422+AQ422+(IFERROR(OFFSET(ITEM_RES!$S$1,MATCH(AU422,ITEM_RES!$A:$A,0)-1,0),0)*AW422+IFERROR(OFFSET(ITEM_RES!$S$1,MATCH(AZ422,ITEM_RES!$A:$A,0)-1,0),0)*BB422+IFERROR(OFFSET(ITEM_RES!$S$1,MATCH(BE422,ITEM_RES!$A:$A,0)-1,0),0)*BG422+IFERROR(OFFSET(ITEM_RES!$S$1,MATCH(BJ422,ITEM_RES!$A:$A,0)-1,0),0)*BL422+IFERROR(OFFSET(ITEM_RES!$S$1,MATCH(BO422,ITEM_RES!$A:$A,0)-1,0),0)*BQ422)/1000</f>
        <v>2100.3000000000002</v>
      </c>
      <c r="AK422" s="183">
        <f t="shared" ca="1" si="135"/>
        <v>3800</v>
      </c>
      <c r="AM422" s="11">
        <f t="shared" si="128"/>
        <v>90</v>
      </c>
      <c r="AN422" s="10">
        <v>90</v>
      </c>
      <c r="AO422" s="11">
        <f t="shared" si="134"/>
        <v>1050</v>
      </c>
      <c r="AP422" s="10">
        <v>1050</v>
      </c>
      <c r="AQ422" s="11">
        <f t="shared" si="134"/>
        <v>1050</v>
      </c>
      <c r="AR422" s="10">
        <v>1050</v>
      </c>
      <c r="AS422" s="56">
        <f t="shared" si="129"/>
        <v>2</v>
      </c>
      <c r="AU422" s="11">
        <f ca="1">IFERROR(OFFSET(ITEM_RES!$A$1,MATCH(AV422,ITEM_RES!$J:$J,0)-1,0),0)</f>
        <v>211020501</v>
      </c>
      <c r="AV422" s="10" t="s">
        <v>433</v>
      </c>
      <c r="AW422" s="11">
        <v>1</v>
      </c>
      <c r="AZ422" s="11">
        <f ca="1">IFERROR(OFFSET(ITEM_RES!$A$1,MATCH(BA422,ITEM_RES!$J:$J,0)-1,0),0)</f>
        <v>211020801</v>
      </c>
      <c r="BA422" s="10" t="s">
        <v>437</v>
      </c>
      <c r="BB422" s="11">
        <v>1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  <c r="BO422" s="11">
        <f ca="1">IFERROR(OFFSET(ITEM_RES!$A$1,MATCH(BP422,ITEM_RES!$J:$J,0)-1,0),0)</f>
        <v>0</v>
      </c>
    </row>
    <row r="423" spans="1:70" x14ac:dyDescent="0.3">
      <c r="A423" s="14">
        <f t="shared" si="131"/>
        <v>112060019</v>
      </c>
      <c r="B423" s="13">
        <v>11</v>
      </c>
      <c r="C423" s="12">
        <f t="shared" si="132"/>
        <v>2</v>
      </c>
      <c r="D423" s="13">
        <v>6</v>
      </c>
      <c r="E423" s="13">
        <v>0</v>
      </c>
      <c r="F423" s="12">
        <f t="shared" si="133"/>
        <v>19</v>
      </c>
      <c r="H423" s="9">
        <v>2</v>
      </c>
      <c r="I423" s="9">
        <v>19</v>
      </c>
      <c r="K423" s="9" t="s">
        <v>422</v>
      </c>
      <c r="M423" s="9" t="s">
        <v>959</v>
      </c>
      <c r="N423" s="9" t="s">
        <v>977</v>
      </c>
      <c r="O423" s="9">
        <v>0</v>
      </c>
      <c r="P423" s="9">
        <v>15</v>
      </c>
      <c r="Q423" s="9" t="s">
        <v>1165</v>
      </c>
      <c r="U423" s="9" t="s">
        <v>721</v>
      </c>
      <c r="W423" s="85" t="s">
        <v>553</v>
      </c>
      <c r="X423" s="9">
        <f ca="1">IFERROR(OFFSET(ITEM_RES!$A$5,MATCH(BUILDING!W423,ITEM_RES!$J$5:$J$226,0)-1,0),0)</f>
        <v>211020401</v>
      </c>
      <c r="Y423" s="11">
        <v>1</v>
      </c>
      <c r="Z423" s="85" t="s">
        <v>548</v>
      </c>
      <c r="AA423" s="9">
        <f ca="1">IFERROR(OFFSET(ITEM_RES!$A$5,MATCH(BUILDING!Z423,ITEM_RES!$J$5:$J$226,0)-1,0),0)</f>
        <v>211020501</v>
      </c>
      <c r="AC423" s="9" t="s">
        <v>526</v>
      </c>
      <c r="AD423" s="9">
        <v>19</v>
      </c>
      <c r="AF423" s="11">
        <f ca="1">IFERROR(OFFSET(MANOR_LEVEL!$B$1,MATCH(AG423-1,MANOR_LEVEL!$A:$A,0)-1,0),0)</f>
        <v>12172400</v>
      </c>
      <c r="AG423" s="56">
        <v>18</v>
      </c>
      <c r="AI423" s="56">
        <f t="shared" ca="1" si="126"/>
        <v>2500</v>
      </c>
      <c r="AJ423" s="10">
        <f ca="1">AO423+AQ423+(IFERROR(OFFSET(ITEM_RES!$S$1,MATCH(AU423,ITEM_RES!$A:$A,0)-1,0),0)*AW423+IFERROR(OFFSET(ITEM_RES!$S$1,MATCH(AZ423,ITEM_RES!$A:$A,0)-1,0),0)*BB423+IFERROR(OFFSET(ITEM_RES!$S$1,MATCH(BE423,ITEM_RES!$A:$A,0)-1,0),0)*BG423+IFERROR(OFFSET(ITEM_RES!$S$1,MATCH(BJ423,ITEM_RES!$A:$A,0)-1,0),0)*BL423+IFERROR(OFFSET(ITEM_RES!$S$1,MATCH(BO423,ITEM_RES!$A:$A,0)-1,0),0)*BQ423)/1000</f>
        <v>2500.3000000000002</v>
      </c>
      <c r="AK423" s="183">
        <f t="shared" ca="1" si="135"/>
        <v>4600</v>
      </c>
      <c r="AM423" s="11">
        <f t="shared" si="128"/>
        <v>95</v>
      </c>
      <c r="AN423" s="10">
        <v>95</v>
      </c>
      <c r="AO423" s="11">
        <f t="shared" si="134"/>
        <v>1250</v>
      </c>
      <c r="AP423" s="10">
        <v>1250</v>
      </c>
      <c r="AQ423" s="11">
        <f t="shared" si="134"/>
        <v>1250</v>
      </c>
      <c r="AR423" s="10">
        <v>1250</v>
      </c>
      <c r="AS423" s="56">
        <f t="shared" si="129"/>
        <v>2</v>
      </c>
      <c r="AU423" s="11">
        <f ca="1">IFERROR(OFFSET(ITEM_RES!$A$1,MATCH(AV423,ITEM_RES!$J:$J,0)-1,0),0)</f>
        <v>211020501</v>
      </c>
      <c r="AV423" s="10" t="s">
        <v>433</v>
      </c>
      <c r="AW423" s="11">
        <v>1</v>
      </c>
      <c r="AZ423" s="11">
        <f ca="1">IFERROR(OFFSET(ITEM_RES!$A$1,MATCH(BA423,ITEM_RES!$J:$J,0)-1,0),0)</f>
        <v>211020801</v>
      </c>
      <c r="BA423" s="10" t="s">
        <v>437</v>
      </c>
      <c r="BB423" s="11">
        <v>1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  <c r="BO423" s="11">
        <f ca="1">IFERROR(OFFSET(ITEM_RES!$A$1,MATCH(BP423,ITEM_RES!$J:$J,0)-1,0),0)</f>
        <v>0</v>
      </c>
    </row>
    <row r="424" spans="1:70" ht="17.25" thickBot="1" x14ac:dyDescent="0.35">
      <c r="A424" s="14">
        <f t="shared" si="131"/>
        <v>112060020</v>
      </c>
      <c r="B424" s="13">
        <v>11</v>
      </c>
      <c r="C424" s="12">
        <f t="shared" si="132"/>
        <v>2</v>
      </c>
      <c r="D424" s="13">
        <v>6</v>
      </c>
      <c r="E424" s="13">
        <v>0</v>
      </c>
      <c r="F424" s="12">
        <f t="shared" si="133"/>
        <v>20</v>
      </c>
      <c r="H424" s="9">
        <v>2</v>
      </c>
      <c r="I424" s="9">
        <v>20</v>
      </c>
      <c r="K424" s="9" t="s">
        <v>422</v>
      </c>
      <c r="M424" s="9" t="s">
        <v>959</v>
      </c>
      <c r="N424" s="9" t="s">
        <v>977</v>
      </c>
      <c r="O424" s="9">
        <v>0</v>
      </c>
      <c r="P424" s="9">
        <v>15</v>
      </c>
      <c r="Q424" s="9" t="s">
        <v>1165</v>
      </c>
      <c r="U424" s="9" t="s">
        <v>721</v>
      </c>
      <c r="W424" s="85" t="s">
        <v>553</v>
      </c>
      <c r="X424" s="9">
        <f ca="1">IFERROR(OFFSET(ITEM_RES!$A$5,MATCH(BUILDING!W424,ITEM_RES!$J$5:$J$226,0)-1,0),0)</f>
        <v>211020401</v>
      </c>
      <c r="Y424" s="11">
        <v>1</v>
      </c>
      <c r="Z424" s="85" t="s">
        <v>548</v>
      </c>
      <c r="AA424" s="9">
        <f ca="1">IFERROR(OFFSET(ITEM_RES!$A$5,MATCH(BUILDING!Z424,ITEM_RES!$J$5:$J$226,0)-1,0),0)</f>
        <v>211020501</v>
      </c>
      <c r="AC424" s="9" t="s">
        <v>526</v>
      </c>
      <c r="AD424" s="9">
        <v>20</v>
      </c>
      <c r="AF424" s="11">
        <f ca="1">IFERROR(OFFSET(MANOR_LEVEL!$B$1,MATCH(AG424-1,MANOR_LEVEL!$A:$A,0)-1,0),0)</f>
        <v>12172400</v>
      </c>
      <c r="AG424" s="56">
        <v>18</v>
      </c>
      <c r="AI424" s="56">
        <f t="shared" ca="1" si="126"/>
        <v>3000</v>
      </c>
      <c r="AJ424" s="10">
        <f ca="1">AO424+AQ424+(IFERROR(OFFSET(ITEM_RES!$S$1,MATCH(AU424,ITEM_RES!$A:$A,0)-1,0),0)*AW424+IFERROR(OFFSET(ITEM_RES!$S$1,MATCH(AZ424,ITEM_RES!$A:$A,0)-1,0),0)*BB424+IFERROR(OFFSET(ITEM_RES!$S$1,MATCH(BE424,ITEM_RES!$A:$A,0)-1,0),0)*BG424+IFERROR(OFFSET(ITEM_RES!$S$1,MATCH(BJ424,ITEM_RES!$A:$A,0)-1,0),0)*BL424+IFERROR(OFFSET(ITEM_RES!$S$1,MATCH(BO424,ITEM_RES!$A:$A,0)-1,0),0)*BQ424)/1000</f>
        <v>3000.3</v>
      </c>
      <c r="AK424" s="183">
        <f t="shared" ca="1" si="135"/>
        <v>5500</v>
      </c>
      <c r="AM424" s="11">
        <f t="shared" si="128"/>
        <v>100</v>
      </c>
      <c r="AN424" s="10">
        <v>100</v>
      </c>
      <c r="AO424" s="11">
        <f t="shared" si="134"/>
        <v>1500</v>
      </c>
      <c r="AP424" s="10">
        <v>1500</v>
      </c>
      <c r="AQ424" s="11">
        <f t="shared" si="134"/>
        <v>1500</v>
      </c>
      <c r="AR424" s="10">
        <v>1500</v>
      </c>
      <c r="AS424" s="56">
        <f t="shared" si="129"/>
        <v>2</v>
      </c>
      <c r="AU424" s="11">
        <f ca="1">IFERROR(OFFSET(ITEM_RES!$A$1,MATCH(AV424,ITEM_RES!$J:$J,0)-1,0),0)</f>
        <v>211020501</v>
      </c>
      <c r="AV424" s="10" t="s">
        <v>433</v>
      </c>
      <c r="AW424" s="11">
        <v>1</v>
      </c>
      <c r="AZ424" s="11">
        <f ca="1">IFERROR(OFFSET(ITEM_RES!$A$1,MATCH(BA424,ITEM_RES!$J:$J,0)-1,0),0)</f>
        <v>211020801</v>
      </c>
      <c r="BA424" s="10" t="s">
        <v>437</v>
      </c>
      <c r="BB424" s="11">
        <v>1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  <c r="BO424" s="11">
        <f ca="1">IFERROR(OFFSET(ITEM_RES!$A$1,MATCH(BP424,ITEM_RES!$J:$J,0)-1,0),0)</f>
        <v>0</v>
      </c>
    </row>
    <row r="425" spans="1:70" s="15" customFormat="1" x14ac:dyDescent="0.3">
      <c r="A425" s="21">
        <f t="shared" si="131"/>
        <v>112070001</v>
      </c>
      <c r="B425" s="20">
        <v>11</v>
      </c>
      <c r="C425" s="19">
        <f t="shared" si="132"/>
        <v>2</v>
      </c>
      <c r="D425" s="20">
        <v>7</v>
      </c>
      <c r="E425" s="20">
        <v>0</v>
      </c>
      <c r="F425" s="19">
        <f t="shared" si="133"/>
        <v>1</v>
      </c>
      <c r="G425" s="79"/>
      <c r="H425" s="16">
        <v>2</v>
      </c>
      <c r="I425" s="16">
        <v>1</v>
      </c>
      <c r="J425" s="79"/>
      <c r="K425" s="16" t="s">
        <v>532</v>
      </c>
      <c r="L425" s="16">
        <v>6</v>
      </c>
      <c r="M425" s="16" t="s">
        <v>960</v>
      </c>
      <c r="N425" s="16" t="s">
        <v>978</v>
      </c>
      <c r="O425" s="16">
        <v>1</v>
      </c>
      <c r="P425" s="16">
        <v>15</v>
      </c>
      <c r="Q425" s="16" t="s">
        <v>780</v>
      </c>
      <c r="R425" s="17"/>
      <c r="S425" s="17"/>
      <c r="T425" s="18"/>
      <c r="U425" s="16" t="s">
        <v>717</v>
      </c>
      <c r="V425" s="79"/>
      <c r="W425" s="87" t="s">
        <v>547</v>
      </c>
      <c r="X425" s="16">
        <f ca="1">IFERROR(OFFSET(ITEM_RES!$A$5,MATCH(BUILDING!W425,ITEM_RES!$J$5:$J$226,0)-1,0),0)</f>
        <v>211020201</v>
      </c>
      <c r="Y425" s="18">
        <v>1</v>
      </c>
      <c r="Z425" s="87" t="s">
        <v>549</v>
      </c>
      <c r="AA425" s="16">
        <f ca="1">IFERROR(OFFSET(ITEM_RES!$A$5,MATCH(BUILDING!Z425,ITEM_RES!$J$5:$J$226,0)-1,0),0)</f>
        <v>211020301</v>
      </c>
      <c r="AB425" s="79"/>
      <c r="AC425" s="16" t="s">
        <v>527</v>
      </c>
      <c r="AD425" s="16">
        <v>1</v>
      </c>
      <c r="AE425" s="79"/>
      <c r="AF425" s="18">
        <f ca="1">IFERROR(OFFSET(MANOR_LEVEL!$B$1,MATCH(AG425-1,MANOR_LEVEL!$A:$A,0)-1,0),0)</f>
        <v>32640</v>
      </c>
      <c r="AG425" s="57">
        <v>7</v>
      </c>
      <c r="AH425" s="79"/>
      <c r="AI425" s="57">
        <f t="shared" ca="1" si="126"/>
        <v>110</v>
      </c>
      <c r="AJ425" s="17">
        <f ca="1">AO425+AQ425+(IFERROR(OFFSET(ITEM_RES!$S$1,MATCH(AU425,ITEM_RES!$A:$A,0)-1,0),0)*AW425+IFERROR(OFFSET(ITEM_RES!$S$1,MATCH(AZ425,ITEM_RES!$A:$A,0)-1,0),0)*BB425+IFERROR(OFFSET(ITEM_RES!$S$1,MATCH(BE425,ITEM_RES!$A:$A,0)-1,0),0)*BG425+IFERROR(OFFSET(ITEM_RES!$S$1,MATCH(BJ425,ITEM_RES!$A:$A,0)-1,0),0)*BL425+IFERROR(OFFSET(ITEM_RES!$S$1,MATCH(BO425,ITEM_RES!$A:$A,0)-1,0),0)*BQ425)/1000</f>
        <v>110.21</v>
      </c>
      <c r="AK425" s="185">
        <f ca="1">AI425</f>
        <v>110</v>
      </c>
      <c r="AL425" s="79"/>
      <c r="AM425" s="18">
        <f t="shared" si="128"/>
        <v>5</v>
      </c>
      <c r="AN425" s="17">
        <v>5</v>
      </c>
      <c r="AO425" s="18">
        <f t="shared" si="134"/>
        <v>5</v>
      </c>
      <c r="AP425" s="17">
        <v>5</v>
      </c>
      <c r="AQ425" s="18">
        <f t="shared" si="134"/>
        <v>5</v>
      </c>
      <c r="AR425" s="17">
        <v>5</v>
      </c>
      <c r="AS425" s="57">
        <f t="shared" si="129"/>
        <v>3</v>
      </c>
      <c r="AT425" s="18"/>
      <c r="AU425" s="18">
        <f ca="1">IFERROR(OFFSET(ITEM_RES!$A$1,MATCH(AV425,ITEM_RES!$J:$J,0)-1,0),0)</f>
        <v>211020201</v>
      </c>
      <c r="AV425" s="17" t="s">
        <v>430</v>
      </c>
      <c r="AW425" s="18">
        <v>20</v>
      </c>
      <c r="AX425" s="17"/>
      <c r="AY425" s="18"/>
      <c r="AZ425" s="18">
        <f ca="1">IFERROR(OFFSET(ITEM_RES!$A$1,MATCH(BA425,ITEM_RES!$J:$J,0)-1,0),0)</f>
        <v>211020401</v>
      </c>
      <c r="BA425" s="17" t="s">
        <v>436</v>
      </c>
      <c r="BB425" s="18">
        <v>1</v>
      </c>
      <c r="BC425" s="17"/>
      <c r="BD425" s="18"/>
      <c r="BE425" s="18">
        <f ca="1">IFERROR(OFFSET(ITEM_RES!$A$1,MATCH(BF425,ITEM_RES!$J:$J,0)-1,0),0)</f>
        <v>213010101</v>
      </c>
      <c r="BF425" s="17" t="s">
        <v>452</v>
      </c>
      <c r="BG425" s="18">
        <v>1</v>
      </c>
      <c r="BH425" s="17"/>
      <c r="BI425" s="18"/>
      <c r="BJ425" s="18">
        <f ca="1">IFERROR(OFFSET(ITEM_RES!$A$1,MATCH(BK425,ITEM_RES!$J:$J,0)-1,0),0)</f>
        <v>0</v>
      </c>
      <c r="BK425" s="17"/>
      <c r="BL425" s="18"/>
      <c r="BM425" s="17"/>
      <c r="BN425" s="18"/>
      <c r="BO425" s="18">
        <f ca="1">IFERROR(OFFSET(ITEM_RES!$A$1,MATCH(BP425,ITEM_RES!$J:$J,0)-1,0),0)</f>
        <v>0</v>
      </c>
      <c r="BP425" s="17"/>
      <c r="BQ425" s="18"/>
      <c r="BR425" s="17"/>
    </row>
    <row r="426" spans="1:70" x14ac:dyDescent="0.3">
      <c r="A426" s="14">
        <f t="shared" si="131"/>
        <v>112070002</v>
      </c>
      <c r="B426" s="13">
        <v>11</v>
      </c>
      <c r="C426" s="12">
        <f t="shared" si="132"/>
        <v>2</v>
      </c>
      <c r="D426" s="13">
        <v>7</v>
      </c>
      <c r="E426" s="13">
        <v>0</v>
      </c>
      <c r="F426" s="12">
        <f t="shared" si="133"/>
        <v>2</v>
      </c>
      <c r="H426" s="9">
        <v>2</v>
      </c>
      <c r="I426" s="9">
        <v>2</v>
      </c>
      <c r="K426" s="9" t="s">
        <v>364</v>
      </c>
      <c r="M426" s="9" t="s">
        <v>960</v>
      </c>
      <c r="N426" s="9" t="s">
        <v>978</v>
      </c>
      <c r="O426" s="9">
        <v>1</v>
      </c>
      <c r="P426" s="9">
        <v>15</v>
      </c>
      <c r="Q426" s="9" t="s">
        <v>780</v>
      </c>
      <c r="U426" s="9" t="s">
        <v>717</v>
      </c>
      <c r="W426" s="85" t="s">
        <v>547</v>
      </c>
      <c r="X426" s="9">
        <f ca="1">IFERROR(OFFSET(ITEM_RES!$A$5,MATCH(BUILDING!W426,ITEM_RES!$J$5:$J$226,0)-1,0),0)</f>
        <v>211020201</v>
      </c>
      <c r="Y426" s="11">
        <v>1</v>
      </c>
      <c r="Z426" s="85" t="s">
        <v>549</v>
      </c>
      <c r="AA426" s="9">
        <f ca="1">IFERROR(OFFSET(ITEM_RES!$A$5,MATCH(BUILDING!Z426,ITEM_RES!$J$5:$J$226,0)-1,0),0)</f>
        <v>211020301</v>
      </c>
      <c r="AC426" s="9" t="s">
        <v>527</v>
      </c>
      <c r="AD426" s="9">
        <v>2</v>
      </c>
      <c r="AF426" s="11">
        <f ca="1">IFERROR(OFFSET(MANOR_LEVEL!$B$1,MATCH(AG426-1,MANOR_LEVEL!$A:$A,0)-1,0),0)</f>
        <v>94800</v>
      </c>
      <c r="AG426" s="56">
        <v>8</v>
      </c>
      <c r="AI426" s="56">
        <f t="shared" ca="1" si="126"/>
        <v>20</v>
      </c>
      <c r="AJ426" s="10">
        <f ca="1">AO426+AQ426+(IFERROR(OFFSET(ITEM_RES!$S$1,MATCH(AU426,ITEM_RES!$A:$A,0)-1,0),0)*AW426+IFERROR(OFFSET(ITEM_RES!$S$1,MATCH(AZ426,ITEM_RES!$A:$A,0)-1,0),0)*BB426+IFERROR(OFFSET(ITEM_RES!$S$1,MATCH(BE426,ITEM_RES!$A:$A,0)-1,0),0)*BG426+IFERROR(OFFSET(ITEM_RES!$S$1,MATCH(BJ426,ITEM_RES!$A:$A,0)-1,0),0)*BL426+IFERROR(OFFSET(ITEM_RES!$S$1,MATCH(BO426,ITEM_RES!$A:$A,0)-1,0),0)*BQ426)/1000</f>
        <v>20.21</v>
      </c>
      <c r="AK426" s="183">
        <f ca="1">AI425+AI426</f>
        <v>130</v>
      </c>
      <c r="AM426" s="11">
        <f t="shared" si="128"/>
        <v>10</v>
      </c>
      <c r="AN426" s="10">
        <v>10</v>
      </c>
      <c r="AO426" s="11">
        <f t="shared" si="134"/>
        <v>10</v>
      </c>
      <c r="AP426" s="10">
        <v>10</v>
      </c>
      <c r="AQ426" s="11">
        <f t="shared" si="134"/>
        <v>10</v>
      </c>
      <c r="AR426" s="10">
        <v>10</v>
      </c>
      <c r="AS426" s="56">
        <f t="shared" si="129"/>
        <v>2</v>
      </c>
      <c r="AU426" s="11">
        <f ca="1">IFERROR(OFFSET(ITEM_RES!$A$1,MATCH(AV426,ITEM_RES!$J:$J,0)-1,0),0)</f>
        <v>211020201</v>
      </c>
      <c r="AV426" s="10" t="s">
        <v>430</v>
      </c>
      <c r="AW426" s="11">
        <v>20</v>
      </c>
      <c r="AZ426" s="11">
        <f ca="1">IFERROR(OFFSET(ITEM_RES!$A$1,MATCH(BA426,ITEM_RES!$J:$J,0)-1,0),0)</f>
        <v>211020401</v>
      </c>
      <c r="BA426" s="10" t="s">
        <v>436</v>
      </c>
      <c r="BB426" s="11">
        <v>1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  <c r="BO426" s="11">
        <f ca="1">IFERROR(OFFSET(ITEM_RES!$A$1,MATCH(BP426,ITEM_RES!$J:$J,0)-1,0),0)</f>
        <v>0</v>
      </c>
    </row>
    <row r="427" spans="1:70" x14ac:dyDescent="0.3">
      <c r="A427" s="14">
        <f t="shared" si="131"/>
        <v>112070003</v>
      </c>
      <c r="B427" s="13">
        <v>11</v>
      </c>
      <c r="C427" s="12">
        <f t="shared" si="132"/>
        <v>2</v>
      </c>
      <c r="D427" s="13">
        <v>7</v>
      </c>
      <c r="E427" s="13">
        <v>0</v>
      </c>
      <c r="F427" s="12">
        <f t="shared" si="133"/>
        <v>3</v>
      </c>
      <c r="H427" s="9">
        <v>2</v>
      </c>
      <c r="I427" s="9">
        <v>3</v>
      </c>
      <c r="K427" s="9" t="s">
        <v>364</v>
      </c>
      <c r="M427" s="9" t="s">
        <v>960</v>
      </c>
      <c r="N427" s="9" t="s">
        <v>978</v>
      </c>
      <c r="O427" s="9">
        <v>1</v>
      </c>
      <c r="P427" s="9">
        <v>15</v>
      </c>
      <c r="Q427" s="9" t="s">
        <v>780</v>
      </c>
      <c r="U427" s="9" t="s">
        <v>717</v>
      </c>
      <c r="W427" s="85" t="s">
        <v>547</v>
      </c>
      <c r="X427" s="9">
        <f ca="1">IFERROR(OFFSET(ITEM_RES!$A$5,MATCH(BUILDING!W427,ITEM_RES!$J$5:$J$226,0)-1,0),0)</f>
        <v>211020201</v>
      </c>
      <c r="Y427" s="11">
        <v>1</v>
      </c>
      <c r="Z427" s="85" t="s">
        <v>549</v>
      </c>
      <c r="AA427" s="9">
        <f ca="1">IFERROR(OFFSET(ITEM_RES!$A$5,MATCH(BUILDING!Z427,ITEM_RES!$J$5:$J$226,0)-1,0),0)</f>
        <v>211020301</v>
      </c>
      <c r="AC427" s="9" t="s">
        <v>527</v>
      </c>
      <c r="AD427" s="9">
        <v>3</v>
      </c>
      <c r="AF427" s="11">
        <f ca="1">IFERROR(OFFSET(MANOR_LEVEL!$B$1,MATCH(AG427-1,MANOR_LEVEL!$A:$A,0)-1,0),0)</f>
        <v>186400</v>
      </c>
      <c r="AG427" s="56">
        <v>9</v>
      </c>
      <c r="AI427" s="56">
        <f t="shared" ca="1" si="126"/>
        <v>32</v>
      </c>
      <c r="AJ427" s="10">
        <f ca="1">AO427+AQ427+(IFERROR(OFFSET(ITEM_RES!$S$1,MATCH(AU427,ITEM_RES!$A:$A,0)-1,0),0)*AW427+IFERROR(OFFSET(ITEM_RES!$S$1,MATCH(AZ427,ITEM_RES!$A:$A,0)-1,0),0)*BB427+IFERROR(OFFSET(ITEM_RES!$S$1,MATCH(BE427,ITEM_RES!$A:$A,0)-1,0),0)*BG427+IFERROR(OFFSET(ITEM_RES!$S$1,MATCH(BJ427,ITEM_RES!$A:$A,0)-1,0),0)*BL427+IFERROR(OFFSET(ITEM_RES!$S$1,MATCH(BO427,ITEM_RES!$A:$A,0)-1,0),0)*BQ427)/1000</f>
        <v>31.61</v>
      </c>
      <c r="AK427" s="183">
        <f t="shared" ref="AK427:AK444" ca="1" si="136">AI426+AI427</f>
        <v>52</v>
      </c>
      <c r="AM427" s="11">
        <f t="shared" si="128"/>
        <v>15</v>
      </c>
      <c r="AN427" s="10">
        <v>15</v>
      </c>
      <c r="AO427" s="11">
        <f t="shared" si="134"/>
        <v>15</v>
      </c>
      <c r="AP427" s="10">
        <v>15</v>
      </c>
      <c r="AQ427" s="11">
        <f t="shared" si="134"/>
        <v>15</v>
      </c>
      <c r="AR427" s="10">
        <v>15</v>
      </c>
      <c r="AS427" s="56">
        <f t="shared" si="129"/>
        <v>2</v>
      </c>
      <c r="AU427" s="11">
        <f ca="1">IFERROR(OFFSET(ITEM_RES!$A$1,MATCH(AV427,ITEM_RES!$J:$J,0)-1,0),0)</f>
        <v>211020201</v>
      </c>
      <c r="AV427" s="10" t="s">
        <v>430</v>
      </c>
      <c r="AW427" s="11">
        <v>160</v>
      </c>
      <c r="AZ427" s="11">
        <f ca="1">IFERROR(OFFSET(ITEM_RES!$A$1,MATCH(BA427,ITEM_RES!$J:$J,0)-1,0),0)</f>
        <v>211020401</v>
      </c>
      <c r="BA427" s="10" t="s">
        <v>436</v>
      </c>
      <c r="BB427" s="11">
        <v>1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  <c r="BO427" s="11">
        <f ca="1">IFERROR(OFFSET(ITEM_RES!$A$1,MATCH(BP427,ITEM_RES!$J:$J,0)-1,0),0)</f>
        <v>0</v>
      </c>
    </row>
    <row r="428" spans="1:70" x14ac:dyDescent="0.3">
      <c r="A428" s="14">
        <f t="shared" si="131"/>
        <v>112070004</v>
      </c>
      <c r="B428" s="13">
        <v>11</v>
      </c>
      <c r="C428" s="12">
        <f t="shared" si="132"/>
        <v>2</v>
      </c>
      <c r="D428" s="13">
        <v>7</v>
      </c>
      <c r="E428" s="13">
        <v>0</v>
      </c>
      <c r="F428" s="12">
        <f t="shared" si="133"/>
        <v>4</v>
      </c>
      <c r="H428" s="9">
        <v>2</v>
      </c>
      <c r="I428" s="9">
        <v>4</v>
      </c>
      <c r="K428" s="9" t="s">
        <v>364</v>
      </c>
      <c r="M428" s="9" t="s">
        <v>960</v>
      </c>
      <c r="N428" s="9" t="s">
        <v>978</v>
      </c>
      <c r="O428" s="9">
        <v>1</v>
      </c>
      <c r="P428" s="9">
        <v>15</v>
      </c>
      <c r="Q428" s="9" t="s">
        <v>780</v>
      </c>
      <c r="U428" s="9" t="s">
        <v>717</v>
      </c>
      <c r="W428" s="85" t="s">
        <v>547</v>
      </c>
      <c r="X428" s="9">
        <f ca="1">IFERROR(OFFSET(ITEM_RES!$A$5,MATCH(BUILDING!W428,ITEM_RES!$J$5:$J$226,0)-1,0),0)</f>
        <v>211020201</v>
      </c>
      <c r="Y428" s="11">
        <v>1</v>
      </c>
      <c r="Z428" s="85" t="s">
        <v>549</v>
      </c>
      <c r="AA428" s="9">
        <f ca="1">IFERROR(OFFSET(ITEM_RES!$A$5,MATCH(BUILDING!Z428,ITEM_RES!$J$5:$J$226,0)-1,0),0)</f>
        <v>211020301</v>
      </c>
      <c r="AC428" s="9" t="s">
        <v>527</v>
      </c>
      <c r="AD428" s="9">
        <v>4</v>
      </c>
      <c r="AF428" s="11">
        <f ca="1">IFERROR(OFFSET(MANOR_LEVEL!$B$1,MATCH(AG428-1,MANOR_LEVEL!$A:$A,0)-1,0),0)</f>
        <v>186400</v>
      </c>
      <c r="AG428" s="56">
        <v>9</v>
      </c>
      <c r="AI428" s="56">
        <f t="shared" ca="1" si="126"/>
        <v>69</v>
      </c>
      <c r="AJ428" s="10">
        <f ca="1">AO428+AQ428+(IFERROR(OFFSET(ITEM_RES!$S$1,MATCH(AU428,ITEM_RES!$A:$A,0)-1,0),0)*AW428+IFERROR(OFFSET(ITEM_RES!$S$1,MATCH(AZ428,ITEM_RES!$A:$A,0)-1,0),0)*BB428+IFERROR(OFFSET(ITEM_RES!$S$1,MATCH(BE428,ITEM_RES!$A:$A,0)-1,0),0)*BG428+IFERROR(OFFSET(ITEM_RES!$S$1,MATCH(BJ428,ITEM_RES!$A:$A,0)-1,0),0)*BL428+IFERROR(OFFSET(ITEM_RES!$S$1,MATCH(BO428,ITEM_RES!$A:$A,0)-1,0),0)*BQ428)/1000</f>
        <v>69.210000000000008</v>
      </c>
      <c r="AK428" s="183">
        <f t="shared" ca="1" si="136"/>
        <v>101</v>
      </c>
      <c r="AM428" s="11">
        <f t="shared" si="128"/>
        <v>20</v>
      </c>
      <c r="AN428" s="10">
        <v>20</v>
      </c>
      <c r="AO428" s="11">
        <f t="shared" si="134"/>
        <v>25</v>
      </c>
      <c r="AP428" s="10">
        <v>25</v>
      </c>
      <c r="AQ428" s="11">
        <f t="shared" si="134"/>
        <v>25</v>
      </c>
      <c r="AR428" s="10">
        <v>25</v>
      </c>
      <c r="AS428" s="56">
        <f t="shared" si="129"/>
        <v>2</v>
      </c>
      <c r="AU428" s="11">
        <f ca="1">IFERROR(OFFSET(ITEM_RES!$A$1,MATCH(AV428,ITEM_RES!$J:$J,0)-1,0),0)</f>
        <v>211020201</v>
      </c>
      <c r="AV428" s="10" t="s">
        <v>430</v>
      </c>
      <c r="AW428" s="11">
        <v>1920</v>
      </c>
      <c r="AZ428" s="11">
        <f ca="1">IFERROR(OFFSET(ITEM_RES!$A$1,MATCH(BA428,ITEM_RES!$J:$J,0)-1,0),0)</f>
        <v>211020401</v>
      </c>
      <c r="BA428" s="10" t="s">
        <v>436</v>
      </c>
      <c r="BB428" s="11">
        <v>1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  <c r="BO428" s="11">
        <f ca="1">IFERROR(OFFSET(ITEM_RES!$A$1,MATCH(BP428,ITEM_RES!$J:$J,0)-1,0),0)</f>
        <v>0</v>
      </c>
    </row>
    <row r="429" spans="1:70" x14ac:dyDescent="0.3">
      <c r="A429" s="14">
        <f t="shared" si="131"/>
        <v>112070005</v>
      </c>
      <c r="B429" s="13">
        <v>11</v>
      </c>
      <c r="C429" s="12">
        <f t="shared" si="132"/>
        <v>2</v>
      </c>
      <c r="D429" s="13">
        <v>7</v>
      </c>
      <c r="E429" s="13">
        <v>0</v>
      </c>
      <c r="F429" s="12">
        <f t="shared" si="133"/>
        <v>5</v>
      </c>
      <c r="H429" s="9">
        <v>2</v>
      </c>
      <c r="I429" s="9">
        <v>5</v>
      </c>
      <c r="K429" s="9" t="s">
        <v>364</v>
      </c>
      <c r="M429" s="9" t="s">
        <v>960</v>
      </c>
      <c r="N429" s="9" t="s">
        <v>978</v>
      </c>
      <c r="O429" s="9">
        <v>1</v>
      </c>
      <c r="P429" s="9">
        <v>15</v>
      </c>
      <c r="Q429" s="9" t="s">
        <v>780</v>
      </c>
      <c r="U429" s="9" t="s">
        <v>717</v>
      </c>
      <c r="W429" s="85" t="s">
        <v>547</v>
      </c>
      <c r="X429" s="9">
        <f ca="1">IFERROR(OFFSET(ITEM_RES!$A$5,MATCH(BUILDING!W429,ITEM_RES!$J$5:$J$226,0)-1,0),0)</f>
        <v>211020201</v>
      </c>
      <c r="Y429" s="11">
        <v>1</v>
      </c>
      <c r="Z429" s="85" t="s">
        <v>549</v>
      </c>
      <c r="AA429" s="9">
        <f ca="1">IFERROR(OFFSET(ITEM_RES!$A$5,MATCH(BUILDING!Z429,ITEM_RES!$J$5:$J$226,0)-1,0),0)</f>
        <v>211020301</v>
      </c>
      <c r="AC429" s="9" t="s">
        <v>527</v>
      </c>
      <c r="AD429" s="9">
        <v>5</v>
      </c>
      <c r="AF429" s="11">
        <f ca="1">IFERROR(OFFSET(MANOR_LEVEL!$B$1,MATCH(AG429-1,MANOR_LEVEL!$A:$A,0)-1,0),0)</f>
        <v>311600</v>
      </c>
      <c r="AG429" s="56">
        <v>10</v>
      </c>
      <c r="AI429" s="56">
        <f t="shared" ca="1" si="126"/>
        <v>340</v>
      </c>
      <c r="AJ429" s="10">
        <f ca="1">AO429+AQ429+(IFERROR(OFFSET(ITEM_RES!$S$1,MATCH(AU429,ITEM_RES!$A:$A,0)-1,0),0)*AW429+IFERROR(OFFSET(ITEM_RES!$S$1,MATCH(AZ429,ITEM_RES!$A:$A,0)-1,0),0)*BB429+IFERROR(OFFSET(ITEM_RES!$S$1,MATCH(BE429,ITEM_RES!$A:$A,0)-1,0),0)*BG429+IFERROR(OFFSET(ITEM_RES!$S$1,MATCH(BJ429,ITEM_RES!$A:$A,0)-1,0),0)*BL429+IFERROR(OFFSET(ITEM_RES!$S$1,MATCH(BO429,ITEM_RES!$A:$A,0)-1,0),0)*BQ429)/1000</f>
        <v>340.01</v>
      </c>
      <c r="AK429" s="183">
        <f t="shared" ca="1" si="136"/>
        <v>409</v>
      </c>
      <c r="AM429" s="11">
        <f t="shared" ref="AM429:AM492" si="137">ROUND(AN429,0)</f>
        <v>25</v>
      </c>
      <c r="AN429" s="10">
        <v>25</v>
      </c>
      <c r="AO429" s="11">
        <f t="shared" si="134"/>
        <v>40</v>
      </c>
      <c r="AP429" s="10">
        <v>40</v>
      </c>
      <c r="AQ429" s="11">
        <f t="shared" si="134"/>
        <v>40</v>
      </c>
      <c r="AR429" s="10">
        <v>40</v>
      </c>
      <c r="AS429" s="56">
        <f t="shared" si="129"/>
        <v>2</v>
      </c>
      <c r="AU429" s="11">
        <f ca="1">IFERROR(OFFSET(ITEM_RES!$A$1,MATCH(AV429,ITEM_RES!$J:$J,0)-1,0),0)</f>
        <v>211020201</v>
      </c>
      <c r="AV429" s="10" t="s">
        <v>430</v>
      </c>
      <c r="AW429" s="11">
        <v>26000</v>
      </c>
      <c r="AZ429" s="11">
        <f ca="1">IFERROR(OFFSET(ITEM_RES!$A$1,MATCH(BA429,ITEM_RES!$J:$J,0)-1,0),0)</f>
        <v>211020401</v>
      </c>
      <c r="BA429" s="10" t="s">
        <v>436</v>
      </c>
      <c r="BB429" s="11">
        <v>1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  <c r="BO429" s="11">
        <f ca="1">IFERROR(OFFSET(ITEM_RES!$A$1,MATCH(BP429,ITEM_RES!$J:$J,0)-1,0),0)</f>
        <v>0</v>
      </c>
    </row>
    <row r="430" spans="1:70" x14ac:dyDescent="0.3">
      <c r="A430" s="14">
        <f t="shared" si="131"/>
        <v>112070006</v>
      </c>
      <c r="B430" s="13">
        <v>11</v>
      </c>
      <c r="C430" s="12">
        <f t="shared" si="132"/>
        <v>2</v>
      </c>
      <c r="D430" s="13">
        <v>7</v>
      </c>
      <c r="E430" s="13">
        <v>0</v>
      </c>
      <c r="F430" s="12">
        <f t="shared" si="133"/>
        <v>6</v>
      </c>
      <c r="H430" s="9">
        <v>2</v>
      </c>
      <c r="I430" s="9">
        <v>6</v>
      </c>
      <c r="K430" s="9" t="s">
        <v>364</v>
      </c>
      <c r="M430" s="9" t="s">
        <v>960</v>
      </c>
      <c r="N430" s="9" t="s">
        <v>978</v>
      </c>
      <c r="O430" s="9">
        <v>1</v>
      </c>
      <c r="P430" s="9">
        <v>15</v>
      </c>
      <c r="Q430" s="9" t="s">
        <v>780</v>
      </c>
      <c r="U430" s="9" t="s">
        <v>717</v>
      </c>
      <c r="W430" s="85" t="s">
        <v>547</v>
      </c>
      <c r="X430" s="9">
        <f ca="1">IFERROR(OFFSET(ITEM_RES!$A$5,MATCH(BUILDING!W430,ITEM_RES!$J$5:$J$226,0)-1,0),0)</f>
        <v>211020201</v>
      </c>
      <c r="Y430" s="11">
        <v>1</v>
      </c>
      <c r="Z430" s="85" t="s">
        <v>549</v>
      </c>
      <c r="AA430" s="9">
        <f ca="1">IFERROR(OFFSET(ITEM_RES!$A$5,MATCH(BUILDING!Z430,ITEM_RES!$J$5:$J$226,0)-1,0),0)</f>
        <v>211020301</v>
      </c>
      <c r="AC430" s="9" t="s">
        <v>527</v>
      </c>
      <c r="AD430" s="9">
        <v>6</v>
      </c>
      <c r="AF430" s="11">
        <f ca="1">IFERROR(OFFSET(MANOR_LEVEL!$B$1,MATCH(AG430-1,MANOR_LEVEL!$A:$A,0)-1,0),0)</f>
        <v>311600</v>
      </c>
      <c r="AG430" s="56">
        <v>10</v>
      </c>
      <c r="AI430" s="56">
        <f t="shared" ref="AI430:AI493" ca="1" si="138">ROUND(AJ430,0)</f>
        <v>2500</v>
      </c>
      <c r="AJ430" s="10">
        <f ca="1">AO430+AQ430+(IFERROR(OFFSET(ITEM_RES!$S$1,MATCH(AU430,ITEM_RES!$A:$A,0)-1,0),0)*AW430+IFERROR(OFFSET(ITEM_RES!$S$1,MATCH(AZ430,ITEM_RES!$A:$A,0)-1,0),0)*BB430+IFERROR(OFFSET(ITEM_RES!$S$1,MATCH(BE430,ITEM_RES!$A:$A,0)-1,0),0)*BG430+IFERROR(OFFSET(ITEM_RES!$S$1,MATCH(BJ430,ITEM_RES!$A:$A,0)-1,0),0)*BL430+IFERROR(OFFSET(ITEM_RES!$S$1,MATCH(BO430,ITEM_RES!$A:$A,0)-1,0),0)*BQ430)/1000</f>
        <v>2500.0100000000002</v>
      </c>
      <c r="AK430" s="183">
        <f t="shared" ca="1" si="136"/>
        <v>2840</v>
      </c>
      <c r="AM430" s="11">
        <f t="shared" si="137"/>
        <v>30</v>
      </c>
      <c r="AN430" s="10">
        <v>30</v>
      </c>
      <c r="AO430" s="11">
        <f t="shared" si="134"/>
        <v>50</v>
      </c>
      <c r="AP430" s="10">
        <v>50</v>
      </c>
      <c r="AQ430" s="11">
        <f t="shared" si="134"/>
        <v>50</v>
      </c>
      <c r="AR430" s="10">
        <v>50</v>
      </c>
      <c r="AS430" s="56">
        <f t="shared" ref="AS430:AS493" si="139">(AW430&gt;0)*1+(BB430&gt;0)*1+(BG430&gt;0)*1+(BL430&gt;0)*1+(BQ430&gt;0)*1</f>
        <v>2</v>
      </c>
      <c r="AU430" s="11">
        <f ca="1">IFERROR(OFFSET(ITEM_RES!$A$1,MATCH(AV430,ITEM_RES!$J:$J,0)-1,0),0)</f>
        <v>211020201</v>
      </c>
      <c r="AV430" s="10" t="s">
        <v>430</v>
      </c>
      <c r="AW430" s="11">
        <v>240000</v>
      </c>
      <c r="AZ430" s="11">
        <f ca="1">IFERROR(OFFSET(ITEM_RES!$A$1,MATCH(BA430,ITEM_RES!$J:$J,0)-1,0),0)</f>
        <v>211020401</v>
      </c>
      <c r="BA430" s="10" t="s">
        <v>436</v>
      </c>
      <c r="BB430" s="11">
        <v>1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  <c r="BO430" s="11">
        <f ca="1">IFERROR(OFFSET(ITEM_RES!$A$1,MATCH(BP430,ITEM_RES!$J:$J,0)-1,0),0)</f>
        <v>0</v>
      </c>
    </row>
    <row r="431" spans="1:70" x14ac:dyDescent="0.3">
      <c r="A431" s="14">
        <f t="shared" si="131"/>
        <v>112070007</v>
      </c>
      <c r="B431" s="13">
        <v>11</v>
      </c>
      <c r="C431" s="12">
        <f t="shared" si="132"/>
        <v>2</v>
      </c>
      <c r="D431" s="13">
        <v>7</v>
      </c>
      <c r="E431" s="13">
        <v>0</v>
      </c>
      <c r="F431" s="12">
        <f t="shared" si="133"/>
        <v>7</v>
      </c>
      <c r="H431" s="9">
        <v>2</v>
      </c>
      <c r="I431" s="9">
        <v>7</v>
      </c>
      <c r="K431" s="9" t="s">
        <v>364</v>
      </c>
      <c r="M431" s="9" t="s">
        <v>960</v>
      </c>
      <c r="N431" s="9" t="s">
        <v>978</v>
      </c>
      <c r="O431" s="9">
        <v>1</v>
      </c>
      <c r="P431" s="9">
        <v>15</v>
      </c>
      <c r="Q431" s="9" t="s">
        <v>780</v>
      </c>
      <c r="U431" s="9" t="s">
        <v>717</v>
      </c>
      <c r="W431" s="85" t="s">
        <v>547</v>
      </c>
      <c r="X431" s="9">
        <f ca="1">IFERROR(OFFSET(ITEM_RES!$A$5,MATCH(BUILDING!W431,ITEM_RES!$J$5:$J$226,0)-1,0),0)</f>
        <v>211020201</v>
      </c>
      <c r="Y431" s="11">
        <v>1</v>
      </c>
      <c r="Z431" s="85" t="s">
        <v>549</v>
      </c>
      <c r="AA431" s="9">
        <f ca="1">IFERROR(OFFSET(ITEM_RES!$A$5,MATCH(BUILDING!Z431,ITEM_RES!$J$5:$J$226,0)-1,0),0)</f>
        <v>211020301</v>
      </c>
      <c r="AC431" s="9" t="s">
        <v>527</v>
      </c>
      <c r="AD431" s="9">
        <v>7</v>
      </c>
      <c r="AF431" s="11">
        <f ca="1">IFERROR(OFFSET(MANOR_LEVEL!$B$1,MATCH(AG431-1,MANOR_LEVEL!$A:$A,0)-1,0),0)</f>
        <v>456800</v>
      </c>
      <c r="AG431" s="56">
        <v>11</v>
      </c>
      <c r="AI431" s="56">
        <f t="shared" ca="1" si="138"/>
        <v>5600</v>
      </c>
      <c r="AJ431" s="10">
        <f ca="1">AO431+AQ431+(IFERROR(OFFSET(ITEM_RES!$S$1,MATCH(AU431,ITEM_RES!$A:$A,0)-1,0),0)*AW431+IFERROR(OFFSET(ITEM_RES!$S$1,MATCH(AZ431,ITEM_RES!$A:$A,0)-1,0),0)*BB431+IFERROR(OFFSET(ITEM_RES!$S$1,MATCH(BE431,ITEM_RES!$A:$A,0)-1,0),0)*BG431+IFERROR(OFFSET(ITEM_RES!$S$1,MATCH(BJ431,ITEM_RES!$A:$A,0)-1,0),0)*BL431+IFERROR(OFFSET(ITEM_RES!$S$1,MATCH(BO431,ITEM_RES!$A:$A,0)-1,0),0)*BQ431)/1000</f>
        <v>5600.01</v>
      </c>
      <c r="AK431" s="183">
        <f t="shared" ca="1" si="136"/>
        <v>8100</v>
      </c>
      <c r="AM431" s="11">
        <f t="shared" si="137"/>
        <v>35</v>
      </c>
      <c r="AN431" s="10">
        <v>35</v>
      </c>
      <c r="AO431" s="11">
        <f t="shared" si="134"/>
        <v>100</v>
      </c>
      <c r="AP431" s="10">
        <v>100</v>
      </c>
      <c r="AQ431" s="11">
        <f t="shared" si="134"/>
        <v>100</v>
      </c>
      <c r="AR431" s="10">
        <v>100</v>
      </c>
      <c r="AS431" s="56">
        <f t="shared" si="139"/>
        <v>2</v>
      </c>
      <c r="AU431" s="11">
        <f ca="1">IFERROR(OFFSET(ITEM_RES!$A$1,MATCH(AV431,ITEM_RES!$J:$J,0)-1,0),0)</f>
        <v>211020201</v>
      </c>
      <c r="AV431" s="10" t="s">
        <v>430</v>
      </c>
      <c r="AW431" s="11">
        <v>540000</v>
      </c>
      <c r="AZ431" s="11">
        <f ca="1">IFERROR(OFFSET(ITEM_RES!$A$1,MATCH(BA431,ITEM_RES!$J:$J,0)-1,0),0)</f>
        <v>211020401</v>
      </c>
      <c r="BA431" s="10" t="s">
        <v>436</v>
      </c>
      <c r="BB431" s="11">
        <v>1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  <c r="BO431" s="11">
        <f ca="1">IFERROR(OFFSET(ITEM_RES!$A$1,MATCH(BP431,ITEM_RES!$J:$J,0)-1,0),0)</f>
        <v>0</v>
      </c>
    </row>
    <row r="432" spans="1:70" x14ac:dyDescent="0.3">
      <c r="A432" s="14">
        <f t="shared" si="131"/>
        <v>112070008</v>
      </c>
      <c r="B432" s="13">
        <v>11</v>
      </c>
      <c r="C432" s="12">
        <f t="shared" si="132"/>
        <v>2</v>
      </c>
      <c r="D432" s="13">
        <v>7</v>
      </c>
      <c r="E432" s="13">
        <v>0</v>
      </c>
      <c r="F432" s="12">
        <f t="shared" si="133"/>
        <v>8</v>
      </c>
      <c r="H432" s="9">
        <v>2</v>
      </c>
      <c r="I432" s="9">
        <v>8</v>
      </c>
      <c r="K432" s="9" t="s">
        <v>364</v>
      </c>
      <c r="M432" s="9" t="s">
        <v>960</v>
      </c>
      <c r="N432" s="9" t="s">
        <v>978</v>
      </c>
      <c r="O432" s="9">
        <v>1</v>
      </c>
      <c r="P432" s="9">
        <v>15</v>
      </c>
      <c r="Q432" s="9" t="s">
        <v>780</v>
      </c>
      <c r="U432" s="9" t="s">
        <v>717</v>
      </c>
      <c r="W432" s="85" t="s">
        <v>547</v>
      </c>
      <c r="X432" s="9">
        <f ca="1">IFERROR(OFFSET(ITEM_RES!$A$5,MATCH(BUILDING!W432,ITEM_RES!$J$5:$J$226,0)-1,0),0)</f>
        <v>211020201</v>
      </c>
      <c r="Y432" s="11">
        <v>1</v>
      </c>
      <c r="Z432" s="85" t="s">
        <v>549</v>
      </c>
      <c r="AA432" s="9">
        <f ca="1">IFERROR(OFFSET(ITEM_RES!$A$5,MATCH(BUILDING!Z432,ITEM_RES!$J$5:$J$226,0)-1,0),0)</f>
        <v>211020301</v>
      </c>
      <c r="AC432" s="9" t="s">
        <v>527</v>
      </c>
      <c r="AD432" s="9">
        <v>8</v>
      </c>
      <c r="AF432" s="11">
        <f ca="1">IFERROR(OFFSET(MANOR_LEVEL!$B$1,MATCH(AG432-1,MANOR_LEVEL!$A:$A,0)-1,0),0)</f>
        <v>796000</v>
      </c>
      <c r="AG432" s="56">
        <v>12</v>
      </c>
      <c r="AI432" s="56">
        <f t="shared" ca="1" si="138"/>
        <v>10200</v>
      </c>
      <c r="AJ432" s="10">
        <f ca="1">AO432+AQ432+(IFERROR(OFFSET(ITEM_RES!$S$1,MATCH(AU432,ITEM_RES!$A:$A,0)-1,0),0)*AW432+IFERROR(OFFSET(ITEM_RES!$S$1,MATCH(AZ432,ITEM_RES!$A:$A,0)-1,0),0)*BB432+IFERROR(OFFSET(ITEM_RES!$S$1,MATCH(BE432,ITEM_RES!$A:$A,0)-1,0),0)*BG432+IFERROR(OFFSET(ITEM_RES!$S$1,MATCH(BJ432,ITEM_RES!$A:$A,0)-1,0),0)*BL432+IFERROR(OFFSET(ITEM_RES!$S$1,MATCH(BO432,ITEM_RES!$A:$A,0)-1,0),0)*BQ432)/1000</f>
        <v>10200.01</v>
      </c>
      <c r="AK432" s="183">
        <f t="shared" ca="1" si="136"/>
        <v>15800</v>
      </c>
      <c r="AM432" s="11">
        <f t="shared" si="137"/>
        <v>40</v>
      </c>
      <c r="AN432" s="10">
        <v>40</v>
      </c>
      <c r="AO432" s="11">
        <f t="shared" si="134"/>
        <v>100</v>
      </c>
      <c r="AP432" s="10">
        <v>100</v>
      </c>
      <c r="AQ432" s="11">
        <f t="shared" si="134"/>
        <v>100</v>
      </c>
      <c r="AR432" s="10">
        <v>100</v>
      </c>
      <c r="AS432" s="56">
        <f t="shared" si="139"/>
        <v>2</v>
      </c>
      <c r="AU432" s="11">
        <f ca="1">IFERROR(OFFSET(ITEM_RES!$A$1,MATCH(AV432,ITEM_RES!$J:$J,0)-1,0),0)</f>
        <v>211020201</v>
      </c>
      <c r="AV432" s="10" t="s">
        <v>430</v>
      </c>
      <c r="AW432" s="11">
        <v>1000000</v>
      </c>
      <c r="AZ432" s="11">
        <f ca="1">IFERROR(OFFSET(ITEM_RES!$A$1,MATCH(BA432,ITEM_RES!$J:$J,0)-1,0),0)</f>
        <v>211020401</v>
      </c>
      <c r="BA432" s="10" t="s">
        <v>436</v>
      </c>
      <c r="BB432" s="11">
        <v>1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  <c r="BO432" s="11">
        <f ca="1">IFERROR(OFFSET(ITEM_RES!$A$1,MATCH(BP432,ITEM_RES!$J:$J,0)-1,0),0)</f>
        <v>0</v>
      </c>
    </row>
    <row r="433" spans="1:70" x14ac:dyDescent="0.3">
      <c r="A433" s="14">
        <f t="shared" si="131"/>
        <v>112070009</v>
      </c>
      <c r="B433" s="13">
        <v>11</v>
      </c>
      <c r="C433" s="12">
        <f t="shared" si="132"/>
        <v>2</v>
      </c>
      <c r="D433" s="13">
        <v>7</v>
      </c>
      <c r="E433" s="13">
        <v>0</v>
      </c>
      <c r="F433" s="12">
        <f t="shared" si="133"/>
        <v>9</v>
      </c>
      <c r="H433" s="9">
        <v>2</v>
      </c>
      <c r="I433" s="9">
        <v>9</v>
      </c>
      <c r="K433" s="9" t="s">
        <v>364</v>
      </c>
      <c r="M433" s="9" t="s">
        <v>960</v>
      </c>
      <c r="N433" s="9" t="s">
        <v>978</v>
      </c>
      <c r="O433" s="9">
        <v>1</v>
      </c>
      <c r="P433" s="9">
        <v>15</v>
      </c>
      <c r="Q433" s="9" t="s">
        <v>780</v>
      </c>
      <c r="U433" s="9" t="s">
        <v>717</v>
      </c>
      <c r="W433" s="85" t="s">
        <v>547</v>
      </c>
      <c r="X433" s="9">
        <f ca="1">IFERROR(OFFSET(ITEM_RES!$A$5,MATCH(BUILDING!W433,ITEM_RES!$J$5:$J$226,0)-1,0),0)</f>
        <v>211020201</v>
      </c>
      <c r="Y433" s="11">
        <v>1</v>
      </c>
      <c r="Z433" s="85" t="s">
        <v>549</v>
      </c>
      <c r="AA433" s="9">
        <f ca="1">IFERROR(OFFSET(ITEM_RES!$A$5,MATCH(BUILDING!Z433,ITEM_RES!$J$5:$J$226,0)-1,0),0)</f>
        <v>211020301</v>
      </c>
      <c r="AC433" s="9" t="s">
        <v>527</v>
      </c>
      <c r="AD433" s="9">
        <v>9</v>
      </c>
      <c r="AF433" s="11">
        <f ca="1">IFERROR(OFFSET(MANOR_LEVEL!$B$1,MATCH(AG433-1,MANOR_LEVEL!$A:$A,0)-1,0),0)</f>
        <v>1156400</v>
      </c>
      <c r="AG433" s="56">
        <v>13</v>
      </c>
      <c r="AI433" s="56">
        <f t="shared" ca="1" si="138"/>
        <v>16100</v>
      </c>
      <c r="AJ433" s="10">
        <f ca="1">AO433+AQ433+(IFERROR(OFFSET(ITEM_RES!$S$1,MATCH(AU433,ITEM_RES!$A:$A,0)-1,0),0)*AW433+IFERROR(OFFSET(ITEM_RES!$S$1,MATCH(AZ433,ITEM_RES!$A:$A,0)-1,0),0)*BB433+IFERROR(OFFSET(ITEM_RES!$S$1,MATCH(BE433,ITEM_RES!$A:$A,0)-1,0),0)*BG433+IFERROR(OFFSET(ITEM_RES!$S$1,MATCH(BJ433,ITEM_RES!$A:$A,0)-1,0),0)*BL433+IFERROR(OFFSET(ITEM_RES!$S$1,MATCH(BO433,ITEM_RES!$A:$A,0)-1,0),0)*BQ433)/1000</f>
        <v>16100.01</v>
      </c>
      <c r="AK433" s="183">
        <f t="shared" ca="1" si="136"/>
        <v>26300</v>
      </c>
      <c r="AM433" s="11">
        <f t="shared" si="137"/>
        <v>45</v>
      </c>
      <c r="AN433" s="10">
        <v>45</v>
      </c>
      <c r="AO433" s="11">
        <f t="shared" si="134"/>
        <v>150</v>
      </c>
      <c r="AP433" s="10">
        <v>150</v>
      </c>
      <c r="AQ433" s="11">
        <f t="shared" si="134"/>
        <v>150</v>
      </c>
      <c r="AR433" s="10">
        <v>150</v>
      </c>
      <c r="AS433" s="56">
        <f t="shared" si="139"/>
        <v>2</v>
      </c>
      <c r="AU433" s="11">
        <f ca="1">IFERROR(OFFSET(ITEM_RES!$A$1,MATCH(AV433,ITEM_RES!$J:$J,0)-1,0),0)</f>
        <v>211020201</v>
      </c>
      <c r="AV433" s="10" t="s">
        <v>430</v>
      </c>
      <c r="AW433" s="11">
        <v>1580000</v>
      </c>
      <c r="AZ433" s="11">
        <f ca="1">IFERROR(OFFSET(ITEM_RES!$A$1,MATCH(BA433,ITEM_RES!$J:$J,0)-1,0),0)</f>
        <v>211020401</v>
      </c>
      <c r="BA433" s="10" t="s">
        <v>436</v>
      </c>
      <c r="BB433" s="11">
        <v>1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  <c r="BO433" s="11">
        <f ca="1">IFERROR(OFFSET(ITEM_RES!$A$1,MATCH(BP433,ITEM_RES!$J:$J,0)-1,0),0)</f>
        <v>0</v>
      </c>
    </row>
    <row r="434" spans="1:70" x14ac:dyDescent="0.3">
      <c r="A434" s="14">
        <f t="shared" si="131"/>
        <v>112070010</v>
      </c>
      <c r="B434" s="13">
        <v>11</v>
      </c>
      <c r="C434" s="12">
        <f t="shared" si="132"/>
        <v>2</v>
      </c>
      <c r="D434" s="13">
        <v>7</v>
      </c>
      <c r="E434" s="13">
        <v>0</v>
      </c>
      <c r="F434" s="12">
        <f t="shared" si="133"/>
        <v>10</v>
      </c>
      <c r="H434" s="9">
        <v>2</v>
      </c>
      <c r="I434" s="9">
        <v>10</v>
      </c>
      <c r="K434" s="9" t="s">
        <v>364</v>
      </c>
      <c r="M434" s="9" t="s">
        <v>960</v>
      </c>
      <c r="N434" s="9" t="s">
        <v>978</v>
      </c>
      <c r="O434" s="9">
        <v>1</v>
      </c>
      <c r="P434" s="9">
        <v>15</v>
      </c>
      <c r="Q434" s="9" t="s">
        <v>780</v>
      </c>
      <c r="U434" s="9" t="s">
        <v>717</v>
      </c>
      <c r="W434" s="85" t="s">
        <v>547</v>
      </c>
      <c r="X434" s="9">
        <f ca="1">IFERROR(OFFSET(ITEM_RES!$A$5,MATCH(BUILDING!W434,ITEM_RES!$J$5:$J$226,0)-1,0),0)</f>
        <v>211020201</v>
      </c>
      <c r="Y434" s="11">
        <v>1</v>
      </c>
      <c r="Z434" s="85" t="s">
        <v>549</v>
      </c>
      <c r="AA434" s="9">
        <f ca="1">IFERROR(OFFSET(ITEM_RES!$A$5,MATCH(BUILDING!Z434,ITEM_RES!$J$5:$J$226,0)-1,0),0)</f>
        <v>211020301</v>
      </c>
      <c r="AC434" s="9" t="s">
        <v>527</v>
      </c>
      <c r="AD434" s="9">
        <v>10</v>
      </c>
      <c r="AF434" s="11">
        <f ca="1">IFERROR(OFFSET(MANOR_LEVEL!$B$1,MATCH(AG434-1,MANOR_LEVEL!$A:$A,0)-1,0),0)</f>
        <v>1156400</v>
      </c>
      <c r="AG434" s="56">
        <v>13</v>
      </c>
      <c r="AI434" s="56">
        <f t="shared" ca="1" si="138"/>
        <v>22400</v>
      </c>
      <c r="AJ434" s="10">
        <f ca="1">AO434+AQ434+(IFERROR(OFFSET(ITEM_RES!$S$1,MATCH(AU434,ITEM_RES!$A:$A,0)-1,0),0)*AW434+IFERROR(OFFSET(ITEM_RES!$S$1,MATCH(AZ434,ITEM_RES!$A:$A,0)-1,0),0)*BB434+IFERROR(OFFSET(ITEM_RES!$S$1,MATCH(BE434,ITEM_RES!$A:$A,0)-1,0),0)*BG434+IFERROR(OFFSET(ITEM_RES!$S$1,MATCH(BJ434,ITEM_RES!$A:$A,0)-1,0),0)*BL434+IFERROR(OFFSET(ITEM_RES!$S$1,MATCH(BO434,ITEM_RES!$A:$A,0)-1,0),0)*BQ434)/1000</f>
        <v>22400.01</v>
      </c>
      <c r="AK434" s="183">
        <f t="shared" ca="1" si="136"/>
        <v>38500</v>
      </c>
      <c r="AM434" s="11">
        <f t="shared" si="137"/>
        <v>50</v>
      </c>
      <c r="AN434" s="10">
        <v>50</v>
      </c>
      <c r="AO434" s="11">
        <f t="shared" si="134"/>
        <v>200</v>
      </c>
      <c r="AP434" s="10">
        <v>200</v>
      </c>
      <c r="AQ434" s="11">
        <f t="shared" si="134"/>
        <v>200</v>
      </c>
      <c r="AR434" s="10">
        <v>200</v>
      </c>
      <c r="AS434" s="56">
        <f t="shared" si="139"/>
        <v>2</v>
      </c>
      <c r="AU434" s="11">
        <f ca="1">IFERROR(OFFSET(ITEM_RES!$A$1,MATCH(AV434,ITEM_RES!$J:$J,0)-1,0),0)</f>
        <v>211020201</v>
      </c>
      <c r="AV434" s="10" t="s">
        <v>430</v>
      </c>
      <c r="AW434" s="11">
        <v>2200000</v>
      </c>
      <c r="AZ434" s="11">
        <f ca="1">IFERROR(OFFSET(ITEM_RES!$A$1,MATCH(BA434,ITEM_RES!$J:$J,0)-1,0),0)</f>
        <v>211020401</v>
      </c>
      <c r="BA434" s="10" t="s">
        <v>436</v>
      </c>
      <c r="BB434" s="11">
        <v>1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  <c r="BO434" s="11">
        <f ca="1">IFERROR(OFFSET(ITEM_RES!$A$1,MATCH(BP434,ITEM_RES!$J:$J,0)-1,0),0)</f>
        <v>0</v>
      </c>
    </row>
    <row r="435" spans="1:70" x14ac:dyDescent="0.3">
      <c r="A435" s="14">
        <f t="shared" si="131"/>
        <v>112070011</v>
      </c>
      <c r="B435" s="13">
        <v>11</v>
      </c>
      <c r="C435" s="12">
        <f t="shared" si="132"/>
        <v>2</v>
      </c>
      <c r="D435" s="13">
        <v>7</v>
      </c>
      <c r="E435" s="13">
        <v>0</v>
      </c>
      <c r="F435" s="12">
        <f t="shared" si="133"/>
        <v>11</v>
      </c>
      <c r="H435" s="9">
        <v>2</v>
      </c>
      <c r="I435" s="9">
        <v>11</v>
      </c>
      <c r="K435" s="9" t="s">
        <v>364</v>
      </c>
      <c r="M435" s="9" t="s">
        <v>960</v>
      </c>
      <c r="N435" s="9" t="s">
        <v>978</v>
      </c>
      <c r="O435" s="9">
        <v>1</v>
      </c>
      <c r="P435" s="9">
        <v>15</v>
      </c>
      <c r="Q435" s="9" t="s">
        <v>780</v>
      </c>
      <c r="U435" s="9" t="s">
        <v>717</v>
      </c>
      <c r="W435" s="85" t="s">
        <v>547</v>
      </c>
      <c r="X435" s="9">
        <f ca="1">IFERROR(OFFSET(ITEM_RES!$A$5,MATCH(BUILDING!W435,ITEM_RES!$J$5:$J$226,0)-1,0),0)</f>
        <v>211020201</v>
      </c>
      <c r="Y435" s="11">
        <v>1</v>
      </c>
      <c r="Z435" s="85" t="s">
        <v>549</v>
      </c>
      <c r="AA435" s="9">
        <f ca="1">IFERROR(OFFSET(ITEM_RES!$A$5,MATCH(BUILDING!Z435,ITEM_RES!$J$5:$J$226,0)-1,0),0)</f>
        <v>211020301</v>
      </c>
      <c r="AC435" s="9" t="s">
        <v>527</v>
      </c>
      <c r="AD435" s="9">
        <v>11</v>
      </c>
      <c r="AF435" s="11">
        <f ca="1">IFERROR(OFFSET(MANOR_LEVEL!$B$1,MATCH(AG435-1,MANOR_LEVEL!$A:$A,0)-1,0),0)</f>
        <v>1661200</v>
      </c>
      <c r="AG435" s="56">
        <v>14</v>
      </c>
      <c r="AI435" s="56">
        <f t="shared" ca="1" si="138"/>
        <v>44800</v>
      </c>
      <c r="AJ435" s="10">
        <f ca="1">AO435+AQ435+(IFERROR(OFFSET(ITEM_RES!$S$1,MATCH(AU435,ITEM_RES!$A:$A,0)-1,0),0)*AW435+IFERROR(OFFSET(ITEM_RES!$S$1,MATCH(AZ435,ITEM_RES!$A:$A,0)-1,0),0)*BB435+IFERROR(OFFSET(ITEM_RES!$S$1,MATCH(BE435,ITEM_RES!$A:$A,0)-1,0),0)*BG435+IFERROR(OFFSET(ITEM_RES!$S$1,MATCH(BJ435,ITEM_RES!$A:$A,0)-1,0),0)*BL435+IFERROR(OFFSET(ITEM_RES!$S$1,MATCH(BO435,ITEM_RES!$A:$A,0)-1,0),0)*BQ435)/1000</f>
        <v>44800.01</v>
      </c>
      <c r="AK435" s="183">
        <f t="shared" ca="1" si="136"/>
        <v>67200</v>
      </c>
      <c r="AM435" s="11">
        <f t="shared" si="137"/>
        <v>55</v>
      </c>
      <c r="AN435" s="10">
        <v>55</v>
      </c>
      <c r="AO435" s="11">
        <f t="shared" si="134"/>
        <v>250</v>
      </c>
      <c r="AP435" s="10">
        <v>250</v>
      </c>
      <c r="AQ435" s="11">
        <f t="shared" si="134"/>
        <v>250</v>
      </c>
      <c r="AR435" s="10">
        <v>250</v>
      </c>
      <c r="AS435" s="56">
        <f t="shared" si="139"/>
        <v>3</v>
      </c>
      <c r="AU435" s="11">
        <f ca="1">IFERROR(OFFSET(ITEM_RES!$A$1,MATCH(AV435,ITEM_RES!$J:$J,0)-1,0),0)</f>
        <v>211020201</v>
      </c>
      <c r="AV435" s="10" t="s">
        <v>430</v>
      </c>
      <c r="AW435" s="11">
        <v>4400000</v>
      </c>
      <c r="AZ435" s="11">
        <f ca="1">IFERROR(OFFSET(ITEM_RES!$A$1,MATCH(BA435,ITEM_RES!$J:$J,0)-1,0),0)</f>
        <v>211020401</v>
      </c>
      <c r="BA435" s="10" t="s">
        <v>436</v>
      </c>
      <c r="BB435" s="11">
        <v>1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213011201</v>
      </c>
      <c r="BK435" s="10" t="s">
        <v>467</v>
      </c>
      <c r="BL435" s="11">
        <v>1</v>
      </c>
      <c r="BO435" s="11">
        <f ca="1">IFERROR(OFFSET(ITEM_RES!$A$1,MATCH(BP435,ITEM_RES!$J:$J,0)-1,0),0)</f>
        <v>0</v>
      </c>
    </row>
    <row r="436" spans="1:70" x14ac:dyDescent="0.3">
      <c r="A436" s="14">
        <f t="shared" si="131"/>
        <v>112070012</v>
      </c>
      <c r="B436" s="13">
        <v>11</v>
      </c>
      <c r="C436" s="12">
        <f t="shared" si="132"/>
        <v>2</v>
      </c>
      <c r="D436" s="13">
        <v>7</v>
      </c>
      <c r="E436" s="13">
        <v>0</v>
      </c>
      <c r="F436" s="12">
        <f t="shared" si="133"/>
        <v>12</v>
      </c>
      <c r="H436" s="9">
        <v>2</v>
      </c>
      <c r="I436" s="9">
        <v>12</v>
      </c>
      <c r="K436" s="9" t="s">
        <v>364</v>
      </c>
      <c r="M436" s="9" t="s">
        <v>960</v>
      </c>
      <c r="N436" s="9" t="s">
        <v>978</v>
      </c>
      <c r="O436" s="9">
        <v>1</v>
      </c>
      <c r="P436" s="9">
        <v>15</v>
      </c>
      <c r="Q436" s="9" t="s">
        <v>780</v>
      </c>
      <c r="U436" s="9" t="s">
        <v>717</v>
      </c>
      <c r="W436" s="85" t="s">
        <v>547</v>
      </c>
      <c r="X436" s="9">
        <f ca="1">IFERROR(OFFSET(ITEM_RES!$A$5,MATCH(BUILDING!W436,ITEM_RES!$J$5:$J$226,0)-1,0),0)</f>
        <v>211020201</v>
      </c>
      <c r="Y436" s="11">
        <v>1</v>
      </c>
      <c r="Z436" s="85" t="s">
        <v>549</v>
      </c>
      <c r="AA436" s="9">
        <f ca="1">IFERROR(OFFSET(ITEM_RES!$A$5,MATCH(BUILDING!Z436,ITEM_RES!$J$5:$J$226,0)-1,0),0)</f>
        <v>211020301</v>
      </c>
      <c r="AC436" s="9" t="s">
        <v>527</v>
      </c>
      <c r="AD436" s="9">
        <v>12</v>
      </c>
      <c r="AF436" s="11">
        <f ca="1">IFERROR(OFFSET(MANOR_LEVEL!$B$1,MATCH(AG436-1,MANOR_LEVEL!$A:$A,0)-1,0),0)</f>
        <v>2622400</v>
      </c>
      <c r="AG436" s="56">
        <v>15</v>
      </c>
      <c r="AI436" s="56">
        <f t="shared" ca="1" si="138"/>
        <v>52600</v>
      </c>
      <c r="AJ436" s="10">
        <f ca="1">AO436+AQ436+(IFERROR(OFFSET(ITEM_RES!$S$1,MATCH(AU436,ITEM_RES!$A:$A,0)-1,0),0)*AW436+IFERROR(OFFSET(ITEM_RES!$S$1,MATCH(AZ436,ITEM_RES!$A:$A,0)-1,0),0)*BB436+IFERROR(OFFSET(ITEM_RES!$S$1,MATCH(BE436,ITEM_RES!$A:$A,0)-1,0),0)*BG436+IFERROR(OFFSET(ITEM_RES!$S$1,MATCH(BJ436,ITEM_RES!$A:$A,0)-1,0),0)*BL436+IFERROR(OFFSET(ITEM_RES!$S$1,MATCH(BO436,ITEM_RES!$A:$A,0)-1,0),0)*BQ436)/1000</f>
        <v>52600.01</v>
      </c>
      <c r="AK436" s="183">
        <f t="shared" ca="1" si="136"/>
        <v>97400</v>
      </c>
      <c r="AM436" s="11">
        <f t="shared" si="137"/>
        <v>60</v>
      </c>
      <c r="AN436" s="10">
        <v>60</v>
      </c>
      <c r="AO436" s="11">
        <f t="shared" si="134"/>
        <v>300</v>
      </c>
      <c r="AP436" s="10">
        <v>300</v>
      </c>
      <c r="AQ436" s="11">
        <f t="shared" si="134"/>
        <v>300</v>
      </c>
      <c r="AR436" s="10">
        <v>300</v>
      </c>
      <c r="AS436" s="56">
        <f t="shared" si="139"/>
        <v>2</v>
      </c>
      <c r="AU436" s="11">
        <f ca="1">IFERROR(OFFSET(ITEM_RES!$A$1,MATCH(AV436,ITEM_RES!$J:$J,0)-1,0),0)</f>
        <v>211020201</v>
      </c>
      <c r="AV436" s="10" t="s">
        <v>430</v>
      </c>
      <c r="AW436" s="11">
        <v>5200000</v>
      </c>
      <c r="AZ436" s="11">
        <f ca="1">IFERROR(OFFSET(ITEM_RES!$A$1,MATCH(BA436,ITEM_RES!$J:$J,0)-1,0),0)</f>
        <v>211020401</v>
      </c>
      <c r="BA436" s="10" t="s">
        <v>436</v>
      </c>
      <c r="BB436" s="11">
        <v>1</v>
      </c>
      <c r="BE436" s="11">
        <f ca="1">IFERROR(OFFSET(ITEM_RES!$A$1,MATCH(BF436,ITEM_RES!$J:$J,0)-1,0),0)</f>
        <v>0</v>
      </c>
      <c r="BJ436" s="11">
        <f ca="1">IFERROR(OFFSET(ITEM_RES!$A$1,MATCH(BK436,ITEM_RES!$J:$J,0)-1,0),0)</f>
        <v>0</v>
      </c>
      <c r="BO436" s="11">
        <f ca="1">IFERROR(OFFSET(ITEM_RES!$A$1,MATCH(BP436,ITEM_RES!$J:$J,0)-1,0),0)</f>
        <v>0</v>
      </c>
    </row>
    <row r="437" spans="1:70" x14ac:dyDescent="0.3">
      <c r="A437" s="14">
        <f t="shared" si="131"/>
        <v>112070013</v>
      </c>
      <c r="B437" s="13">
        <v>11</v>
      </c>
      <c r="C437" s="12">
        <f t="shared" si="132"/>
        <v>2</v>
      </c>
      <c r="D437" s="13">
        <v>7</v>
      </c>
      <c r="E437" s="13">
        <v>0</v>
      </c>
      <c r="F437" s="12">
        <f t="shared" si="133"/>
        <v>13</v>
      </c>
      <c r="H437" s="9">
        <v>2</v>
      </c>
      <c r="I437" s="9">
        <v>13</v>
      </c>
      <c r="K437" s="9" t="s">
        <v>364</v>
      </c>
      <c r="M437" s="9" t="s">
        <v>960</v>
      </c>
      <c r="N437" s="9" t="s">
        <v>978</v>
      </c>
      <c r="O437" s="9">
        <v>1</v>
      </c>
      <c r="P437" s="9">
        <v>15</v>
      </c>
      <c r="Q437" s="9" t="s">
        <v>780</v>
      </c>
      <c r="U437" s="9" t="s">
        <v>717</v>
      </c>
      <c r="W437" s="85" t="s">
        <v>547</v>
      </c>
      <c r="X437" s="9">
        <f ca="1">IFERROR(OFFSET(ITEM_RES!$A$5,MATCH(BUILDING!W437,ITEM_RES!$J$5:$J$226,0)-1,0),0)</f>
        <v>211020201</v>
      </c>
      <c r="Y437" s="11">
        <v>1</v>
      </c>
      <c r="Z437" s="85" t="s">
        <v>549</v>
      </c>
      <c r="AA437" s="9">
        <f ca="1">IFERROR(OFFSET(ITEM_RES!$A$5,MATCH(BUILDING!Z437,ITEM_RES!$J$5:$J$226,0)-1,0),0)</f>
        <v>211020301</v>
      </c>
      <c r="AC437" s="9" t="s">
        <v>527</v>
      </c>
      <c r="AD437" s="9">
        <v>13</v>
      </c>
      <c r="AF437" s="11">
        <f ca="1">IFERROR(OFFSET(MANOR_LEVEL!$B$1,MATCH(AG437-1,MANOR_LEVEL!$A:$A,0)-1,0),0)</f>
        <v>4232000</v>
      </c>
      <c r="AG437" s="56">
        <v>16</v>
      </c>
      <c r="AI437" s="56">
        <f t="shared" ca="1" si="138"/>
        <v>86700</v>
      </c>
      <c r="AJ437" s="10">
        <f ca="1">AO437+AQ437+(IFERROR(OFFSET(ITEM_RES!$S$1,MATCH(AU437,ITEM_RES!$A:$A,0)-1,0),0)*AW437+IFERROR(OFFSET(ITEM_RES!$S$1,MATCH(AZ437,ITEM_RES!$A:$A,0)-1,0),0)*BB437+IFERROR(OFFSET(ITEM_RES!$S$1,MATCH(BE437,ITEM_RES!$A:$A,0)-1,0),0)*BG437+IFERROR(OFFSET(ITEM_RES!$S$1,MATCH(BJ437,ITEM_RES!$A:$A,0)-1,0),0)*BL437+IFERROR(OFFSET(ITEM_RES!$S$1,MATCH(BO437,ITEM_RES!$A:$A,0)-1,0),0)*BQ437)/1000</f>
        <v>86700.01</v>
      </c>
      <c r="AK437" s="183">
        <f t="shared" ca="1" si="136"/>
        <v>139300</v>
      </c>
      <c r="AM437" s="11">
        <f t="shared" si="137"/>
        <v>65</v>
      </c>
      <c r="AN437" s="10">
        <v>65</v>
      </c>
      <c r="AO437" s="11">
        <f t="shared" si="134"/>
        <v>350</v>
      </c>
      <c r="AP437" s="10">
        <v>350</v>
      </c>
      <c r="AQ437" s="11">
        <f t="shared" si="134"/>
        <v>350</v>
      </c>
      <c r="AR437" s="10">
        <v>350</v>
      </c>
      <c r="AS437" s="56">
        <f t="shared" si="139"/>
        <v>2</v>
      </c>
      <c r="AU437" s="11">
        <f ca="1">IFERROR(OFFSET(ITEM_RES!$A$1,MATCH(AV437,ITEM_RES!$J:$J,0)-1,0),0)</f>
        <v>211020201</v>
      </c>
      <c r="AV437" s="10" t="s">
        <v>430</v>
      </c>
      <c r="AW437" s="11">
        <v>8600000</v>
      </c>
      <c r="AZ437" s="11">
        <f ca="1">IFERROR(OFFSET(ITEM_RES!$A$1,MATCH(BA437,ITEM_RES!$J:$J,0)-1,0),0)</f>
        <v>211020401</v>
      </c>
      <c r="BA437" s="10" t="s">
        <v>436</v>
      </c>
      <c r="BB437" s="11">
        <v>1</v>
      </c>
      <c r="BE437" s="11">
        <f ca="1">IFERROR(OFFSET(ITEM_RES!$A$1,MATCH(BF437,ITEM_RES!$J:$J,0)-1,0),0)</f>
        <v>0</v>
      </c>
      <c r="BJ437" s="11">
        <f ca="1">IFERROR(OFFSET(ITEM_RES!$A$1,MATCH(BK437,ITEM_RES!$J:$J,0)-1,0),0)</f>
        <v>0</v>
      </c>
      <c r="BO437" s="11">
        <f ca="1">IFERROR(OFFSET(ITEM_RES!$A$1,MATCH(BP437,ITEM_RES!$J:$J,0)-1,0),0)</f>
        <v>0</v>
      </c>
    </row>
    <row r="438" spans="1:70" x14ac:dyDescent="0.3">
      <c r="A438" s="14">
        <f t="shared" si="131"/>
        <v>112070014</v>
      </c>
      <c r="B438" s="13">
        <v>11</v>
      </c>
      <c r="C438" s="12">
        <f t="shared" si="132"/>
        <v>2</v>
      </c>
      <c r="D438" s="13">
        <v>7</v>
      </c>
      <c r="E438" s="13">
        <v>0</v>
      </c>
      <c r="F438" s="12">
        <f t="shared" si="133"/>
        <v>14</v>
      </c>
      <c r="H438" s="9">
        <v>2</v>
      </c>
      <c r="I438" s="9">
        <v>14</v>
      </c>
      <c r="K438" s="9" t="s">
        <v>364</v>
      </c>
      <c r="M438" s="9" t="s">
        <v>960</v>
      </c>
      <c r="N438" s="9" t="s">
        <v>978</v>
      </c>
      <c r="O438" s="9">
        <v>1</v>
      </c>
      <c r="P438" s="9">
        <v>15</v>
      </c>
      <c r="Q438" s="9" t="s">
        <v>780</v>
      </c>
      <c r="U438" s="9" t="s">
        <v>717</v>
      </c>
      <c r="W438" s="85" t="s">
        <v>547</v>
      </c>
      <c r="X438" s="9">
        <f ca="1">IFERROR(OFFSET(ITEM_RES!$A$5,MATCH(BUILDING!W438,ITEM_RES!$J$5:$J$226,0)-1,0),0)</f>
        <v>211020201</v>
      </c>
      <c r="Y438" s="11">
        <v>1</v>
      </c>
      <c r="Z438" s="85" t="s">
        <v>549</v>
      </c>
      <c r="AA438" s="9">
        <f ca="1">IFERROR(OFFSET(ITEM_RES!$A$5,MATCH(BUILDING!Z438,ITEM_RES!$J$5:$J$226,0)-1,0),0)</f>
        <v>211020301</v>
      </c>
      <c r="AC438" s="9" t="s">
        <v>527</v>
      </c>
      <c r="AD438" s="9">
        <v>14</v>
      </c>
      <c r="AF438" s="11">
        <f ca="1">IFERROR(OFFSET(MANOR_LEVEL!$B$1,MATCH(AG438-1,MANOR_LEVEL!$A:$A,0)-1,0),0)</f>
        <v>7450000</v>
      </c>
      <c r="AG438" s="56">
        <v>17</v>
      </c>
      <c r="AI438" s="56">
        <f t="shared" ca="1" si="138"/>
        <v>2640900</v>
      </c>
      <c r="AJ438" s="10">
        <f ca="1">AO438+AQ438+(IFERROR(OFFSET(ITEM_RES!$S$1,MATCH(AU438,ITEM_RES!$A:$A,0)-1,0),0)*AW438+IFERROR(OFFSET(ITEM_RES!$S$1,MATCH(AZ438,ITEM_RES!$A:$A,0)-1,0),0)*BB438+IFERROR(OFFSET(ITEM_RES!$S$1,MATCH(BE438,ITEM_RES!$A:$A,0)-1,0),0)*BG438+IFERROR(OFFSET(ITEM_RES!$S$1,MATCH(BJ438,ITEM_RES!$A:$A,0)-1,0),0)*BL438+IFERROR(OFFSET(ITEM_RES!$S$1,MATCH(BO438,ITEM_RES!$A:$A,0)-1,0),0)*BQ438)/1000</f>
        <v>2640900.0099999998</v>
      </c>
      <c r="AK438" s="183">
        <f t="shared" ca="1" si="136"/>
        <v>2727600</v>
      </c>
      <c r="AM438" s="11">
        <f t="shared" si="137"/>
        <v>70</v>
      </c>
      <c r="AN438" s="10">
        <v>70</v>
      </c>
      <c r="AO438" s="11">
        <f t="shared" si="134"/>
        <v>450</v>
      </c>
      <c r="AP438" s="10">
        <v>450</v>
      </c>
      <c r="AQ438" s="11">
        <f t="shared" si="134"/>
        <v>450</v>
      </c>
      <c r="AR438" s="10">
        <v>450</v>
      </c>
      <c r="AS438" s="56">
        <f t="shared" si="139"/>
        <v>2</v>
      </c>
      <c r="AU438" s="11">
        <f ca="1">IFERROR(OFFSET(ITEM_RES!$A$1,MATCH(AV438,ITEM_RES!$J:$J,0)-1,0),0)</f>
        <v>211020301</v>
      </c>
      <c r="AV438" s="10" t="s">
        <v>1229</v>
      </c>
      <c r="AW438" s="11">
        <v>13200000</v>
      </c>
      <c r="AZ438" s="11">
        <f ca="1">IFERROR(OFFSET(ITEM_RES!$A$1,MATCH(BA438,ITEM_RES!$J:$J,0)-1,0),0)</f>
        <v>211020401</v>
      </c>
      <c r="BA438" s="10" t="s">
        <v>436</v>
      </c>
      <c r="BB438" s="11">
        <v>1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  <c r="BO438" s="11">
        <f ca="1">IFERROR(OFFSET(ITEM_RES!$A$1,MATCH(BP438,ITEM_RES!$J:$J,0)-1,0),0)</f>
        <v>0</v>
      </c>
    </row>
    <row r="439" spans="1:70" x14ac:dyDescent="0.3">
      <c r="A439" s="14">
        <f t="shared" si="131"/>
        <v>112070015</v>
      </c>
      <c r="B439" s="13">
        <v>11</v>
      </c>
      <c r="C439" s="12">
        <f t="shared" si="132"/>
        <v>2</v>
      </c>
      <c r="D439" s="13">
        <v>7</v>
      </c>
      <c r="E439" s="13">
        <v>0</v>
      </c>
      <c r="F439" s="12">
        <f t="shared" si="133"/>
        <v>15</v>
      </c>
      <c r="H439" s="9">
        <v>2</v>
      </c>
      <c r="I439" s="9">
        <v>15</v>
      </c>
      <c r="K439" s="9" t="s">
        <v>364</v>
      </c>
      <c r="M439" s="9" t="s">
        <v>960</v>
      </c>
      <c r="N439" s="9" t="s">
        <v>978</v>
      </c>
      <c r="O439" s="9">
        <v>1</v>
      </c>
      <c r="P439" s="9">
        <v>15</v>
      </c>
      <c r="Q439" s="9" t="s">
        <v>780</v>
      </c>
      <c r="U439" s="9" t="s">
        <v>717</v>
      </c>
      <c r="W439" s="85" t="s">
        <v>547</v>
      </c>
      <c r="X439" s="9">
        <f ca="1">IFERROR(OFFSET(ITEM_RES!$A$5,MATCH(BUILDING!W439,ITEM_RES!$J$5:$J$226,0)-1,0),0)</f>
        <v>211020201</v>
      </c>
      <c r="Y439" s="11">
        <v>1</v>
      </c>
      <c r="Z439" s="85" t="s">
        <v>549</v>
      </c>
      <c r="AA439" s="9">
        <f ca="1">IFERROR(OFFSET(ITEM_RES!$A$5,MATCH(BUILDING!Z439,ITEM_RES!$J$5:$J$226,0)-1,0),0)</f>
        <v>211020301</v>
      </c>
      <c r="AC439" s="9" t="s">
        <v>527</v>
      </c>
      <c r="AD439" s="9">
        <v>15</v>
      </c>
      <c r="AF439" s="11">
        <f ca="1">IFERROR(OFFSET(MANOR_LEVEL!$B$1,MATCH(AG439-1,MANOR_LEVEL!$A:$A,0)-1,0),0)</f>
        <v>12172400</v>
      </c>
      <c r="AG439" s="56">
        <v>18</v>
      </c>
      <c r="AI439" s="56">
        <f t="shared" ca="1" si="138"/>
        <v>4401100</v>
      </c>
      <c r="AJ439" s="10">
        <f ca="1">AO439+AQ439+(IFERROR(OFFSET(ITEM_RES!$S$1,MATCH(AU439,ITEM_RES!$A:$A,0)-1,0),0)*AW439+IFERROR(OFFSET(ITEM_RES!$S$1,MATCH(AZ439,ITEM_RES!$A:$A,0)-1,0),0)*BB439+IFERROR(OFFSET(ITEM_RES!$S$1,MATCH(BE439,ITEM_RES!$A:$A,0)-1,0),0)*BG439+IFERROR(OFFSET(ITEM_RES!$S$1,MATCH(BJ439,ITEM_RES!$A:$A,0)-1,0),0)*BL439+IFERROR(OFFSET(ITEM_RES!$S$1,MATCH(BO439,ITEM_RES!$A:$A,0)-1,0),0)*BQ439)/1000</f>
        <v>4401100.2</v>
      </c>
      <c r="AK439" s="183">
        <f t="shared" ca="1" si="136"/>
        <v>7042000</v>
      </c>
      <c r="AM439" s="11">
        <f t="shared" si="137"/>
        <v>75</v>
      </c>
      <c r="AN439" s="10">
        <v>75</v>
      </c>
      <c r="AO439" s="11">
        <f t="shared" si="134"/>
        <v>550</v>
      </c>
      <c r="AP439" s="10">
        <v>550</v>
      </c>
      <c r="AQ439" s="11">
        <f t="shared" si="134"/>
        <v>550</v>
      </c>
      <c r="AR439" s="10">
        <v>550</v>
      </c>
      <c r="AS439" s="56">
        <f t="shared" si="139"/>
        <v>2</v>
      </c>
      <c r="AU439" s="11">
        <f ca="1">IFERROR(OFFSET(ITEM_RES!$A$1,MATCH(AV439,ITEM_RES!$J:$J,0)-1,0),0)</f>
        <v>211020301</v>
      </c>
      <c r="AV439" s="10" t="s">
        <v>1229</v>
      </c>
      <c r="AW439" s="11">
        <v>22000000</v>
      </c>
      <c r="AZ439" s="11">
        <f ca="1">IFERROR(OFFSET(ITEM_RES!$A$1,MATCH(BA439,ITEM_RES!$J:$J,0)-1,0),0)</f>
        <v>211020501</v>
      </c>
      <c r="BA439" s="10" t="s">
        <v>425</v>
      </c>
      <c r="BB439" s="11">
        <v>1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  <c r="BO439" s="11">
        <f ca="1">IFERROR(OFFSET(ITEM_RES!$A$1,MATCH(BP439,ITEM_RES!$J:$J,0)-1,0),0)</f>
        <v>0</v>
      </c>
    </row>
    <row r="440" spans="1:70" x14ac:dyDescent="0.3">
      <c r="A440" s="14">
        <f t="shared" si="131"/>
        <v>112070016</v>
      </c>
      <c r="B440" s="13">
        <v>11</v>
      </c>
      <c r="C440" s="12">
        <f t="shared" si="132"/>
        <v>2</v>
      </c>
      <c r="D440" s="13">
        <v>7</v>
      </c>
      <c r="E440" s="13">
        <v>0</v>
      </c>
      <c r="F440" s="12">
        <f t="shared" si="133"/>
        <v>16</v>
      </c>
      <c r="H440" s="9">
        <v>2</v>
      </c>
      <c r="I440" s="9">
        <v>16</v>
      </c>
      <c r="K440" s="9" t="s">
        <v>364</v>
      </c>
      <c r="M440" s="9" t="s">
        <v>960</v>
      </c>
      <c r="N440" s="9" t="s">
        <v>978</v>
      </c>
      <c r="O440" s="9">
        <v>0</v>
      </c>
      <c r="P440" s="9">
        <v>15</v>
      </c>
      <c r="Q440" s="9" t="s">
        <v>780</v>
      </c>
      <c r="U440" s="9" t="s">
        <v>717</v>
      </c>
      <c r="W440" s="85" t="s">
        <v>547</v>
      </c>
      <c r="X440" s="9">
        <f ca="1">IFERROR(OFFSET(ITEM_RES!$A$5,MATCH(BUILDING!W440,ITEM_RES!$J$5:$J$226,0)-1,0),0)</f>
        <v>211020201</v>
      </c>
      <c r="Y440" s="11">
        <v>1</v>
      </c>
      <c r="Z440" s="85" t="s">
        <v>549</v>
      </c>
      <c r="AA440" s="9">
        <f ca="1">IFERROR(OFFSET(ITEM_RES!$A$5,MATCH(BUILDING!Z440,ITEM_RES!$J$5:$J$226,0)-1,0),0)</f>
        <v>211020301</v>
      </c>
      <c r="AC440" s="9" t="s">
        <v>527</v>
      </c>
      <c r="AD440" s="9">
        <v>16</v>
      </c>
      <c r="AF440" s="11">
        <f ca="1">IFERROR(OFFSET(MANOR_LEVEL!$B$1,MATCH(AG440-1,MANOR_LEVEL!$A:$A,0)-1,0),0)</f>
        <v>12172400</v>
      </c>
      <c r="AG440" s="56">
        <v>18</v>
      </c>
      <c r="AI440" s="56">
        <f t="shared" ca="1" si="138"/>
        <v>6001400</v>
      </c>
      <c r="AJ440" s="10">
        <f ca="1">AO440+AQ440+(IFERROR(OFFSET(ITEM_RES!$S$1,MATCH(AU440,ITEM_RES!$A:$A,0)-1,0),0)*AW440+IFERROR(OFFSET(ITEM_RES!$S$1,MATCH(AZ440,ITEM_RES!$A:$A,0)-1,0),0)*BB440+IFERROR(OFFSET(ITEM_RES!$S$1,MATCH(BE440,ITEM_RES!$A:$A,0)-1,0),0)*BG440+IFERROR(OFFSET(ITEM_RES!$S$1,MATCH(BJ440,ITEM_RES!$A:$A,0)-1,0),0)*BL440+IFERROR(OFFSET(ITEM_RES!$S$1,MATCH(BO440,ITEM_RES!$A:$A,0)-1,0),0)*BQ440)/1000</f>
        <v>6001400.2000000002</v>
      </c>
      <c r="AK440" s="183">
        <f t="shared" ca="1" si="136"/>
        <v>10402500</v>
      </c>
      <c r="AM440" s="11">
        <f t="shared" si="137"/>
        <v>80</v>
      </c>
      <c r="AN440" s="10">
        <v>80</v>
      </c>
      <c r="AO440" s="11">
        <f t="shared" si="134"/>
        <v>700</v>
      </c>
      <c r="AP440" s="10">
        <v>700</v>
      </c>
      <c r="AQ440" s="11">
        <f t="shared" si="134"/>
        <v>700</v>
      </c>
      <c r="AR440" s="10">
        <v>700</v>
      </c>
      <c r="AS440" s="56">
        <f t="shared" si="139"/>
        <v>2</v>
      </c>
      <c r="AU440" s="11">
        <f ca="1">IFERROR(OFFSET(ITEM_RES!$A$1,MATCH(AV440,ITEM_RES!$J:$J,0)-1,0),0)</f>
        <v>211020301</v>
      </c>
      <c r="AV440" s="10" t="s">
        <v>1229</v>
      </c>
      <c r="AW440" s="11">
        <v>30000000</v>
      </c>
      <c r="AZ440" s="11">
        <f ca="1">IFERROR(OFFSET(ITEM_RES!$A$1,MATCH(BA440,ITEM_RES!$J:$J,0)-1,0),0)</f>
        <v>211020501</v>
      </c>
      <c r="BA440" s="10" t="s">
        <v>425</v>
      </c>
      <c r="BB440" s="11">
        <v>1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  <c r="BO440" s="11">
        <f ca="1">IFERROR(OFFSET(ITEM_RES!$A$1,MATCH(BP440,ITEM_RES!$J:$J,0)-1,0),0)</f>
        <v>0</v>
      </c>
    </row>
    <row r="441" spans="1:70" x14ac:dyDescent="0.3">
      <c r="A441" s="14">
        <f t="shared" si="131"/>
        <v>112070017</v>
      </c>
      <c r="B441" s="13">
        <v>11</v>
      </c>
      <c r="C441" s="12">
        <f t="shared" si="132"/>
        <v>2</v>
      </c>
      <c r="D441" s="13">
        <v>7</v>
      </c>
      <c r="E441" s="13">
        <v>0</v>
      </c>
      <c r="F441" s="12">
        <f t="shared" si="133"/>
        <v>17</v>
      </c>
      <c r="H441" s="9">
        <v>2</v>
      </c>
      <c r="I441" s="9">
        <v>17</v>
      </c>
      <c r="K441" s="9" t="s">
        <v>364</v>
      </c>
      <c r="M441" s="9" t="s">
        <v>960</v>
      </c>
      <c r="N441" s="9" t="s">
        <v>978</v>
      </c>
      <c r="O441" s="9">
        <v>0</v>
      </c>
      <c r="P441" s="9">
        <v>15</v>
      </c>
      <c r="Q441" s="9" t="s">
        <v>780</v>
      </c>
      <c r="U441" s="9" t="s">
        <v>717</v>
      </c>
      <c r="W441" s="85" t="s">
        <v>547</v>
      </c>
      <c r="X441" s="9">
        <f ca="1">IFERROR(OFFSET(ITEM_RES!$A$5,MATCH(BUILDING!W441,ITEM_RES!$J$5:$J$226,0)-1,0),0)</f>
        <v>211020201</v>
      </c>
      <c r="Y441" s="11">
        <v>1</v>
      </c>
      <c r="Z441" s="85" t="s">
        <v>549</v>
      </c>
      <c r="AA441" s="9">
        <f ca="1">IFERROR(OFFSET(ITEM_RES!$A$5,MATCH(BUILDING!Z441,ITEM_RES!$J$5:$J$226,0)-1,0),0)</f>
        <v>211020301</v>
      </c>
      <c r="AC441" s="9" t="s">
        <v>527</v>
      </c>
      <c r="AD441" s="9">
        <v>17</v>
      </c>
      <c r="AF441" s="11">
        <f ca="1">IFERROR(OFFSET(MANOR_LEVEL!$B$1,MATCH(AG441-1,MANOR_LEVEL!$A:$A,0)-1,0),0)</f>
        <v>12172400</v>
      </c>
      <c r="AG441" s="56">
        <v>18</v>
      </c>
      <c r="AI441" s="56">
        <f t="shared" ca="1" si="138"/>
        <v>9201700</v>
      </c>
      <c r="AJ441" s="10">
        <f ca="1">AO441+AQ441+(IFERROR(OFFSET(ITEM_RES!$S$1,MATCH(AU441,ITEM_RES!$A:$A,0)-1,0),0)*AW441+IFERROR(OFFSET(ITEM_RES!$S$1,MATCH(AZ441,ITEM_RES!$A:$A,0)-1,0),0)*BB441+IFERROR(OFFSET(ITEM_RES!$S$1,MATCH(BE441,ITEM_RES!$A:$A,0)-1,0),0)*BG441+IFERROR(OFFSET(ITEM_RES!$S$1,MATCH(BJ441,ITEM_RES!$A:$A,0)-1,0),0)*BL441+IFERROR(OFFSET(ITEM_RES!$S$1,MATCH(BO441,ITEM_RES!$A:$A,0)-1,0),0)*BQ441)/1000</f>
        <v>9201700.1999999993</v>
      </c>
      <c r="AK441" s="183">
        <f t="shared" ca="1" si="136"/>
        <v>15203100</v>
      </c>
      <c r="AM441" s="11">
        <f t="shared" si="137"/>
        <v>85</v>
      </c>
      <c r="AN441" s="10">
        <v>85</v>
      </c>
      <c r="AO441" s="11">
        <f t="shared" si="134"/>
        <v>850</v>
      </c>
      <c r="AP441" s="10">
        <v>850</v>
      </c>
      <c r="AQ441" s="11">
        <f t="shared" si="134"/>
        <v>850</v>
      </c>
      <c r="AR441" s="10">
        <v>850</v>
      </c>
      <c r="AS441" s="56">
        <f t="shared" si="139"/>
        <v>2</v>
      </c>
      <c r="AU441" s="11">
        <f ca="1">IFERROR(OFFSET(ITEM_RES!$A$1,MATCH(AV441,ITEM_RES!$J:$J,0)-1,0),0)</f>
        <v>211020301</v>
      </c>
      <c r="AV441" s="10" t="s">
        <v>1229</v>
      </c>
      <c r="AW441" s="11">
        <v>46000000</v>
      </c>
      <c r="AZ441" s="11">
        <f ca="1">IFERROR(OFFSET(ITEM_RES!$A$1,MATCH(BA441,ITEM_RES!$J:$J,0)-1,0),0)</f>
        <v>211020501</v>
      </c>
      <c r="BA441" s="10" t="s">
        <v>425</v>
      </c>
      <c r="BB441" s="11">
        <v>1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  <c r="BO441" s="11">
        <f ca="1">IFERROR(OFFSET(ITEM_RES!$A$1,MATCH(BP441,ITEM_RES!$J:$J,0)-1,0),0)</f>
        <v>0</v>
      </c>
    </row>
    <row r="442" spans="1:70" x14ac:dyDescent="0.3">
      <c r="A442" s="14">
        <f t="shared" si="131"/>
        <v>112070018</v>
      </c>
      <c r="B442" s="13">
        <v>11</v>
      </c>
      <c r="C442" s="12">
        <f t="shared" si="132"/>
        <v>2</v>
      </c>
      <c r="D442" s="13">
        <v>7</v>
      </c>
      <c r="E442" s="13">
        <v>0</v>
      </c>
      <c r="F442" s="12">
        <f t="shared" si="133"/>
        <v>18</v>
      </c>
      <c r="H442" s="9">
        <v>2</v>
      </c>
      <c r="I442" s="9">
        <v>18</v>
      </c>
      <c r="K442" s="9" t="s">
        <v>364</v>
      </c>
      <c r="M442" s="9" t="s">
        <v>960</v>
      </c>
      <c r="N442" s="9" t="s">
        <v>978</v>
      </c>
      <c r="O442" s="9">
        <v>0</v>
      </c>
      <c r="P442" s="9">
        <v>15</v>
      </c>
      <c r="Q442" s="9" t="s">
        <v>780</v>
      </c>
      <c r="U442" s="9" t="s">
        <v>717</v>
      </c>
      <c r="W442" s="85" t="s">
        <v>547</v>
      </c>
      <c r="X442" s="9">
        <f ca="1">IFERROR(OFFSET(ITEM_RES!$A$5,MATCH(BUILDING!W442,ITEM_RES!$J$5:$J$226,0)-1,0),0)</f>
        <v>211020201</v>
      </c>
      <c r="Y442" s="11">
        <v>1</v>
      </c>
      <c r="Z442" s="85" t="s">
        <v>549</v>
      </c>
      <c r="AA442" s="9">
        <f ca="1">IFERROR(OFFSET(ITEM_RES!$A$5,MATCH(BUILDING!Z442,ITEM_RES!$J$5:$J$226,0)-1,0),0)</f>
        <v>211020301</v>
      </c>
      <c r="AC442" s="9" t="s">
        <v>527</v>
      </c>
      <c r="AD442" s="9">
        <v>18</v>
      </c>
      <c r="AF442" s="11">
        <f ca="1">IFERROR(OFFSET(MANOR_LEVEL!$B$1,MATCH(AG442-1,MANOR_LEVEL!$A:$A,0)-1,0),0)</f>
        <v>12172400</v>
      </c>
      <c r="AG442" s="56">
        <v>18</v>
      </c>
      <c r="AI442" s="56">
        <f t="shared" ca="1" si="138"/>
        <v>14002100</v>
      </c>
      <c r="AJ442" s="10">
        <f ca="1">AO442+AQ442+(IFERROR(OFFSET(ITEM_RES!$S$1,MATCH(AU442,ITEM_RES!$A:$A,0)-1,0),0)*AW442+IFERROR(OFFSET(ITEM_RES!$S$1,MATCH(AZ442,ITEM_RES!$A:$A,0)-1,0),0)*BB442+IFERROR(OFFSET(ITEM_RES!$S$1,MATCH(BE442,ITEM_RES!$A:$A,0)-1,0),0)*BG442+IFERROR(OFFSET(ITEM_RES!$S$1,MATCH(BJ442,ITEM_RES!$A:$A,0)-1,0),0)*BL442+IFERROR(OFFSET(ITEM_RES!$S$1,MATCH(BO442,ITEM_RES!$A:$A,0)-1,0),0)*BQ442)/1000</f>
        <v>14002100.199999999</v>
      </c>
      <c r="AK442" s="183">
        <f t="shared" ca="1" si="136"/>
        <v>23203800</v>
      </c>
      <c r="AM442" s="11">
        <f t="shared" si="137"/>
        <v>90</v>
      </c>
      <c r="AN442" s="10">
        <v>90</v>
      </c>
      <c r="AO442" s="11">
        <f t="shared" si="134"/>
        <v>1050</v>
      </c>
      <c r="AP442" s="10">
        <v>1050</v>
      </c>
      <c r="AQ442" s="11">
        <f t="shared" si="134"/>
        <v>1050</v>
      </c>
      <c r="AR442" s="10">
        <v>1050</v>
      </c>
      <c r="AS442" s="56">
        <f t="shared" si="139"/>
        <v>2</v>
      </c>
      <c r="AU442" s="11">
        <f ca="1">IFERROR(OFFSET(ITEM_RES!$A$1,MATCH(AV442,ITEM_RES!$J:$J,0)-1,0),0)</f>
        <v>211020301</v>
      </c>
      <c r="AV442" s="10" t="s">
        <v>1229</v>
      </c>
      <c r="AW442" s="11">
        <v>70000000</v>
      </c>
      <c r="AZ442" s="11">
        <f ca="1">IFERROR(OFFSET(ITEM_RES!$A$1,MATCH(BA442,ITEM_RES!$J:$J,0)-1,0),0)</f>
        <v>211020501</v>
      </c>
      <c r="BA442" s="10" t="s">
        <v>425</v>
      </c>
      <c r="BB442" s="11">
        <v>1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  <c r="BO442" s="11">
        <f ca="1">IFERROR(OFFSET(ITEM_RES!$A$1,MATCH(BP442,ITEM_RES!$J:$J,0)-1,0),0)</f>
        <v>0</v>
      </c>
    </row>
    <row r="443" spans="1:70" x14ac:dyDescent="0.3">
      <c r="A443" s="14">
        <f t="shared" si="131"/>
        <v>112070019</v>
      </c>
      <c r="B443" s="13">
        <v>11</v>
      </c>
      <c r="C443" s="12">
        <f t="shared" si="132"/>
        <v>2</v>
      </c>
      <c r="D443" s="13">
        <v>7</v>
      </c>
      <c r="E443" s="13">
        <v>0</v>
      </c>
      <c r="F443" s="12">
        <f t="shared" si="133"/>
        <v>19</v>
      </c>
      <c r="H443" s="9">
        <v>2</v>
      </c>
      <c r="I443" s="9">
        <v>19</v>
      </c>
      <c r="K443" s="9" t="s">
        <v>364</v>
      </c>
      <c r="M443" s="9" t="s">
        <v>960</v>
      </c>
      <c r="N443" s="9" t="s">
        <v>978</v>
      </c>
      <c r="O443" s="9">
        <v>0</v>
      </c>
      <c r="P443" s="9">
        <v>15</v>
      </c>
      <c r="Q443" s="9" t="s">
        <v>780</v>
      </c>
      <c r="U443" s="9" t="s">
        <v>717</v>
      </c>
      <c r="W443" s="85" t="s">
        <v>547</v>
      </c>
      <c r="X443" s="9">
        <f ca="1">IFERROR(OFFSET(ITEM_RES!$A$5,MATCH(BUILDING!W443,ITEM_RES!$J$5:$J$226,0)-1,0),0)</f>
        <v>211020201</v>
      </c>
      <c r="Y443" s="11">
        <v>1</v>
      </c>
      <c r="Z443" s="85" t="s">
        <v>549</v>
      </c>
      <c r="AA443" s="9">
        <f ca="1">IFERROR(OFFSET(ITEM_RES!$A$5,MATCH(BUILDING!Z443,ITEM_RES!$J$5:$J$226,0)-1,0),0)</f>
        <v>211020301</v>
      </c>
      <c r="AC443" s="9" t="s">
        <v>527</v>
      </c>
      <c r="AD443" s="9">
        <v>19</v>
      </c>
      <c r="AF443" s="11">
        <f ca="1">IFERROR(OFFSET(MANOR_LEVEL!$B$1,MATCH(AG443-1,MANOR_LEVEL!$A:$A,0)-1,0),0)</f>
        <v>12172400</v>
      </c>
      <c r="AG443" s="56">
        <v>18</v>
      </c>
      <c r="AI443" s="56">
        <f t="shared" ca="1" si="138"/>
        <v>19202500</v>
      </c>
      <c r="AJ443" s="10">
        <f ca="1">AO443+AQ443+(IFERROR(OFFSET(ITEM_RES!$S$1,MATCH(AU443,ITEM_RES!$A:$A,0)-1,0),0)*AW443+IFERROR(OFFSET(ITEM_RES!$S$1,MATCH(AZ443,ITEM_RES!$A:$A,0)-1,0),0)*BB443+IFERROR(OFFSET(ITEM_RES!$S$1,MATCH(BE443,ITEM_RES!$A:$A,0)-1,0),0)*BG443+IFERROR(OFFSET(ITEM_RES!$S$1,MATCH(BJ443,ITEM_RES!$A:$A,0)-1,0),0)*BL443+IFERROR(OFFSET(ITEM_RES!$S$1,MATCH(BO443,ITEM_RES!$A:$A,0)-1,0),0)*BQ443)/1000</f>
        <v>19202500.199999999</v>
      </c>
      <c r="AK443" s="183">
        <f t="shared" ca="1" si="136"/>
        <v>33204600</v>
      </c>
      <c r="AM443" s="11">
        <f t="shared" si="137"/>
        <v>95</v>
      </c>
      <c r="AN443" s="10">
        <v>95</v>
      </c>
      <c r="AO443" s="11">
        <f t="shared" si="134"/>
        <v>1250</v>
      </c>
      <c r="AP443" s="10">
        <v>1250</v>
      </c>
      <c r="AQ443" s="11">
        <f t="shared" si="134"/>
        <v>1250</v>
      </c>
      <c r="AR443" s="10">
        <v>1250</v>
      </c>
      <c r="AS443" s="56">
        <f t="shared" si="139"/>
        <v>2</v>
      </c>
      <c r="AU443" s="11">
        <f ca="1">IFERROR(OFFSET(ITEM_RES!$A$1,MATCH(AV443,ITEM_RES!$J:$J,0)-1,0),0)</f>
        <v>211020301</v>
      </c>
      <c r="AV443" s="10" t="s">
        <v>1229</v>
      </c>
      <c r="AW443" s="11">
        <v>96000000</v>
      </c>
      <c r="AZ443" s="11">
        <f ca="1">IFERROR(OFFSET(ITEM_RES!$A$1,MATCH(BA443,ITEM_RES!$J:$J,0)-1,0),0)</f>
        <v>211020501</v>
      </c>
      <c r="BA443" s="10" t="s">
        <v>425</v>
      </c>
      <c r="BB443" s="11">
        <v>1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  <c r="BO443" s="11">
        <f ca="1">IFERROR(OFFSET(ITEM_RES!$A$1,MATCH(BP443,ITEM_RES!$J:$J,0)-1,0),0)</f>
        <v>0</v>
      </c>
    </row>
    <row r="444" spans="1:70" ht="17.25" thickBot="1" x14ac:dyDescent="0.35">
      <c r="A444" s="14">
        <f t="shared" si="131"/>
        <v>112070020</v>
      </c>
      <c r="B444" s="13">
        <v>11</v>
      </c>
      <c r="C444" s="12">
        <f t="shared" si="132"/>
        <v>2</v>
      </c>
      <c r="D444" s="13">
        <v>7</v>
      </c>
      <c r="E444" s="13">
        <v>0</v>
      </c>
      <c r="F444" s="12">
        <f t="shared" si="133"/>
        <v>20</v>
      </c>
      <c r="H444" s="9">
        <v>2</v>
      </c>
      <c r="I444" s="9">
        <v>20</v>
      </c>
      <c r="K444" s="9" t="s">
        <v>364</v>
      </c>
      <c r="M444" s="9" t="s">
        <v>960</v>
      </c>
      <c r="N444" s="9" t="s">
        <v>978</v>
      </c>
      <c r="O444" s="9">
        <v>0</v>
      </c>
      <c r="P444" s="9">
        <v>15</v>
      </c>
      <c r="Q444" s="9" t="s">
        <v>780</v>
      </c>
      <c r="U444" s="9" t="s">
        <v>717</v>
      </c>
      <c r="W444" s="85" t="s">
        <v>547</v>
      </c>
      <c r="X444" s="9">
        <f ca="1">IFERROR(OFFSET(ITEM_RES!$A$5,MATCH(BUILDING!W444,ITEM_RES!$J$5:$J$226,0)-1,0),0)</f>
        <v>211020201</v>
      </c>
      <c r="Y444" s="11">
        <v>1</v>
      </c>
      <c r="Z444" s="85" t="s">
        <v>549</v>
      </c>
      <c r="AA444" s="9">
        <f ca="1">IFERROR(OFFSET(ITEM_RES!$A$5,MATCH(BUILDING!Z444,ITEM_RES!$J$5:$J$226,0)-1,0),0)</f>
        <v>211020301</v>
      </c>
      <c r="AC444" s="9" t="s">
        <v>527</v>
      </c>
      <c r="AD444" s="9">
        <v>20</v>
      </c>
      <c r="AF444" s="11">
        <f ca="1">IFERROR(OFFSET(MANOR_LEVEL!$B$1,MATCH(AG444-1,MANOR_LEVEL!$A:$A,0)-1,0),0)</f>
        <v>12172400</v>
      </c>
      <c r="AG444" s="56">
        <v>18</v>
      </c>
      <c r="AI444" s="56">
        <f t="shared" ca="1" si="138"/>
        <v>30403000</v>
      </c>
      <c r="AJ444" s="10">
        <f ca="1">AO444+AQ444+(IFERROR(OFFSET(ITEM_RES!$S$1,MATCH(AU444,ITEM_RES!$A:$A,0)-1,0),0)*AW444+IFERROR(OFFSET(ITEM_RES!$S$1,MATCH(AZ444,ITEM_RES!$A:$A,0)-1,0),0)*BB444+IFERROR(OFFSET(ITEM_RES!$S$1,MATCH(BE444,ITEM_RES!$A:$A,0)-1,0),0)*BG444+IFERROR(OFFSET(ITEM_RES!$S$1,MATCH(BJ444,ITEM_RES!$A:$A,0)-1,0),0)*BL444+IFERROR(OFFSET(ITEM_RES!$S$1,MATCH(BO444,ITEM_RES!$A:$A,0)-1,0),0)*BQ444)/1000</f>
        <v>30403000.199999999</v>
      </c>
      <c r="AK444" s="183">
        <f t="shared" ca="1" si="136"/>
        <v>49605500</v>
      </c>
      <c r="AM444" s="11">
        <f t="shared" si="137"/>
        <v>100</v>
      </c>
      <c r="AN444" s="10">
        <v>100</v>
      </c>
      <c r="AO444" s="11">
        <f t="shared" si="134"/>
        <v>1500</v>
      </c>
      <c r="AP444" s="10">
        <v>1500</v>
      </c>
      <c r="AQ444" s="11">
        <f t="shared" si="134"/>
        <v>1500</v>
      </c>
      <c r="AR444" s="10">
        <v>1500</v>
      </c>
      <c r="AS444" s="56">
        <f t="shared" si="139"/>
        <v>2</v>
      </c>
      <c r="AU444" s="11">
        <f ca="1">IFERROR(OFFSET(ITEM_RES!$A$1,MATCH(AV444,ITEM_RES!$J:$J,0)-1,0),0)</f>
        <v>211020301</v>
      </c>
      <c r="AV444" s="10" t="s">
        <v>1229</v>
      </c>
      <c r="AW444" s="11">
        <v>152000000</v>
      </c>
      <c r="AZ444" s="11">
        <f ca="1">IFERROR(OFFSET(ITEM_RES!$A$1,MATCH(BA444,ITEM_RES!$J:$J,0)-1,0),0)</f>
        <v>211020501</v>
      </c>
      <c r="BA444" s="10" t="s">
        <v>425</v>
      </c>
      <c r="BB444" s="11">
        <v>1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  <c r="BO444" s="11">
        <f ca="1">IFERROR(OFFSET(ITEM_RES!$A$1,MATCH(BP444,ITEM_RES!$J:$J,0)-1,0),0)</f>
        <v>0</v>
      </c>
    </row>
    <row r="445" spans="1:70" s="15" customFormat="1" x14ac:dyDescent="0.3">
      <c r="A445" s="21">
        <f t="shared" si="131"/>
        <v>114010001</v>
      </c>
      <c r="B445" s="20">
        <v>11</v>
      </c>
      <c r="C445" s="19">
        <f t="shared" si="132"/>
        <v>4</v>
      </c>
      <c r="D445" s="20">
        <v>1</v>
      </c>
      <c r="E445" s="20">
        <v>0</v>
      </c>
      <c r="F445" s="19">
        <f t="shared" si="133"/>
        <v>1</v>
      </c>
      <c r="G445" s="79"/>
      <c r="H445" s="16">
        <v>4</v>
      </c>
      <c r="I445" s="16">
        <v>1</v>
      </c>
      <c r="J445" s="79"/>
      <c r="K445" s="16" t="s">
        <v>438</v>
      </c>
      <c r="L445" s="16"/>
      <c r="M445" s="16"/>
      <c r="N445" s="16"/>
      <c r="O445" s="16">
        <v>1</v>
      </c>
      <c r="P445" s="16">
        <v>15</v>
      </c>
      <c r="Q445" s="141"/>
      <c r="R445" s="17"/>
      <c r="S445" s="17"/>
      <c r="T445" s="18"/>
      <c r="U445" s="16" t="s">
        <v>718</v>
      </c>
      <c r="V445" s="79"/>
      <c r="W445" s="87"/>
      <c r="X445" s="16">
        <f ca="1">IFERROR(OFFSET(ITEM_RES!$A$5,MATCH(BUILDING!W445,ITEM_RES!$J$5:$J$226,0)-1,0),0)</f>
        <v>0</v>
      </c>
      <c r="Y445" s="18"/>
      <c r="Z445" s="87"/>
      <c r="AA445" s="16">
        <f ca="1">IFERROR(OFFSET(ITEM_RES!$A$5,MATCH(BUILDING!Z445,ITEM_RES!$J$5:$J$226,0)-1,0),0)</f>
        <v>0</v>
      </c>
      <c r="AB445" s="79"/>
      <c r="AC445" s="16" t="s">
        <v>528</v>
      </c>
      <c r="AD445" s="16">
        <v>1</v>
      </c>
      <c r="AE445" s="79"/>
      <c r="AF445" s="18">
        <f ca="1">IFERROR(OFFSET(MANOR_LEVEL!$B$1,MATCH(AG445-1,MANOR_LEVEL!$A:$A,0)-1,0),0)</f>
        <v>0</v>
      </c>
      <c r="AG445" s="57">
        <v>1</v>
      </c>
      <c r="AH445" s="79"/>
      <c r="AI445" s="57">
        <f t="shared" ca="1" si="138"/>
        <v>110</v>
      </c>
      <c r="AJ445" s="17">
        <f ca="1">AO445+AQ445+(IFERROR(OFFSET(ITEM_RES!$S$1,MATCH(AU445,ITEM_RES!$A:$A,0)-1,0),0)*AW445+IFERROR(OFFSET(ITEM_RES!$S$1,MATCH(AZ445,ITEM_RES!$A:$A,0)-1,0),0)*BB445+IFERROR(OFFSET(ITEM_RES!$S$1,MATCH(BE445,ITEM_RES!$A:$A,0)-1,0),0)*BG445+IFERROR(OFFSET(ITEM_RES!$S$1,MATCH(BJ445,ITEM_RES!$A:$A,0)-1,0),0)*BL445+IFERROR(OFFSET(ITEM_RES!$S$1,MATCH(BO445,ITEM_RES!$A:$A,0)-1,0),0)*BQ445)/1000</f>
        <v>110.01</v>
      </c>
      <c r="AK445" s="185">
        <f ca="1">AI445</f>
        <v>110</v>
      </c>
      <c r="AL445" s="79"/>
      <c r="AM445" s="18">
        <f t="shared" si="137"/>
        <v>5</v>
      </c>
      <c r="AN445" s="17">
        <v>5</v>
      </c>
      <c r="AO445" s="18">
        <f t="shared" si="134"/>
        <v>5</v>
      </c>
      <c r="AP445" s="17">
        <v>5</v>
      </c>
      <c r="AQ445" s="18">
        <f t="shared" si="134"/>
        <v>5</v>
      </c>
      <c r="AR445" s="17">
        <v>5</v>
      </c>
      <c r="AS445" s="57">
        <f t="shared" si="139"/>
        <v>2</v>
      </c>
      <c r="AT445" s="18"/>
      <c r="AU445" s="18">
        <f ca="1">IFERROR(OFFSET(ITEM_RES!$A$1,MATCH(AV445,ITEM_RES!$J:$J,0)-1,0),0)</f>
        <v>211020401</v>
      </c>
      <c r="AV445" s="17" t="s">
        <v>436</v>
      </c>
      <c r="AW445" s="18">
        <v>1</v>
      </c>
      <c r="AX445" s="17"/>
      <c r="AY445" s="18"/>
      <c r="AZ445" s="18">
        <f ca="1">IFERROR(OFFSET(ITEM_RES!$A$1,MATCH(BA445,ITEM_RES!$J:$J,0)-1,0),0)</f>
        <v>0</v>
      </c>
      <c r="BA445" s="17"/>
      <c r="BB445" s="18"/>
      <c r="BC445" s="17"/>
      <c r="BD445" s="18"/>
      <c r="BE445" s="18">
        <f ca="1">IFERROR(OFFSET(ITEM_RES!$A$1,MATCH(BF445,ITEM_RES!$J:$J,0)-1,0),0)</f>
        <v>213010101</v>
      </c>
      <c r="BF445" s="17" t="s">
        <v>452</v>
      </c>
      <c r="BG445" s="18">
        <v>1</v>
      </c>
      <c r="BH445" s="17"/>
      <c r="BI445" s="18"/>
      <c r="BJ445" s="18">
        <f ca="1">IFERROR(OFFSET(ITEM_RES!$A$1,MATCH(BK445,ITEM_RES!$J:$J,0)-1,0),0)</f>
        <v>0</v>
      </c>
      <c r="BK445" s="17"/>
      <c r="BL445" s="18"/>
      <c r="BM445" s="17"/>
      <c r="BN445" s="18"/>
      <c r="BO445" s="18">
        <f ca="1">IFERROR(OFFSET(ITEM_RES!$A$1,MATCH(BP445,ITEM_RES!$J:$J,0)-1,0),0)</f>
        <v>0</v>
      </c>
      <c r="BP445" s="17"/>
      <c r="BQ445" s="18"/>
      <c r="BR445" s="17"/>
    </row>
    <row r="446" spans="1:70" x14ac:dyDescent="0.3">
      <c r="A446" s="14">
        <f t="shared" si="131"/>
        <v>114010002</v>
      </c>
      <c r="B446" s="13">
        <v>11</v>
      </c>
      <c r="C446" s="12">
        <f t="shared" si="132"/>
        <v>4</v>
      </c>
      <c r="D446" s="13">
        <v>1</v>
      </c>
      <c r="E446" s="13">
        <v>0</v>
      </c>
      <c r="F446" s="12">
        <f t="shared" si="133"/>
        <v>2</v>
      </c>
      <c r="H446" s="9">
        <v>4</v>
      </c>
      <c r="I446" s="9">
        <v>2</v>
      </c>
      <c r="K446" s="9" t="s">
        <v>438</v>
      </c>
      <c r="O446" s="9">
        <v>1</v>
      </c>
      <c r="P446" s="9">
        <v>15</v>
      </c>
      <c r="Q446" s="142"/>
      <c r="U446" s="9" t="s">
        <v>718</v>
      </c>
      <c r="X446" s="9">
        <f ca="1">IFERROR(OFFSET(ITEM_RES!$A$5,MATCH(BUILDING!W446,ITEM_RES!$J$5:$J$226,0)-1,0),0)</f>
        <v>0</v>
      </c>
      <c r="AA446" s="9">
        <f ca="1">IFERROR(OFFSET(ITEM_RES!$A$5,MATCH(BUILDING!Z446,ITEM_RES!$J$5:$J$226,0)-1,0),0)</f>
        <v>0</v>
      </c>
      <c r="AC446" s="9" t="s">
        <v>528</v>
      </c>
      <c r="AD446" s="9">
        <v>2</v>
      </c>
      <c r="AF446" s="11">
        <f ca="1">IFERROR(OFFSET(MANOR_LEVEL!$B$1,MATCH(AG446-1,MANOR_LEVEL!$A:$A,0)-1,0),0)</f>
        <v>0</v>
      </c>
      <c r="AG446" s="56">
        <v>1</v>
      </c>
      <c r="AI446" s="56">
        <f t="shared" ca="1" si="138"/>
        <v>20</v>
      </c>
      <c r="AJ446" s="10">
        <f ca="1">AO446+AQ446+(IFERROR(OFFSET(ITEM_RES!$S$1,MATCH(AU446,ITEM_RES!$A:$A,0)-1,0),0)*AW446+IFERROR(OFFSET(ITEM_RES!$S$1,MATCH(AZ446,ITEM_RES!$A:$A,0)-1,0),0)*BB446+IFERROR(OFFSET(ITEM_RES!$S$1,MATCH(BE446,ITEM_RES!$A:$A,0)-1,0),0)*BG446+IFERROR(OFFSET(ITEM_RES!$S$1,MATCH(BJ446,ITEM_RES!$A:$A,0)-1,0),0)*BL446+IFERROR(OFFSET(ITEM_RES!$S$1,MATCH(BO446,ITEM_RES!$A:$A,0)-1,0),0)*BQ446)/1000</f>
        <v>20.010000000000002</v>
      </c>
      <c r="AK446" s="183">
        <f ca="1">AI445+AI446</f>
        <v>130</v>
      </c>
      <c r="AM446" s="11">
        <f t="shared" si="137"/>
        <v>10</v>
      </c>
      <c r="AN446" s="10">
        <v>10</v>
      </c>
      <c r="AO446" s="11">
        <f t="shared" si="134"/>
        <v>10</v>
      </c>
      <c r="AP446" s="10">
        <v>10</v>
      </c>
      <c r="AQ446" s="11">
        <f t="shared" si="134"/>
        <v>10</v>
      </c>
      <c r="AR446" s="10">
        <v>10</v>
      </c>
      <c r="AS446" s="56">
        <f t="shared" si="139"/>
        <v>1</v>
      </c>
      <c r="AU446" s="11">
        <f ca="1">IFERROR(OFFSET(ITEM_RES!$A$1,MATCH(AV446,ITEM_RES!$J:$J,0)-1,0),0)</f>
        <v>211020401</v>
      </c>
      <c r="AV446" s="10" t="s">
        <v>436</v>
      </c>
      <c r="AW446" s="11">
        <v>1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  <c r="BO446" s="11">
        <f ca="1">IFERROR(OFFSET(ITEM_RES!$A$1,MATCH(BP446,ITEM_RES!$J:$J,0)-1,0),0)</f>
        <v>0</v>
      </c>
    </row>
    <row r="447" spans="1:70" x14ac:dyDescent="0.3">
      <c r="A447" s="14">
        <f t="shared" si="131"/>
        <v>114010003</v>
      </c>
      <c r="B447" s="13">
        <v>11</v>
      </c>
      <c r="C447" s="12">
        <f t="shared" si="132"/>
        <v>4</v>
      </c>
      <c r="D447" s="13">
        <v>1</v>
      </c>
      <c r="E447" s="13">
        <v>0</v>
      </c>
      <c r="F447" s="12">
        <f t="shared" si="133"/>
        <v>3</v>
      </c>
      <c r="H447" s="9">
        <v>4</v>
      </c>
      <c r="I447" s="9">
        <v>3</v>
      </c>
      <c r="K447" s="9" t="s">
        <v>438</v>
      </c>
      <c r="O447" s="9">
        <v>1</v>
      </c>
      <c r="P447" s="9">
        <v>15</v>
      </c>
      <c r="Q447" s="142"/>
      <c r="U447" s="9" t="s">
        <v>718</v>
      </c>
      <c r="X447" s="9">
        <f ca="1">IFERROR(OFFSET(ITEM_RES!$A$5,MATCH(BUILDING!W447,ITEM_RES!$J$5:$J$226,0)-1,0),0)</f>
        <v>0</v>
      </c>
      <c r="AA447" s="9">
        <f ca="1">IFERROR(OFFSET(ITEM_RES!$A$5,MATCH(BUILDING!Z447,ITEM_RES!$J$5:$J$226,0)-1,0),0)</f>
        <v>0</v>
      </c>
      <c r="AC447" s="9" t="s">
        <v>528</v>
      </c>
      <c r="AD447" s="9">
        <v>3</v>
      </c>
      <c r="AF447" s="11">
        <f ca="1">IFERROR(OFFSET(MANOR_LEVEL!$B$1,MATCH(AG447-1,MANOR_LEVEL!$A:$A,0)-1,0),0)</f>
        <v>0</v>
      </c>
      <c r="AG447" s="56">
        <v>1</v>
      </c>
      <c r="AI447" s="56">
        <f t="shared" ca="1" si="138"/>
        <v>30</v>
      </c>
      <c r="AJ447" s="10">
        <f ca="1">AO447+AQ447+(IFERROR(OFFSET(ITEM_RES!$S$1,MATCH(AU447,ITEM_RES!$A:$A,0)-1,0),0)*AW447+IFERROR(OFFSET(ITEM_RES!$S$1,MATCH(AZ447,ITEM_RES!$A:$A,0)-1,0),0)*BB447+IFERROR(OFFSET(ITEM_RES!$S$1,MATCH(BE447,ITEM_RES!$A:$A,0)-1,0),0)*BG447+IFERROR(OFFSET(ITEM_RES!$S$1,MATCH(BJ447,ITEM_RES!$A:$A,0)-1,0),0)*BL447+IFERROR(OFFSET(ITEM_RES!$S$1,MATCH(BO447,ITEM_RES!$A:$A,0)-1,0),0)*BQ447)/1000</f>
        <v>30.01</v>
      </c>
      <c r="AK447" s="183">
        <f t="shared" ref="AK447:AK464" ca="1" si="140">AI446+AI447</f>
        <v>50</v>
      </c>
      <c r="AM447" s="11">
        <f t="shared" si="137"/>
        <v>15</v>
      </c>
      <c r="AN447" s="10">
        <v>15</v>
      </c>
      <c r="AO447" s="11">
        <f t="shared" si="134"/>
        <v>15</v>
      </c>
      <c r="AP447" s="10">
        <v>15</v>
      </c>
      <c r="AQ447" s="11">
        <f t="shared" si="134"/>
        <v>15</v>
      </c>
      <c r="AR447" s="10">
        <v>15</v>
      </c>
      <c r="AS447" s="56">
        <f t="shared" si="139"/>
        <v>1</v>
      </c>
      <c r="AU447" s="11">
        <f ca="1">IFERROR(OFFSET(ITEM_RES!$A$1,MATCH(AV447,ITEM_RES!$J:$J,0)-1,0),0)</f>
        <v>211020401</v>
      </c>
      <c r="AV447" s="10" t="s">
        <v>436</v>
      </c>
      <c r="AW447" s="11">
        <v>1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  <c r="BO447" s="11">
        <f ca="1">IFERROR(OFFSET(ITEM_RES!$A$1,MATCH(BP447,ITEM_RES!$J:$J,0)-1,0),0)</f>
        <v>0</v>
      </c>
    </row>
    <row r="448" spans="1:70" x14ac:dyDescent="0.3">
      <c r="A448" s="14">
        <f t="shared" si="131"/>
        <v>114010004</v>
      </c>
      <c r="B448" s="13">
        <v>11</v>
      </c>
      <c r="C448" s="12">
        <f t="shared" si="132"/>
        <v>4</v>
      </c>
      <c r="D448" s="13">
        <v>1</v>
      </c>
      <c r="E448" s="13">
        <v>0</v>
      </c>
      <c r="F448" s="12">
        <f t="shared" si="133"/>
        <v>4</v>
      </c>
      <c r="H448" s="9">
        <v>4</v>
      </c>
      <c r="I448" s="9">
        <v>4</v>
      </c>
      <c r="K448" s="9" t="s">
        <v>438</v>
      </c>
      <c r="O448" s="9">
        <v>1</v>
      </c>
      <c r="P448" s="9">
        <v>15</v>
      </c>
      <c r="Q448" s="142"/>
      <c r="U448" s="9" t="s">
        <v>718</v>
      </c>
      <c r="X448" s="9">
        <f ca="1">IFERROR(OFFSET(ITEM_RES!$A$5,MATCH(BUILDING!W448,ITEM_RES!$J$5:$J$226,0)-1,0),0)</f>
        <v>0</v>
      </c>
      <c r="AA448" s="9">
        <f ca="1">IFERROR(OFFSET(ITEM_RES!$A$5,MATCH(BUILDING!Z448,ITEM_RES!$J$5:$J$226,0)-1,0),0)</f>
        <v>0</v>
      </c>
      <c r="AC448" s="9" t="s">
        <v>528</v>
      </c>
      <c r="AD448" s="9">
        <v>4</v>
      </c>
      <c r="AF448" s="11">
        <f ca="1">IFERROR(OFFSET(MANOR_LEVEL!$B$1,MATCH(AG448-1,MANOR_LEVEL!$A:$A,0)-1,0),0)</f>
        <v>444</v>
      </c>
      <c r="AG448" s="56">
        <v>2</v>
      </c>
      <c r="AI448" s="56">
        <f t="shared" ca="1" si="138"/>
        <v>50</v>
      </c>
      <c r="AJ448" s="10">
        <f ca="1">AO448+AQ448+(IFERROR(OFFSET(ITEM_RES!$S$1,MATCH(AU448,ITEM_RES!$A:$A,0)-1,0),0)*AW448+IFERROR(OFFSET(ITEM_RES!$S$1,MATCH(AZ448,ITEM_RES!$A:$A,0)-1,0),0)*BB448+IFERROR(OFFSET(ITEM_RES!$S$1,MATCH(BE448,ITEM_RES!$A:$A,0)-1,0),0)*BG448+IFERROR(OFFSET(ITEM_RES!$S$1,MATCH(BJ448,ITEM_RES!$A:$A,0)-1,0),0)*BL448+IFERROR(OFFSET(ITEM_RES!$S$1,MATCH(BO448,ITEM_RES!$A:$A,0)-1,0),0)*BQ448)/1000</f>
        <v>50.01</v>
      </c>
      <c r="AK448" s="183">
        <f t="shared" ca="1" si="140"/>
        <v>80</v>
      </c>
      <c r="AM448" s="11">
        <f t="shared" si="137"/>
        <v>20</v>
      </c>
      <c r="AN448" s="10">
        <v>20</v>
      </c>
      <c r="AO448" s="11">
        <f t="shared" si="134"/>
        <v>25</v>
      </c>
      <c r="AP448" s="10">
        <v>25</v>
      </c>
      <c r="AQ448" s="11">
        <f t="shared" si="134"/>
        <v>25</v>
      </c>
      <c r="AR448" s="10">
        <v>25</v>
      </c>
      <c r="AS448" s="56">
        <f t="shared" si="139"/>
        <v>1</v>
      </c>
      <c r="AU448" s="11">
        <f ca="1">IFERROR(OFFSET(ITEM_RES!$A$1,MATCH(AV448,ITEM_RES!$J:$J,0)-1,0),0)</f>
        <v>211020401</v>
      </c>
      <c r="AV448" s="10" t="s">
        <v>436</v>
      </c>
      <c r="AW448" s="11">
        <v>1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  <c r="BO448" s="11">
        <f ca="1">IFERROR(OFFSET(ITEM_RES!$A$1,MATCH(BP448,ITEM_RES!$J:$J,0)-1,0),0)</f>
        <v>0</v>
      </c>
    </row>
    <row r="449" spans="1:67" x14ac:dyDescent="0.3">
      <c r="A449" s="14">
        <f t="shared" ref="A449:A512" si="141">B449*10000000+C449*1000000+D449*10000+E449*100+F449</f>
        <v>114010005</v>
      </c>
      <c r="B449" s="13">
        <v>11</v>
      </c>
      <c r="C449" s="12">
        <f t="shared" ref="C449:C512" si="142">H449</f>
        <v>4</v>
      </c>
      <c r="D449" s="13">
        <v>1</v>
      </c>
      <c r="E449" s="13">
        <v>0</v>
      </c>
      <c r="F449" s="12">
        <f t="shared" ref="F449:F512" si="143">I449</f>
        <v>5</v>
      </c>
      <c r="H449" s="9">
        <v>4</v>
      </c>
      <c r="I449" s="9">
        <v>5</v>
      </c>
      <c r="K449" s="9" t="s">
        <v>438</v>
      </c>
      <c r="O449" s="9">
        <v>1</v>
      </c>
      <c r="P449" s="9">
        <v>15</v>
      </c>
      <c r="Q449" s="142"/>
      <c r="U449" s="9" t="s">
        <v>718</v>
      </c>
      <c r="X449" s="9">
        <f ca="1">IFERROR(OFFSET(ITEM_RES!$A$5,MATCH(BUILDING!W449,ITEM_RES!$J$5:$J$226,0)-1,0),0)</f>
        <v>0</v>
      </c>
      <c r="AA449" s="9">
        <f ca="1">IFERROR(OFFSET(ITEM_RES!$A$5,MATCH(BUILDING!Z449,ITEM_RES!$J$5:$J$226,0)-1,0),0)</f>
        <v>0</v>
      </c>
      <c r="AC449" s="9" t="s">
        <v>528</v>
      </c>
      <c r="AD449" s="9">
        <v>5</v>
      </c>
      <c r="AF449" s="11">
        <f ca="1">IFERROR(OFFSET(MANOR_LEVEL!$B$1,MATCH(AG449-1,MANOR_LEVEL!$A:$A,0)-1,0),0)</f>
        <v>444</v>
      </c>
      <c r="AG449" s="56">
        <v>2</v>
      </c>
      <c r="AI449" s="56">
        <f t="shared" ca="1" si="138"/>
        <v>80</v>
      </c>
      <c r="AJ449" s="10">
        <f ca="1">AO449+AQ449+(IFERROR(OFFSET(ITEM_RES!$S$1,MATCH(AU449,ITEM_RES!$A:$A,0)-1,0),0)*AW449+IFERROR(OFFSET(ITEM_RES!$S$1,MATCH(AZ449,ITEM_RES!$A:$A,0)-1,0),0)*BB449+IFERROR(OFFSET(ITEM_RES!$S$1,MATCH(BE449,ITEM_RES!$A:$A,0)-1,0),0)*BG449+IFERROR(OFFSET(ITEM_RES!$S$1,MATCH(BJ449,ITEM_RES!$A:$A,0)-1,0),0)*BL449+IFERROR(OFFSET(ITEM_RES!$S$1,MATCH(BO449,ITEM_RES!$A:$A,0)-1,0),0)*BQ449)/1000</f>
        <v>80.010000000000005</v>
      </c>
      <c r="AK449" s="183">
        <f t="shared" ca="1" si="140"/>
        <v>130</v>
      </c>
      <c r="AM449" s="11">
        <f t="shared" si="137"/>
        <v>25</v>
      </c>
      <c r="AN449" s="10">
        <v>25</v>
      </c>
      <c r="AO449" s="11">
        <f t="shared" si="134"/>
        <v>40</v>
      </c>
      <c r="AP449" s="10">
        <v>40</v>
      </c>
      <c r="AQ449" s="11">
        <f t="shared" si="134"/>
        <v>40</v>
      </c>
      <c r="AR449" s="10">
        <v>40</v>
      </c>
      <c r="AS449" s="56">
        <f t="shared" si="139"/>
        <v>1</v>
      </c>
      <c r="AU449" s="11">
        <f ca="1">IFERROR(OFFSET(ITEM_RES!$A$1,MATCH(AV449,ITEM_RES!$J:$J,0)-1,0),0)</f>
        <v>211020401</v>
      </c>
      <c r="AV449" s="10" t="s">
        <v>436</v>
      </c>
      <c r="AW449" s="11">
        <v>1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  <c r="BO449" s="11">
        <f ca="1">IFERROR(OFFSET(ITEM_RES!$A$1,MATCH(BP449,ITEM_RES!$J:$J,0)-1,0),0)</f>
        <v>0</v>
      </c>
    </row>
    <row r="450" spans="1:67" x14ac:dyDescent="0.3">
      <c r="A450" s="14">
        <f t="shared" si="141"/>
        <v>114010006</v>
      </c>
      <c r="B450" s="13">
        <v>11</v>
      </c>
      <c r="C450" s="12">
        <f t="shared" si="142"/>
        <v>4</v>
      </c>
      <c r="D450" s="13">
        <v>1</v>
      </c>
      <c r="E450" s="13">
        <v>0</v>
      </c>
      <c r="F450" s="12">
        <f t="shared" si="143"/>
        <v>6</v>
      </c>
      <c r="H450" s="9">
        <v>4</v>
      </c>
      <c r="I450" s="9">
        <v>6</v>
      </c>
      <c r="K450" s="9" t="s">
        <v>438</v>
      </c>
      <c r="O450" s="9">
        <v>1</v>
      </c>
      <c r="P450" s="9">
        <v>15</v>
      </c>
      <c r="Q450" s="142"/>
      <c r="U450" s="9" t="s">
        <v>718</v>
      </c>
      <c r="X450" s="9">
        <f ca="1">IFERROR(OFFSET(ITEM_RES!$A$5,MATCH(BUILDING!W450,ITEM_RES!$J$5:$J$226,0)-1,0),0)</f>
        <v>0</v>
      </c>
      <c r="AA450" s="9">
        <f ca="1">IFERROR(OFFSET(ITEM_RES!$A$5,MATCH(BUILDING!Z450,ITEM_RES!$J$5:$J$226,0)-1,0),0)</f>
        <v>0</v>
      </c>
      <c r="AC450" s="9" t="s">
        <v>528</v>
      </c>
      <c r="AD450" s="9">
        <v>6</v>
      </c>
      <c r="AF450" s="11">
        <f ca="1">IFERROR(OFFSET(MANOR_LEVEL!$B$1,MATCH(AG450-1,MANOR_LEVEL!$A:$A,0)-1,0),0)</f>
        <v>444</v>
      </c>
      <c r="AG450" s="56">
        <v>2</v>
      </c>
      <c r="AI450" s="56">
        <f t="shared" ca="1" si="138"/>
        <v>100</v>
      </c>
      <c r="AJ450" s="10">
        <f ca="1">AO450+AQ450+(IFERROR(OFFSET(ITEM_RES!$S$1,MATCH(AU450,ITEM_RES!$A:$A,0)-1,0),0)*AW450+IFERROR(OFFSET(ITEM_RES!$S$1,MATCH(AZ450,ITEM_RES!$A:$A,0)-1,0),0)*BB450+IFERROR(OFFSET(ITEM_RES!$S$1,MATCH(BE450,ITEM_RES!$A:$A,0)-1,0),0)*BG450+IFERROR(OFFSET(ITEM_RES!$S$1,MATCH(BJ450,ITEM_RES!$A:$A,0)-1,0),0)*BL450+IFERROR(OFFSET(ITEM_RES!$S$1,MATCH(BO450,ITEM_RES!$A:$A,0)-1,0),0)*BQ450)/1000</f>
        <v>100.01</v>
      </c>
      <c r="AK450" s="183">
        <f t="shared" ca="1" si="140"/>
        <v>180</v>
      </c>
      <c r="AM450" s="11">
        <f t="shared" si="137"/>
        <v>30</v>
      </c>
      <c r="AN450" s="10">
        <v>30</v>
      </c>
      <c r="AO450" s="11">
        <f t="shared" ref="AO450:AQ513" si="144">ROUND(AP450,0)</f>
        <v>50</v>
      </c>
      <c r="AP450" s="10">
        <v>50</v>
      </c>
      <c r="AQ450" s="11">
        <f t="shared" si="144"/>
        <v>50</v>
      </c>
      <c r="AR450" s="10">
        <v>50</v>
      </c>
      <c r="AS450" s="56">
        <f t="shared" si="139"/>
        <v>1</v>
      </c>
      <c r="AU450" s="11">
        <f ca="1">IFERROR(OFFSET(ITEM_RES!$A$1,MATCH(AV450,ITEM_RES!$J:$J,0)-1,0),0)</f>
        <v>211020401</v>
      </c>
      <c r="AV450" s="10" t="s">
        <v>436</v>
      </c>
      <c r="AW450" s="11">
        <v>1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  <c r="BO450" s="11">
        <f ca="1">IFERROR(OFFSET(ITEM_RES!$A$1,MATCH(BP450,ITEM_RES!$J:$J,0)-1,0),0)</f>
        <v>0</v>
      </c>
    </row>
    <row r="451" spans="1:67" x14ac:dyDescent="0.3">
      <c r="A451" s="14">
        <f t="shared" si="141"/>
        <v>114010007</v>
      </c>
      <c r="B451" s="13">
        <v>11</v>
      </c>
      <c r="C451" s="12">
        <f t="shared" si="142"/>
        <v>4</v>
      </c>
      <c r="D451" s="13">
        <v>1</v>
      </c>
      <c r="E451" s="13">
        <v>0</v>
      </c>
      <c r="F451" s="12">
        <f t="shared" si="143"/>
        <v>7</v>
      </c>
      <c r="H451" s="9">
        <v>4</v>
      </c>
      <c r="I451" s="9">
        <v>7</v>
      </c>
      <c r="K451" s="9" t="s">
        <v>438</v>
      </c>
      <c r="O451" s="9">
        <v>1</v>
      </c>
      <c r="P451" s="9">
        <v>15</v>
      </c>
      <c r="Q451" s="142"/>
      <c r="U451" s="9" t="s">
        <v>718</v>
      </c>
      <c r="X451" s="9">
        <f ca="1">IFERROR(OFFSET(ITEM_RES!$A$5,MATCH(BUILDING!W451,ITEM_RES!$J$5:$J$226,0)-1,0),0)</f>
        <v>0</v>
      </c>
      <c r="AA451" s="9">
        <f ca="1">IFERROR(OFFSET(ITEM_RES!$A$5,MATCH(BUILDING!Z451,ITEM_RES!$J$5:$J$226,0)-1,0),0)</f>
        <v>0</v>
      </c>
      <c r="AC451" s="9" t="s">
        <v>528</v>
      </c>
      <c r="AD451" s="9">
        <v>7</v>
      </c>
      <c r="AF451" s="11">
        <f ca="1">IFERROR(OFFSET(MANOR_LEVEL!$B$1,MATCH(AG451-1,MANOR_LEVEL!$A:$A,0)-1,0),0)</f>
        <v>444</v>
      </c>
      <c r="AG451" s="56">
        <v>2</v>
      </c>
      <c r="AI451" s="56">
        <f t="shared" ca="1" si="138"/>
        <v>200</v>
      </c>
      <c r="AJ451" s="10">
        <f ca="1">AO451+AQ451+(IFERROR(OFFSET(ITEM_RES!$S$1,MATCH(AU451,ITEM_RES!$A:$A,0)-1,0),0)*AW451+IFERROR(OFFSET(ITEM_RES!$S$1,MATCH(AZ451,ITEM_RES!$A:$A,0)-1,0),0)*BB451+IFERROR(OFFSET(ITEM_RES!$S$1,MATCH(BE451,ITEM_RES!$A:$A,0)-1,0),0)*BG451+IFERROR(OFFSET(ITEM_RES!$S$1,MATCH(BJ451,ITEM_RES!$A:$A,0)-1,0),0)*BL451+IFERROR(OFFSET(ITEM_RES!$S$1,MATCH(BO451,ITEM_RES!$A:$A,0)-1,0),0)*BQ451)/1000</f>
        <v>200.01</v>
      </c>
      <c r="AK451" s="183">
        <f t="shared" ca="1" si="140"/>
        <v>300</v>
      </c>
      <c r="AM451" s="11">
        <f t="shared" si="137"/>
        <v>35</v>
      </c>
      <c r="AN451" s="10">
        <v>35</v>
      </c>
      <c r="AO451" s="11">
        <f t="shared" si="144"/>
        <v>100</v>
      </c>
      <c r="AP451" s="10">
        <v>100</v>
      </c>
      <c r="AQ451" s="11">
        <f t="shared" si="144"/>
        <v>100</v>
      </c>
      <c r="AR451" s="10">
        <v>100</v>
      </c>
      <c r="AS451" s="56">
        <f t="shared" si="139"/>
        <v>1</v>
      </c>
      <c r="AU451" s="11">
        <f ca="1">IFERROR(OFFSET(ITEM_RES!$A$1,MATCH(AV451,ITEM_RES!$J:$J,0)-1,0),0)</f>
        <v>211020401</v>
      </c>
      <c r="AV451" s="10" t="s">
        <v>436</v>
      </c>
      <c r="AW451" s="11">
        <v>1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  <c r="BO451" s="11">
        <f ca="1">IFERROR(OFFSET(ITEM_RES!$A$1,MATCH(BP451,ITEM_RES!$J:$J,0)-1,0),0)</f>
        <v>0</v>
      </c>
    </row>
    <row r="452" spans="1:67" x14ac:dyDescent="0.3">
      <c r="A452" s="14">
        <f t="shared" si="141"/>
        <v>114010008</v>
      </c>
      <c r="B452" s="13">
        <v>11</v>
      </c>
      <c r="C452" s="12">
        <f t="shared" si="142"/>
        <v>4</v>
      </c>
      <c r="D452" s="13">
        <v>1</v>
      </c>
      <c r="E452" s="13">
        <v>0</v>
      </c>
      <c r="F452" s="12">
        <f t="shared" si="143"/>
        <v>8</v>
      </c>
      <c r="H452" s="9">
        <v>4</v>
      </c>
      <c r="I452" s="9">
        <v>8</v>
      </c>
      <c r="K452" s="9" t="s">
        <v>372</v>
      </c>
      <c r="O452" s="9">
        <v>1</v>
      </c>
      <c r="P452" s="9">
        <v>15</v>
      </c>
      <c r="Q452" s="142"/>
      <c r="U452" s="9" t="s">
        <v>719</v>
      </c>
      <c r="X452" s="9">
        <f ca="1">IFERROR(OFFSET(ITEM_RES!$A$5,MATCH(BUILDING!W452,ITEM_RES!$J$5:$J$226,0)-1,0),0)</f>
        <v>0</v>
      </c>
      <c r="AA452" s="9">
        <f ca="1">IFERROR(OFFSET(ITEM_RES!$A$5,MATCH(BUILDING!Z452,ITEM_RES!$J$5:$J$226,0)-1,0),0)</f>
        <v>0</v>
      </c>
      <c r="AC452" s="9" t="s">
        <v>528</v>
      </c>
      <c r="AD452" s="9">
        <v>8</v>
      </c>
      <c r="AF452" s="11">
        <f ca="1">IFERROR(OFFSET(MANOR_LEVEL!$B$1,MATCH(AG452-1,MANOR_LEVEL!$A:$A,0)-1,0),0)</f>
        <v>528</v>
      </c>
      <c r="AG452" s="56">
        <v>3</v>
      </c>
      <c r="AI452" s="56">
        <f t="shared" ca="1" si="138"/>
        <v>200</v>
      </c>
      <c r="AJ452" s="10">
        <f ca="1">AO452+AQ452+(IFERROR(OFFSET(ITEM_RES!$S$1,MATCH(AU452,ITEM_RES!$A:$A,0)-1,0),0)*AW452+IFERROR(OFFSET(ITEM_RES!$S$1,MATCH(AZ452,ITEM_RES!$A:$A,0)-1,0),0)*BB452+IFERROR(OFFSET(ITEM_RES!$S$1,MATCH(BE452,ITEM_RES!$A:$A,0)-1,0),0)*BG452+IFERROR(OFFSET(ITEM_RES!$S$1,MATCH(BJ452,ITEM_RES!$A:$A,0)-1,0),0)*BL452+IFERROR(OFFSET(ITEM_RES!$S$1,MATCH(BO452,ITEM_RES!$A:$A,0)-1,0),0)*BQ452)/1000</f>
        <v>200.2</v>
      </c>
      <c r="AK452" s="183">
        <f t="shared" ca="1" si="140"/>
        <v>400</v>
      </c>
      <c r="AM452" s="11">
        <f t="shared" si="137"/>
        <v>40</v>
      </c>
      <c r="AN452" s="10">
        <v>40</v>
      </c>
      <c r="AO452" s="11">
        <f t="shared" si="144"/>
        <v>100</v>
      </c>
      <c r="AP452" s="10">
        <v>100</v>
      </c>
      <c r="AQ452" s="11">
        <f t="shared" si="144"/>
        <v>100</v>
      </c>
      <c r="AR452" s="10">
        <v>100</v>
      </c>
      <c r="AS452" s="56">
        <f t="shared" si="139"/>
        <v>1</v>
      </c>
      <c r="AU452" s="11">
        <f ca="1">IFERROR(OFFSET(ITEM_RES!$A$1,MATCH(AV452,ITEM_RES!$J:$J,0)-1,0),0)</f>
        <v>211020501</v>
      </c>
      <c r="AV452" s="10" t="s">
        <v>433</v>
      </c>
      <c r="AW452" s="11">
        <v>1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  <c r="BO452" s="11">
        <f ca="1">IFERROR(OFFSET(ITEM_RES!$A$1,MATCH(BP452,ITEM_RES!$J:$J,0)-1,0),0)</f>
        <v>0</v>
      </c>
    </row>
    <row r="453" spans="1:67" x14ac:dyDescent="0.3">
      <c r="A453" s="14">
        <f t="shared" si="141"/>
        <v>114010009</v>
      </c>
      <c r="B453" s="13">
        <v>11</v>
      </c>
      <c r="C453" s="12">
        <f t="shared" si="142"/>
        <v>4</v>
      </c>
      <c r="D453" s="13">
        <v>1</v>
      </c>
      <c r="E453" s="13">
        <v>0</v>
      </c>
      <c r="F453" s="12">
        <f t="shared" si="143"/>
        <v>9</v>
      </c>
      <c r="H453" s="9">
        <v>4</v>
      </c>
      <c r="I453" s="9">
        <v>9</v>
      </c>
      <c r="K453" s="9" t="s">
        <v>372</v>
      </c>
      <c r="O453" s="9">
        <v>1</v>
      </c>
      <c r="P453" s="9">
        <v>15</v>
      </c>
      <c r="Q453" s="142"/>
      <c r="U453" s="9" t="s">
        <v>719</v>
      </c>
      <c r="X453" s="9">
        <f ca="1">IFERROR(OFFSET(ITEM_RES!$A$5,MATCH(BUILDING!W453,ITEM_RES!$J$5:$J$226,0)-1,0),0)</f>
        <v>0</v>
      </c>
      <c r="AA453" s="9">
        <f ca="1">IFERROR(OFFSET(ITEM_RES!$A$5,MATCH(BUILDING!Z453,ITEM_RES!$J$5:$J$226,0)-1,0),0)</f>
        <v>0</v>
      </c>
      <c r="AC453" s="9" t="s">
        <v>528</v>
      </c>
      <c r="AD453" s="9">
        <v>9</v>
      </c>
      <c r="AF453" s="11">
        <f ca="1">IFERROR(OFFSET(MANOR_LEVEL!$B$1,MATCH(AG453-1,MANOR_LEVEL!$A:$A,0)-1,0),0)</f>
        <v>528</v>
      </c>
      <c r="AG453" s="56">
        <v>3</v>
      </c>
      <c r="AI453" s="56">
        <f t="shared" ca="1" si="138"/>
        <v>300</v>
      </c>
      <c r="AJ453" s="10">
        <f ca="1">AO453+AQ453+(IFERROR(OFFSET(ITEM_RES!$S$1,MATCH(AU453,ITEM_RES!$A:$A,0)-1,0),0)*AW453+IFERROR(OFFSET(ITEM_RES!$S$1,MATCH(AZ453,ITEM_RES!$A:$A,0)-1,0),0)*BB453+IFERROR(OFFSET(ITEM_RES!$S$1,MATCH(BE453,ITEM_RES!$A:$A,0)-1,0),0)*BG453+IFERROR(OFFSET(ITEM_RES!$S$1,MATCH(BJ453,ITEM_RES!$A:$A,0)-1,0),0)*BL453+IFERROR(OFFSET(ITEM_RES!$S$1,MATCH(BO453,ITEM_RES!$A:$A,0)-1,0),0)*BQ453)/1000</f>
        <v>300.2</v>
      </c>
      <c r="AK453" s="183">
        <f t="shared" ca="1" si="140"/>
        <v>500</v>
      </c>
      <c r="AM453" s="11">
        <f t="shared" si="137"/>
        <v>45</v>
      </c>
      <c r="AN453" s="10">
        <v>45</v>
      </c>
      <c r="AO453" s="11">
        <f t="shared" si="144"/>
        <v>150</v>
      </c>
      <c r="AP453" s="10">
        <v>150</v>
      </c>
      <c r="AQ453" s="11">
        <f t="shared" si="144"/>
        <v>150</v>
      </c>
      <c r="AR453" s="10">
        <v>150</v>
      </c>
      <c r="AS453" s="56">
        <f t="shared" si="139"/>
        <v>1</v>
      </c>
      <c r="AU453" s="11">
        <f ca="1">IFERROR(OFFSET(ITEM_RES!$A$1,MATCH(AV453,ITEM_RES!$J:$J,0)-1,0),0)</f>
        <v>211020501</v>
      </c>
      <c r="AV453" s="10" t="s">
        <v>433</v>
      </c>
      <c r="AW453" s="11">
        <v>1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  <c r="BO453" s="11">
        <f ca="1">IFERROR(OFFSET(ITEM_RES!$A$1,MATCH(BP453,ITEM_RES!$J:$J,0)-1,0),0)</f>
        <v>0</v>
      </c>
    </row>
    <row r="454" spans="1:67" x14ac:dyDescent="0.3">
      <c r="A454" s="14">
        <f t="shared" si="141"/>
        <v>114010010</v>
      </c>
      <c r="B454" s="13">
        <v>11</v>
      </c>
      <c r="C454" s="12">
        <f t="shared" si="142"/>
        <v>4</v>
      </c>
      <c r="D454" s="13">
        <v>1</v>
      </c>
      <c r="E454" s="13">
        <v>0</v>
      </c>
      <c r="F454" s="12">
        <f t="shared" si="143"/>
        <v>10</v>
      </c>
      <c r="H454" s="9">
        <v>4</v>
      </c>
      <c r="I454" s="9">
        <v>10</v>
      </c>
      <c r="K454" s="9" t="s">
        <v>372</v>
      </c>
      <c r="O454" s="9">
        <v>1</v>
      </c>
      <c r="P454" s="9">
        <v>15</v>
      </c>
      <c r="Q454" s="142"/>
      <c r="U454" s="9" t="s">
        <v>719</v>
      </c>
      <c r="X454" s="9">
        <f ca="1">IFERROR(OFFSET(ITEM_RES!$A$5,MATCH(BUILDING!W454,ITEM_RES!$J$5:$J$226,0)-1,0),0)</f>
        <v>0</v>
      </c>
      <c r="AA454" s="9">
        <f ca="1">IFERROR(OFFSET(ITEM_RES!$A$5,MATCH(BUILDING!Z454,ITEM_RES!$J$5:$J$226,0)-1,0),0)</f>
        <v>0</v>
      </c>
      <c r="AC454" s="9" t="s">
        <v>528</v>
      </c>
      <c r="AD454" s="9">
        <v>10</v>
      </c>
      <c r="AF454" s="11">
        <f ca="1">IFERROR(OFFSET(MANOR_LEVEL!$B$1,MATCH(AG454-1,MANOR_LEVEL!$A:$A,0)-1,0),0)</f>
        <v>528</v>
      </c>
      <c r="AG454" s="56">
        <v>3</v>
      </c>
      <c r="AI454" s="56">
        <f t="shared" ca="1" si="138"/>
        <v>400</v>
      </c>
      <c r="AJ454" s="10">
        <f ca="1">AO454+AQ454+(IFERROR(OFFSET(ITEM_RES!$S$1,MATCH(AU454,ITEM_RES!$A:$A,0)-1,0),0)*AW454+IFERROR(OFFSET(ITEM_RES!$S$1,MATCH(AZ454,ITEM_RES!$A:$A,0)-1,0),0)*BB454+IFERROR(OFFSET(ITEM_RES!$S$1,MATCH(BE454,ITEM_RES!$A:$A,0)-1,0),0)*BG454+IFERROR(OFFSET(ITEM_RES!$S$1,MATCH(BJ454,ITEM_RES!$A:$A,0)-1,0),0)*BL454+IFERROR(OFFSET(ITEM_RES!$S$1,MATCH(BO454,ITEM_RES!$A:$A,0)-1,0),0)*BQ454)/1000</f>
        <v>400.2</v>
      </c>
      <c r="AK454" s="183">
        <f t="shared" ca="1" si="140"/>
        <v>700</v>
      </c>
      <c r="AM454" s="11">
        <f t="shared" si="137"/>
        <v>50</v>
      </c>
      <c r="AN454" s="10">
        <v>50</v>
      </c>
      <c r="AO454" s="11">
        <f t="shared" si="144"/>
        <v>200</v>
      </c>
      <c r="AP454" s="10">
        <v>200</v>
      </c>
      <c r="AQ454" s="11">
        <f t="shared" si="144"/>
        <v>200</v>
      </c>
      <c r="AR454" s="10">
        <v>200</v>
      </c>
      <c r="AS454" s="56">
        <f t="shared" si="139"/>
        <v>1</v>
      </c>
      <c r="AU454" s="11">
        <f ca="1">IFERROR(OFFSET(ITEM_RES!$A$1,MATCH(AV454,ITEM_RES!$J:$J,0)-1,0),0)</f>
        <v>211020501</v>
      </c>
      <c r="AV454" s="10" t="s">
        <v>433</v>
      </c>
      <c r="AW454" s="11">
        <v>1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0</v>
      </c>
      <c r="BJ454" s="11">
        <f ca="1">IFERROR(OFFSET(ITEM_RES!$A$1,MATCH(BK454,ITEM_RES!$J:$J,0)-1,0),0)</f>
        <v>0</v>
      </c>
      <c r="BO454" s="11">
        <f ca="1">IFERROR(OFFSET(ITEM_RES!$A$1,MATCH(BP454,ITEM_RES!$J:$J,0)-1,0),0)</f>
        <v>0</v>
      </c>
    </row>
    <row r="455" spans="1:67" x14ac:dyDescent="0.3">
      <c r="A455" s="14">
        <f t="shared" si="141"/>
        <v>114010011</v>
      </c>
      <c r="B455" s="13">
        <v>11</v>
      </c>
      <c r="C455" s="12">
        <f t="shared" si="142"/>
        <v>4</v>
      </c>
      <c r="D455" s="13">
        <v>1</v>
      </c>
      <c r="E455" s="13">
        <v>0</v>
      </c>
      <c r="F455" s="12">
        <f t="shared" si="143"/>
        <v>11</v>
      </c>
      <c r="H455" s="9">
        <v>4</v>
      </c>
      <c r="I455" s="9">
        <v>11</v>
      </c>
      <c r="K455" s="9" t="s">
        <v>372</v>
      </c>
      <c r="O455" s="9">
        <v>1</v>
      </c>
      <c r="P455" s="9">
        <v>15</v>
      </c>
      <c r="Q455" s="142"/>
      <c r="U455" s="9" t="s">
        <v>719</v>
      </c>
      <c r="X455" s="9">
        <f ca="1">IFERROR(OFFSET(ITEM_RES!$A$5,MATCH(BUILDING!W455,ITEM_RES!$J$5:$J$226,0)-1,0),0)</f>
        <v>0</v>
      </c>
      <c r="AA455" s="9">
        <f ca="1">IFERROR(OFFSET(ITEM_RES!$A$5,MATCH(BUILDING!Z455,ITEM_RES!$J$5:$J$226,0)-1,0),0)</f>
        <v>0</v>
      </c>
      <c r="AC455" s="9" t="s">
        <v>528</v>
      </c>
      <c r="AD455" s="9">
        <v>11</v>
      </c>
      <c r="AF455" s="11">
        <f ca="1">IFERROR(OFFSET(MANOR_LEVEL!$B$1,MATCH(AG455-1,MANOR_LEVEL!$A:$A,0)-1,0),0)</f>
        <v>528</v>
      </c>
      <c r="AG455" s="56">
        <v>3</v>
      </c>
      <c r="AI455" s="56">
        <f t="shared" ca="1" si="138"/>
        <v>500</v>
      </c>
      <c r="AJ455" s="10">
        <f ca="1">AO455+AQ455+(IFERROR(OFFSET(ITEM_RES!$S$1,MATCH(AU455,ITEM_RES!$A:$A,0)-1,0),0)*AW455+IFERROR(OFFSET(ITEM_RES!$S$1,MATCH(AZ455,ITEM_RES!$A:$A,0)-1,0),0)*BB455+IFERROR(OFFSET(ITEM_RES!$S$1,MATCH(BE455,ITEM_RES!$A:$A,0)-1,0),0)*BG455+IFERROR(OFFSET(ITEM_RES!$S$1,MATCH(BJ455,ITEM_RES!$A:$A,0)-1,0),0)*BL455+IFERROR(OFFSET(ITEM_RES!$S$1,MATCH(BO455,ITEM_RES!$A:$A,0)-1,0),0)*BQ455)/1000</f>
        <v>500.2</v>
      </c>
      <c r="AK455" s="183">
        <f t="shared" ca="1" si="140"/>
        <v>900</v>
      </c>
      <c r="AM455" s="11">
        <f t="shared" si="137"/>
        <v>55</v>
      </c>
      <c r="AN455" s="10">
        <v>55</v>
      </c>
      <c r="AO455" s="11">
        <f t="shared" si="144"/>
        <v>250</v>
      </c>
      <c r="AP455" s="10">
        <v>250</v>
      </c>
      <c r="AQ455" s="11">
        <f t="shared" si="144"/>
        <v>250</v>
      </c>
      <c r="AR455" s="10">
        <v>250</v>
      </c>
      <c r="AS455" s="56">
        <f t="shared" si="139"/>
        <v>1</v>
      </c>
      <c r="AU455" s="11">
        <f ca="1">IFERROR(OFFSET(ITEM_RES!$A$1,MATCH(AV455,ITEM_RES!$J:$J,0)-1,0),0)</f>
        <v>211020501</v>
      </c>
      <c r="AV455" s="10" t="s">
        <v>433</v>
      </c>
      <c r="AW455" s="11">
        <v>1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  <c r="BO455" s="11">
        <f ca="1">IFERROR(OFFSET(ITEM_RES!$A$1,MATCH(BP455,ITEM_RES!$J:$J,0)-1,0),0)</f>
        <v>0</v>
      </c>
    </row>
    <row r="456" spans="1:67" x14ac:dyDescent="0.3">
      <c r="A456" s="14">
        <f t="shared" si="141"/>
        <v>114010012</v>
      </c>
      <c r="B456" s="13">
        <v>11</v>
      </c>
      <c r="C456" s="12">
        <f t="shared" si="142"/>
        <v>4</v>
      </c>
      <c r="D456" s="13">
        <v>1</v>
      </c>
      <c r="E456" s="13">
        <v>0</v>
      </c>
      <c r="F456" s="12">
        <f t="shared" si="143"/>
        <v>12</v>
      </c>
      <c r="H456" s="9">
        <v>4</v>
      </c>
      <c r="I456" s="9">
        <v>12</v>
      </c>
      <c r="K456" s="9" t="s">
        <v>372</v>
      </c>
      <c r="O456" s="9">
        <v>1</v>
      </c>
      <c r="P456" s="9">
        <v>15</v>
      </c>
      <c r="Q456" s="142"/>
      <c r="U456" s="9" t="s">
        <v>719</v>
      </c>
      <c r="X456" s="9">
        <f ca="1">IFERROR(OFFSET(ITEM_RES!$A$5,MATCH(BUILDING!W456,ITEM_RES!$J$5:$J$226,0)-1,0),0)</f>
        <v>0</v>
      </c>
      <c r="AA456" s="9">
        <f ca="1">IFERROR(OFFSET(ITEM_RES!$A$5,MATCH(BUILDING!Z456,ITEM_RES!$J$5:$J$226,0)-1,0),0)</f>
        <v>0</v>
      </c>
      <c r="AC456" s="9" t="s">
        <v>528</v>
      </c>
      <c r="AD456" s="9">
        <v>12</v>
      </c>
      <c r="AF456" s="11">
        <f ca="1">IFERROR(OFFSET(MANOR_LEVEL!$B$1,MATCH(AG456-1,MANOR_LEVEL!$A:$A,0)-1,0),0)</f>
        <v>800</v>
      </c>
      <c r="AG456" s="56">
        <v>4</v>
      </c>
      <c r="AI456" s="56">
        <f t="shared" ca="1" si="138"/>
        <v>600</v>
      </c>
      <c r="AJ456" s="10">
        <f ca="1">AO456+AQ456+(IFERROR(OFFSET(ITEM_RES!$S$1,MATCH(AU456,ITEM_RES!$A:$A,0)-1,0),0)*AW456+IFERROR(OFFSET(ITEM_RES!$S$1,MATCH(AZ456,ITEM_RES!$A:$A,0)-1,0),0)*BB456+IFERROR(OFFSET(ITEM_RES!$S$1,MATCH(BE456,ITEM_RES!$A:$A,0)-1,0),0)*BG456+IFERROR(OFFSET(ITEM_RES!$S$1,MATCH(BJ456,ITEM_RES!$A:$A,0)-1,0),0)*BL456+IFERROR(OFFSET(ITEM_RES!$S$1,MATCH(BO456,ITEM_RES!$A:$A,0)-1,0),0)*BQ456)/1000</f>
        <v>600.20000000000005</v>
      </c>
      <c r="AK456" s="183">
        <f t="shared" ca="1" si="140"/>
        <v>1100</v>
      </c>
      <c r="AM456" s="11">
        <f t="shared" si="137"/>
        <v>60</v>
      </c>
      <c r="AN456" s="10">
        <v>60</v>
      </c>
      <c r="AO456" s="11">
        <f t="shared" si="144"/>
        <v>300</v>
      </c>
      <c r="AP456" s="10">
        <v>300</v>
      </c>
      <c r="AQ456" s="11">
        <f t="shared" si="144"/>
        <v>300</v>
      </c>
      <c r="AR456" s="10">
        <v>300</v>
      </c>
      <c r="AS456" s="56">
        <f t="shared" si="139"/>
        <v>1</v>
      </c>
      <c r="AU456" s="11">
        <f ca="1">IFERROR(OFFSET(ITEM_RES!$A$1,MATCH(AV456,ITEM_RES!$J:$J,0)-1,0),0)</f>
        <v>211020501</v>
      </c>
      <c r="AV456" s="10" t="s">
        <v>433</v>
      </c>
      <c r="AW456" s="11">
        <v>1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0</v>
      </c>
      <c r="BJ456" s="11">
        <f ca="1">IFERROR(OFFSET(ITEM_RES!$A$1,MATCH(BK456,ITEM_RES!$J:$J,0)-1,0),0)</f>
        <v>0</v>
      </c>
      <c r="BO456" s="11">
        <f ca="1">IFERROR(OFFSET(ITEM_RES!$A$1,MATCH(BP456,ITEM_RES!$J:$J,0)-1,0),0)</f>
        <v>0</v>
      </c>
    </row>
    <row r="457" spans="1:67" x14ac:dyDescent="0.3">
      <c r="A457" s="14">
        <f t="shared" si="141"/>
        <v>114010013</v>
      </c>
      <c r="B457" s="13">
        <v>11</v>
      </c>
      <c r="C457" s="12">
        <f t="shared" si="142"/>
        <v>4</v>
      </c>
      <c r="D457" s="13">
        <v>1</v>
      </c>
      <c r="E457" s="13">
        <v>0</v>
      </c>
      <c r="F457" s="12">
        <f t="shared" si="143"/>
        <v>13</v>
      </c>
      <c r="H457" s="9">
        <v>4</v>
      </c>
      <c r="I457" s="9">
        <v>13</v>
      </c>
      <c r="K457" s="9" t="s">
        <v>372</v>
      </c>
      <c r="O457" s="9">
        <v>1</v>
      </c>
      <c r="P457" s="9">
        <v>15</v>
      </c>
      <c r="Q457" s="142"/>
      <c r="U457" s="9" t="s">
        <v>719</v>
      </c>
      <c r="X457" s="9">
        <f ca="1">IFERROR(OFFSET(ITEM_RES!$A$5,MATCH(BUILDING!W457,ITEM_RES!$J$5:$J$226,0)-1,0),0)</f>
        <v>0</v>
      </c>
      <c r="AA457" s="9">
        <f ca="1">IFERROR(OFFSET(ITEM_RES!$A$5,MATCH(BUILDING!Z457,ITEM_RES!$J$5:$J$226,0)-1,0),0)</f>
        <v>0</v>
      </c>
      <c r="AC457" s="9" t="s">
        <v>528</v>
      </c>
      <c r="AD457" s="9">
        <v>13</v>
      </c>
      <c r="AF457" s="11">
        <f ca="1">IFERROR(OFFSET(MANOR_LEVEL!$B$1,MATCH(AG457-1,MANOR_LEVEL!$A:$A,0)-1,0),0)</f>
        <v>800</v>
      </c>
      <c r="AG457" s="56">
        <v>4</v>
      </c>
      <c r="AI457" s="56">
        <f t="shared" ca="1" si="138"/>
        <v>1200</v>
      </c>
      <c r="AJ457" s="10">
        <f ca="1">AO457+AQ457+(IFERROR(OFFSET(ITEM_RES!$S$1,MATCH(AU457,ITEM_RES!$A:$A,0)-1,0),0)*AW457+IFERROR(OFFSET(ITEM_RES!$S$1,MATCH(AZ457,ITEM_RES!$A:$A,0)-1,0),0)*BB457+IFERROR(OFFSET(ITEM_RES!$S$1,MATCH(BE457,ITEM_RES!$A:$A,0)-1,0),0)*BG457+IFERROR(OFFSET(ITEM_RES!$S$1,MATCH(BJ457,ITEM_RES!$A:$A,0)-1,0),0)*BL457+IFERROR(OFFSET(ITEM_RES!$S$1,MATCH(BO457,ITEM_RES!$A:$A,0)-1,0),0)*BQ457)/1000</f>
        <v>1200.2</v>
      </c>
      <c r="AK457" s="183">
        <f t="shared" ca="1" si="140"/>
        <v>1800</v>
      </c>
      <c r="AM457" s="11">
        <f t="shared" si="137"/>
        <v>65</v>
      </c>
      <c r="AN457" s="10">
        <v>65</v>
      </c>
      <c r="AO457" s="11">
        <f t="shared" si="144"/>
        <v>350</v>
      </c>
      <c r="AP457" s="10">
        <v>350</v>
      </c>
      <c r="AQ457" s="11">
        <f t="shared" si="144"/>
        <v>350</v>
      </c>
      <c r="AR457" s="10">
        <v>350</v>
      </c>
      <c r="AS457" s="56">
        <f t="shared" si="139"/>
        <v>2</v>
      </c>
      <c r="AU457" s="11">
        <f ca="1">IFERROR(OFFSET(ITEM_RES!$A$1,MATCH(AV457,ITEM_RES!$J:$J,0)-1,0),0)</f>
        <v>211020501</v>
      </c>
      <c r="AV457" s="10" t="s">
        <v>433</v>
      </c>
      <c r="AW457" s="11">
        <v>1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213011301</v>
      </c>
      <c r="BK457" s="10" t="s">
        <v>470</v>
      </c>
      <c r="BL457" s="11">
        <v>1</v>
      </c>
      <c r="BO457" s="11">
        <f ca="1">IFERROR(OFFSET(ITEM_RES!$A$1,MATCH(BP457,ITEM_RES!$J:$J,0)-1,0),0)</f>
        <v>0</v>
      </c>
    </row>
    <row r="458" spans="1:67" x14ac:dyDescent="0.3">
      <c r="A458" s="14">
        <f t="shared" si="141"/>
        <v>114010014</v>
      </c>
      <c r="B458" s="13">
        <v>11</v>
      </c>
      <c r="C458" s="12">
        <f t="shared" si="142"/>
        <v>4</v>
      </c>
      <c r="D458" s="13">
        <v>1</v>
      </c>
      <c r="E458" s="13">
        <v>0</v>
      </c>
      <c r="F458" s="12">
        <f t="shared" si="143"/>
        <v>14</v>
      </c>
      <c r="H458" s="9">
        <v>4</v>
      </c>
      <c r="I458" s="9">
        <v>14</v>
      </c>
      <c r="K458" s="9" t="s">
        <v>372</v>
      </c>
      <c r="O458" s="9">
        <v>1</v>
      </c>
      <c r="P458" s="9">
        <v>15</v>
      </c>
      <c r="Q458" s="142"/>
      <c r="U458" s="9" t="s">
        <v>719</v>
      </c>
      <c r="X458" s="9">
        <f ca="1">IFERROR(OFFSET(ITEM_RES!$A$5,MATCH(BUILDING!W458,ITEM_RES!$J$5:$J$226,0)-1,0),0)</f>
        <v>0</v>
      </c>
      <c r="AA458" s="9">
        <f ca="1">IFERROR(OFFSET(ITEM_RES!$A$5,MATCH(BUILDING!Z458,ITEM_RES!$J$5:$J$226,0)-1,0),0)</f>
        <v>0</v>
      </c>
      <c r="AC458" s="9" t="s">
        <v>528</v>
      </c>
      <c r="AD458" s="9">
        <v>14</v>
      </c>
      <c r="AF458" s="11">
        <f ca="1">IFERROR(OFFSET(MANOR_LEVEL!$B$1,MATCH(AG458-1,MANOR_LEVEL!$A:$A,0)-1,0),0)</f>
        <v>800</v>
      </c>
      <c r="AG458" s="56">
        <v>4</v>
      </c>
      <c r="AI458" s="56">
        <f t="shared" ca="1" si="138"/>
        <v>900</v>
      </c>
      <c r="AJ458" s="10">
        <f ca="1">AO458+AQ458+(IFERROR(OFFSET(ITEM_RES!$S$1,MATCH(AU458,ITEM_RES!$A:$A,0)-1,0),0)*AW458+IFERROR(OFFSET(ITEM_RES!$S$1,MATCH(AZ458,ITEM_RES!$A:$A,0)-1,0),0)*BB458+IFERROR(OFFSET(ITEM_RES!$S$1,MATCH(BE458,ITEM_RES!$A:$A,0)-1,0),0)*BG458+IFERROR(OFFSET(ITEM_RES!$S$1,MATCH(BJ458,ITEM_RES!$A:$A,0)-1,0),0)*BL458+IFERROR(OFFSET(ITEM_RES!$S$1,MATCH(BO458,ITEM_RES!$A:$A,0)-1,0),0)*BQ458)/1000</f>
        <v>900.2</v>
      </c>
      <c r="AK458" s="183">
        <f t="shared" ca="1" si="140"/>
        <v>2100</v>
      </c>
      <c r="AM458" s="11">
        <f t="shared" si="137"/>
        <v>70</v>
      </c>
      <c r="AN458" s="10">
        <v>70</v>
      </c>
      <c r="AO458" s="11">
        <f t="shared" si="144"/>
        <v>450</v>
      </c>
      <c r="AP458" s="10">
        <v>450</v>
      </c>
      <c r="AQ458" s="11">
        <f t="shared" si="144"/>
        <v>450</v>
      </c>
      <c r="AR458" s="10">
        <v>450</v>
      </c>
      <c r="AS458" s="56">
        <f t="shared" si="139"/>
        <v>1</v>
      </c>
      <c r="AU458" s="11">
        <f ca="1">IFERROR(OFFSET(ITEM_RES!$A$1,MATCH(AV458,ITEM_RES!$J:$J,0)-1,0),0)</f>
        <v>211020501</v>
      </c>
      <c r="AV458" s="10" t="s">
        <v>433</v>
      </c>
      <c r="AW458" s="11">
        <v>1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  <c r="BO458" s="11">
        <f ca="1">IFERROR(OFFSET(ITEM_RES!$A$1,MATCH(BP458,ITEM_RES!$J:$J,0)-1,0),0)</f>
        <v>0</v>
      </c>
    </row>
    <row r="459" spans="1:67" x14ac:dyDescent="0.3">
      <c r="A459" s="14">
        <f t="shared" si="141"/>
        <v>114010015</v>
      </c>
      <c r="B459" s="13">
        <v>11</v>
      </c>
      <c r="C459" s="12">
        <f t="shared" si="142"/>
        <v>4</v>
      </c>
      <c r="D459" s="13">
        <v>1</v>
      </c>
      <c r="E459" s="13">
        <v>0</v>
      </c>
      <c r="F459" s="12">
        <f t="shared" si="143"/>
        <v>15</v>
      </c>
      <c r="H459" s="9">
        <v>4</v>
      </c>
      <c r="I459" s="9">
        <v>15</v>
      </c>
      <c r="K459" s="9" t="s">
        <v>372</v>
      </c>
      <c r="O459" s="9">
        <v>1</v>
      </c>
      <c r="P459" s="9">
        <v>15</v>
      </c>
      <c r="Q459" s="142"/>
      <c r="U459" s="9" t="s">
        <v>719</v>
      </c>
      <c r="X459" s="9">
        <f ca="1">IFERROR(OFFSET(ITEM_RES!$A$5,MATCH(BUILDING!W459,ITEM_RES!$J$5:$J$226,0)-1,0),0)</f>
        <v>0</v>
      </c>
      <c r="AA459" s="9">
        <f ca="1">IFERROR(OFFSET(ITEM_RES!$A$5,MATCH(BUILDING!Z459,ITEM_RES!$J$5:$J$226,0)-1,0),0)</f>
        <v>0</v>
      </c>
      <c r="AC459" s="9" t="s">
        <v>528</v>
      </c>
      <c r="AD459" s="9">
        <v>15</v>
      </c>
      <c r="AF459" s="11">
        <f ca="1">IFERROR(OFFSET(MANOR_LEVEL!$B$1,MATCH(AG459-1,MANOR_LEVEL!$A:$A,0)-1,0),0)</f>
        <v>1500</v>
      </c>
      <c r="AG459" s="56">
        <v>5</v>
      </c>
      <c r="AI459" s="56">
        <f t="shared" ca="1" si="138"/>
        <v>1100</v>
      </c>
      <c r="AJ459" s="10">
        <f ca="1">AO459+AQ459+(IFERROR(OFFSET(ITEM_RES!$S$1,MATCH(AU459,ITEM_RES!$A:$A,0)-1,0),0)*AW459+IFERROR(OFFSET(ITEM_RES!$S$1,MATCH(AZ459,ITEM_RES!$A:$A,0)-1,0),0)*BB459+IFERROR(OFFSET(ITEM_RES!$S$1,MATCH(BE459,ITEM_RES!$A:$A,0)-1,0),0)*BG459+IFERROR(OFFSET(ITEM_RES!$S$1,MATCH(BJ459,ITEM_RES!$A:$A,0)-1,0),0)*BL459+IFERROR(OFFSET(ITEM_RES!$S$1,MATCH(BO459,ITEM_RES!$A:$A,0)-1,0),0)*BQ459)/1000</f>
        <v>1100.2</v>
      </c>
      <c r="AK459" s="183">
        <f t="shared" ca="1" si="140"/>
        <v>2000</v>
      </c>
      <c r="AM459" s="11">
        <f t="shared" si="137"/>
        <v>75</v>
      </c>
      <c r="AN459" s="10">
        <v>75</v>
      </c>
      <c r="AO459" s="11">
        <f t="shared" si="144"/>
        <v>550</v>
      </c>
      <c r="AP459" s="10">
        <v>550</v>
      </c>
      <c r="AQ459" s="11">
        <f t="shared" si="144"/>
        <v>550</v>
      </c>
      <c r="AR459" s="10">
        <v>550</v>
      </c>
      <c r="AS459" s="56">
        <f t="shared" si="139"/>
        <v>1</v>
      </c>
      <c r="AU459" s="11">
        <f ca="1">IFERROR(OFFSET(ITEM_RES!$A$1,MATCH(AV459,ITEM_RES!$J:$J,0)-1,0),0)</f>
        <v>211020501</v>
      </c>
      <c r="AV459" s="10" t="s">
        <v>433</v>
      </c>
      <c r="AW459" s="11">
        <v>1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  <c r="BO459" s="11">
        <f ca="1">IFERROR(OFFSET(ITEM_RES!$A$1,MATCH(BP459,ITEM_RES!$J:$J,0)-1,0),0)</f>
        <v>0</v>
      </c>
    </row>
    <row r="460" spans="1:67" x14ac:dyDescent="0.3">
      <c r="A460" s="14">
        <f t="shared" si="141"/>
        <v>114010016</v>
      </c>
      <c r="B460" s="13">
        <v>11</v>
      </c>
      <c r="C460" s="12">
        <f t="shared" si="142"/>
        <v>4</v>
      </c>
      <c r="D460" s="13">
        <v>1</v>
      </c>
      <c r="E460" s="13">
        <v>0</v>
      </c>
      <c r="F460" s="12">
        <f t="shared" si="143"/>
        <v>16</v>
      </c>
      <c r="H460" s="9">
        <v>4</v>
      </c>
      <c r="I460" s="9">
        <v>16</v>
      </c>
      <c r="K460" s="9" t="s">
        <v>372</v>
      </c>
      <c r="O460" s="9">
        <v>0</v>
      </c>
      <c r="P460" s="9">
        <v>15</v>
      </c>
      <c r="Q460" s="142"/>
      <c r="U460" s="9" t="s">
        <v>719</v>
      </c>
      <c r="X460" s="9">
        <f ca="1">IFERROR(OFFSET(ITEM_RES!$A$5,MATCH(BUILDING!W460,ITEM_RES!$J$5:$J$226,0)-1,0),0)</f>
        <v>0</v>
      </c>
      <c r="AA460" s="9">
        <f ca="1">IFERROR(OFFSET(ITEM_RES!$A$5,MATCH(BUILDING!Z460,ITEM_RES!$J$5:$J$226,0)-1,0),0)</f>
        <v>0</v>
      </c>
      <c r="AC460" s="9" t="s">
        <v>528</v>
      </c>
      <c r="AD460" s="9">
        <v>16</v>
      </c>
      <c r="AF460" s="11">
        <f ca="1">IFERROR(OFFSET(MANOR_LEVEL!$B$1,MATCH(AG460-1,MANOR_LEVEL!$A:$A,0)-1,0),0)</f>
        <v>1500</v>
      </c>
      <c r="AG460" s="56">
        <v>5</v>
      </c>
      <c r="AI460" s="56">
        <f t="shared" ca="1" si="138"/>
        <v>1400</v>
      </c>
      <c r="AJ460" s="10">
        <f ca="1">AO460+AQ460+(IFERROR(OFFSET(ITEM_RES!$S$1,MATCH(AU460,ITEM_RES!$A:$A,0)-1,0),0)*AW460+IFERROR(OFFSET(ITEM_RES!$S$1,MATCH(AZ460,ITEM_RES!$A:$A,0)-1,0),0)*BB460+IFERROR(OFFSET(ITEM_RES!$S$1,MATCH(BE460,ITEM_RES!$A:$A,0)-1,0),0)*BG460+IFERROR(OFFSET(ITEM_RES!$S$1,MATCH(BJ460,ITEM_RES!$A:$A,0)-1,0),0)*BL460+IFERROR(OFFSET(ITEM_RES!$S$1,MATCH(BO460,ITEM_RES!$A:$A,0)-1,0),0)*BQ460)/1000</f>
        <v>1400.2</v>
      </c>
      <c r="AK460" s="183">
        <f t="shared" ca="1" si="140"/>
        <v>2500</v>
      </c>
      <c r="AM460" s="11">
        <f t="shared" si="137"/>
        <v>80</v>
      </c>
      <c r="AN460" s="10">
        <v>80</v>
      </c>
      <c r="AO460" s="11">
        <f t="shared" si="144"/>
        <v>700</v>
      </c>
      <c r="AP460" s="10">
        <v>700</v>
      </c>
      <c r="AQ460" s="11">
        <f t="shared" si="144"/>
        <v>700</v>
      </c>
      <c r="AR460" s="10">
        <v>700</v>
      </c>
      <c r="AS460" s="56">
        <f t="shared" si="139"/>
        <v>1</v>
      </c>
      <c r="AU460" s="11">
        <f ca="1">IFERROR(OFFSET(ITEM_RES!$A$1,MATCH(AV460,ITEM_RES!$J:$J,0)-1,0),0)</f>
        <v>211020501</v>
      </c>
      <c r="AV460" s="10" t="s">
        <v>433</v>
      </c>
      <c r="AW460" s="11">
        <v>1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  <c r="BO460" s="11">
        <f ca="1">IFERROR(OFFSET(ITEM_RES!$A$1,MATCH(BP460,ITEM_RES!$J:$J,0)-1,0),0)</f>
        <v>0</v>
      </c>
    </row>
    <row r="461" spans="1:67" x14ac:dyDescent="0.3">
      <c r="A461" s="14">
        <f t="shared" si="141"/>
        <v>114010017</v>
      </c>
      <c r="B461" s="13">
        <v>11</v>
      </c>
      <c r="C461" s="12">
        <f t="shared" si="142"/>
        <v>4</v>
      </c>
      <c r="D461" s="13">
        <v>1</v>
      </c>
      <c r="E461" s="13">
        <v>0</v>
      </c>
      <c r="F461" s="12">
        <f t="shared" si="143"/>
        <v>17</v>
      </c>
      <c r="H461" s="9">
        <v>4</v>
      </c>
      <c r="I461" s="9">
        <v>17</v>
      </c>
      <c r="K461" s="9" t="s">
        <v>372</v>
      </c>
      <c r="O461" s="9">
        <v>0</v>
      </c>
      <c r="P461" s="9">
        <v>15</v>
      </c>
      <c r="Q461" s="142"/>
      <c r="U461" s="9" t="s">
        <v>719</v>
      </c>
      <c r="X461" s="9">
        <f ca="1">IFERROR(OFFSET(ITEM_RES!$A$5,MATCH(BUILDING!W461,ITEM_RES!$J$5:$J$226,0)-1,0),0)</f>
        <v>0</v>
      </c>
      <c r="AA461" s="9">
        <f ca="1">IFERROR(OFFSET(ITEM_RES!$A$5,MATCH(BUILDING!Z461,ITEM_RES!$J$5:$J$226,0)-1,0),0)</f>
        <v>0</v>
      </c>
      <c r="AC461" s="9" t="s">
        <v>528</v>
      </c>
      <c r="AD461" s="9">
        <v>17</v>
      </c>
      <c r="AF461" s="11">
        <f ca="1">IFERROR(OFFSET(MANOR_LEVEL!$B$1,MATCH(AG461-1,MANOR_LEVEL!$A:$A,0)-1,0),0)</f>
        <v>3872</v>
      </c>
      <c r="AG461" s="56">
        <v>6</v>
      </c>
      <c r="AI461" s="56">
        <f t="shared" ca="1" si="138"/>
        <v>1700</v>
      </c>
      <c r="AJ461" s="10">
        <f ca="1">AO461+AQ461+(IFERROR(OFFSET(ITEM_RES!$S$1,MATCH(AU461,ITEM_RES!$A:$A,0)-1,0),0)*AW461+IFERROR(OFFSET(ITEM_RES!$S$1,MATCH(AZ461,ITEM_RES!$A:$A,0)-1,0),0)*BB461+IFERROR(OFFSET(ITEM_RES!$S$1,MATCH(BE461,ITEM_RES!$A:$A,0)-1,0),0)*BG461+IFERROR(OFFSET(ITEM_RES!$S$1,MATCH(BJ461,ITEM_RES!$A:$A,0)-1,0),0)*BL461+IFERROR(OFFSET(ITEM_RES!$S$1,MATCH(BO461,ITEM_RES!$A:$A,0)-1,0),0)*BQ461)/1000</f>
        <v>1700.2</v>
      </c>
      <c r="AK461" s="183">
        <f t="shared" ca="1" si="140"/>
        <v>3100</v>
      </c>
      <c r="AM461" s="11">
        <f t="shared" si="137"/>
        <v>85</v>
      </c>
      <c r="AN461" s="10">
        <v>85</v>
      </c>
      <c r="AO461" s="11">
        <f t="shared" si="144"/>
        <v>850</v>
      </c>
      <c r="AP461" s="10">
        <v>850</v>
      </c>
      <c r="AQ461" s="11">
        <f t="shared" si="144"/>
        <v>850</v>
      </c>
      <c r="AR461" s="10">
        <v>850</v>
      </c>
      <c r="AS461" s="56">
        <f t="shared" si="139"/>
        <v>1</v>
      </c>
      <c r="AU461" s="11">
        <f ca="1">IFERROR(OFFSET(ITEM_RES!$A$1,MATCH(AV461,ITEM_RES!$J:$J,0)-1,0),0)</f>
        <v>211020501</v>
      </c>
      <c r="AV461" s="10" t="s">
        <v>433</v>
      </c>
      <c r="AW461" s="11">
        <v>1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  <c r="BO461" s="11">
        <f ca="1">IFERROR(OFFSET(ITEM_RES!$A$1,MATCH(BP461,ITEM_RES!$J:$J,0)-1,0),0)</f>
        <v>0</v>
      </c>
    </row>
    <row r="462" spans="1:67" x14ac:dyDescent="0.3">
      <c r="A462" s="14">
        <f t="shared" si="141"/>
        <v>114010018</v>
      </c>
      <c r="B462" s="13">
        <v>11</v>
      </c>
      <c r="C462" s="12">
        <f t="shared" si="142"/>
        <v>4</v>
      </c>
      <c r="D462" s="13">
        <v>1</v>
      </c>
      <c r="E462" s="13">
        <v>0</v>
      </c>
      <c r="F462" s="12">
        <f t="shared" si="143"/>
        <v>18</v>
      </c>
      <c r="H462" s="9">
        <v>4</v>
      </c>
      <c r="I462" s="9">
        <v>18</v>
      </c>
      <c r="K462" s="9" t="s">
        <v>372</v>
      </c>
      <c r="O462" s="9">
        <v>0</v>
      </c>
      <c r="P462" s="9">
        <v>15</v>
      </c>
      <c r="Q462" s="142"/>
      <c r="U462" s="9" t="s">
        <v>719</v>
      </c>
      <c r="X462" s="9">
        <f ca="1">IFERROR(OFFSET(ITEM_RES!$A$5,MATCH(BUILDING!W462,ITEM_RES!$J$5:$J$226,0)-1,0),0)</f>
        <v>0</v>
      </c>
      <c r="AA462" s="9">
        <f ca="1">IFERROR(OFFSET(ITEM_RES!$A$5,MATCH(BUILDING!Z462,ITEM_RES!$J$5:$J$226,0)-1,0),0)</f>
        <v>0</v>
      </c>
      <c r="AC462" s="9" t="s">
        <v>528</v>
      </c>
      <c r="AD462" s="9">
        <v>18</v>
      </c>
      <c r="AF462" s="11">
        <f ca="1">IFERROR(OFFSET(MANOR_LEVEL!$B$1,MATCH(AG462-1,MANOR_LEVEL!$A:$A,0)-1,0),0)</f>
        <v>32640</v>
      </c>
      <c r="AG462" s="56">
        <v>7</v>
      </c>
      <c r="AI462" s="56">
        <f t="shared" ca="1" si="138"/>
        <v>2100</v>
      </c>
      <c r="AJ462" s="10">
        <f ca="1">AO462+AQ462+(IFERROR(OFFSET(ITEM_RES!$S$1,MATCH(AU462,ITEM_RES!$A:$A,0)-1,0),0)*AW462+IFERROR(OFFSET(ITEM_RES!$S$1,MATCH(AZ462,ITEM_RES!$A:$A,0)-1,0),0)*BB462+IFERROR(OFFSET(ITEM_RES!$S$1,MATCH(BE462,ITEM_RES!$A:$A,0)-1,0),0)*BG462+IFERROR(OFFSET(ITEM_RES!$S$1,MATCH(BJ462,ITEM_RES!$A:$A,0)-1,0),0)*BL462+IFERROR(OFFSET(ITEM_RES!$S$1,MATCH(BO462,ITEM_RES!$A:$A,0)-1,0),0)*BQ462)/1000</f>
        <v>2100.1999999999998</v>
      </c>
      <c r="AK462" s="183">
        <f t="shared" ca="1" si="140"/>
        <v>3800</v>
      </c>
      <c r="AM462" s="11">
        <f t="shared" si="137"/>
        <v>90</v>
      </c>
      <c r="AN462" s="10">
        <v>90</v>
      </c>
      <c r="AO462" s="11">
        <f t="shared" si="144"/>
        <v>1050</v>
      </c>
      <c r="AP462" s="10">
        <v>1050</v>
      </c>
      <c r="AQ462" s="11">
        <f t="shared" si="144"/>
        <v>1050</v>
      </c>
      <c r="AR462" s="10">
        <v>1050</v>
      </c>
      <c r="AS462" s="56">
        <f t="shared" si="139"/>
        <v>1</v>
      </c>
      <c r="AU462" s="11">
        <f ca="1">IFERROR(OFFSET(ITEM_RES!$A$1,MATCH(AV462,ITEM_RES!$J:$J,0)-1,0),0)</f>
        <v>211020501</v>
      </c>
      <c r="AV462" s="10" t="s">
        <v>433</v>
      </c>
      <c r="AW462" s="11">
        <v>1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  <c r="BO462" s="11">
        <f ca="1">IFERROR(OFFSET(ITEM_RES!$A$1,MATCH(BP462,ITEM_RES!$J:$J,0)-1,0),0)</f>
        <v>0</v>
      </c>
    </row>
    <row r="463" spans="1:67" x14ac:dyDescent="0.3">
      <c r="A463" s="14">
        <f t="shared" si="141"/>
        <v>114010019</v>
      </c>
      <c r="B463" s="13">
        <v>11</v>
      </c>
      <c r="C463" s="12">
        <f t="shared" si="142"/>
        <v>4</v>
      </c>
      <c r="D463" s="13">
        <v>1</v>
      </c>
      <c r="E463" s="13">
        <v>0</v>
      </c>
      <c r="F463" s="12">
        <f t="shared" si="143"/>
        <v>19</v>
      </c>
      <c r="H463" s="9">
        <v>4</v>
      </c>
      <c r="I463" s="9">
        <v>19</v>
      </c>
      <c r="K463" s="9" t="s">
        <v>372</v>
      </c>
      <c r="O463" s="9">
        <v>0</v>
      </c>
      <c r="P463" s="9">
        <v>15</v>
      </c>
      <c r="Q463" s="142"/>
      <c r="U463" s="9" t="s">
        <v>719</v>
      </c>
      <c r="X463" s="9">
        <f ca="1">IFERROR(OFFSET(ITEM_RES!$A$5,MATCH(BUILDING!W463,ITEM_RES!$J$5:$J$226,0)-1,0),0)</f>
        <v>0</v>
      </c>
      <c r="AA463" s="9">
        <f ca="1">IFERROR(OFFSET(ITEM_RES!$A$5,MATCH(BUILDING!Z463,ITEM_RES!$J$5:$J$226,0)-1,0),0)</f>
        <v>0</v>
      </c>
      <c r="AC463" s="9" t="s">
        <v>528</v>
      </c>
      <c r="AD463" s="9">
        <v>19</v>
      </c>
      <c r="AF463" s="11">
        <f ca="1">IFERROR(OFFSET(MANOR_LEVEL!$B$1,MATCH(AG463-1,MANOR_LEVEL!$A:$A,0)-1,0),0)</f>
        <v>32640</v>
      </c>
      <c r="AG463" s="56">
        <v>7</v>
      </c>
      <c r="AI463" s="56">
        <f t="shared" ca="1" si="138"/>
        <v>2500</v>
      </c>
      <c r="AJ463" s="10">
        <f ca="1">AO463+AQ463+(IFERROR(OFFSET(ITEM_RES!$S$1,MATCH(AU463,ITEM_RES!$A:$A,0)-1,0),0)*AW463+IFERROR(OFFSET(ITEM_RES!$S$1,MATCH(AZ463,ITEM_RES!$A:$A,0)-1,0),0)*BB463+IFERROR(OFFSET(ITEM_RES!$S$1,MATCH(BE463,ITEM_RES!$A:$A,0)-1,0),0)*BG463+IFERROR(OFFSET(ITEM_RES!$S$1,MATCH(BJ463,ITEM_RES!$A:$A,0)-1,0),0)*BL463+IFERROR(OFFSET(ITEM_RES!$S$1,MATCH(BO463,ITEM_RES!$A:$A,0)-1,0),0)*BQ463)/1000</f>
        <v>2500.1999999999998</v>
      </c>
      <c r="AK463" s="183">
        <f t="shared" ca="1" si="140"/>
        <v>4600</v>
      </c>
      <c r="AM463" s="11">
        <f t="shared" si="137"/>
        <v>95</v>
      </c>
      <c r="AN463" s="10">
        <v>95</v>
      </c>
      <c r="AO463" s="11">
        <f t="shared" si="144"/>
        <v>1250</v>
      </c>
      <c r="AP463" s="10">
        <v>1250</v>
      </c>
      <c r="AQ463" s="11">
        <f t="shared" si="144"/>
        <v>1250</v>
      </c>
      <c r="AR463" s="10">
        <v>1250</v>
      </c>
      <c r="AS463" s="56">
        <f t="shared" si="139"/>
        <v>1</v>
      </c>
      <c r="AU463" s="11">
        <f ca="1">IFERROR(OFFSET(ITEM_RES!$A$1,MATCH(AV463,ITEM_RES!$J:$J,0)-1,0),0)</f>
        <v>211020501</v>
      </c>
      <c r="AV463" s="10" t="s">
        <v>433</v>
      </c>
      <c r="AW463" s="11">
        <v>1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  <c r="BO463" s="11">
        <f ca="1">IFERROR(OFFSET(ITEM_RES!$A$1,MATCH(BP463,ITEM_RES!$J:$J,0)-1,0),0)</f>
        <v>0</v>
      </c>
    </row>
    <row r="464" spans="1:67" ht="17.25" thickBot="1" x14ac:dyDescent="0.35">
      <c r="A464" s="14">
        <f t="shared" si="141"/>
        <v>114010020</v>
      </c>
      <c r="B464" s="13">
        <v>11</v>
      </c>
      <c r="C464" s="12">
        <f t="shared" si="142"/>
        <v>4</v>
      </c>
      <c r="D464" s="13">
        <v>1</v>
      </c>
      <c r="E464" s="13">
        <v>0</v>
      </c>
      <c r="F464" s="12">
        <f t="shared" si="143"/>
        <v>20</v>
      </c>
      <c r="H464" s="9">
        <v>4</v>
      </c>
      <c r="I464" s="9">
        <v>20</v>
      </c>
      <c r="K464" s="9" t="s">
        <v>372</v>
      </c>
      <c r="O464" s="9">
        <v>0</v>
      </c>
      <c r="P464" s="9">
        <v>15</v>
      </c>
      <c r="Q464" s="142"/>
      <c r="U464" s="9" t="s">
        <v>719</v>
      </c>
      <c r="X464" s="9">
        <f ca="1">IFERROR(OFFSET(ITEM_RES!$A$5,MATCH(BUILDING!W464,ITEM_RES!$J$5:$J$226,0)-1,0),0)</f>
        <v>0</v>
      </c>
      <c r="AA464" s="9">
        <f ca="1">IFERROR(OFFSET(ITEM_RES!$A$5,MATCH(BUILDING!Z464,ITEM_RES!$J$5:$J$226,0)-1,0),0)</f>
        <v>0</v>
      </c>
      <c r="AC464" s="9" t="s">
        <v>528</v>
      </c>
      <c r="AD464" s="9">
        <v>20</v>
      </c>
      <c r="AF464" s="11">
        <f ca="1">IFERROR(OFFSET(MANOR_LEVEL!$B$1,MATCH(AG464-1,MANOR_LEVEL!$A:$A,0)-1,0),0)</f>
        <v>32640</v>
      </c>
      <c r="AG464" s="56">
        <v>7</v>
      </c>
      <c r="AI464" s="56">
        <f t="shared" ca="1" si="138"/>
        <v>3000</v>
      </c>
      <c r="AJ464" s="10">
        <f ca="1">AO464+AQ464+(IFERROR(OFFSET(ITEM_RES!$S$1,MATCH(AU464,ITEM_RES!$A:$A,0)-1,0),0)*AW464+IFERROR(OFFSET(ITEM_RES!$S$1,MATCH(AZ464,ITEM_RES!$A:$A,0)-1,0),0)*BB464+IFERROR(OFFSET(ITEM_RES!$S$1,MATCH(BE464,ITEM_RES!$A:$A,0)-1,0),0)*BG464+IFERROR(OFFSET(ITEM_RES!$S$1,MATCH(BJ464,ITEM_RES!$A:$A,0)-1,0),0)*BL464+IFERROR(OFFSET(ITEM_RES!$S$1,MATCH(BO464,ITEM_RES!$A:$A,0)-1,0),0)*BQ464)/1000</f>
        <v>3000.2</v>
      </c>
      <c r="AK464" s="183">
        <f t="shared" ca="1" si="140"/>
        <v>5500</v>
      </c>
      <c r="AM464" s="11">
        <f t="shared" si="137"/>
        <v>100</v>
      </c>
      <c r="AN464" s="10">
        <v>100</v>
      </c>
      <c r="AO464" s="11">
        <f t="shared" si="144"/>
        <v>1500</v>
      </c>
      <c r="AP464" s="10">
        <v>1500</v>
      </c>
      <c r="AQ464" s="11">
        <f t="shared" si="144"/>
        <v>1500</v>
      </c>
      <c r="AR464" s="10">
        <v>1500</v>
      </c>
      <c r="AS464" s="56">
        <f t="shared" si="139"/>
        <v>1</v>
      </c>
      <c r="AU464" s="11">
        <f ca="1">IFERROR(OFFSET(ITEM_RES!$A$1,MATCH(AV464,ITEM_RES!$J:$J,0)-1,0),0)</f>
        <v>211020501</v>
      </c>
      <c r="AV464" s="10" t="s">
        <v>433</v>
      </c>
      <c r="AW464" s="11">
        <v>1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  <c r="BO464" s="11">
        <f ca="1">IFERROR(OFFSET(ITEM_RES!$A$1,MATCH(BP464,ITEM_RES!$J:$J,0)-1,0),0)</f>
        <v>0</v>
      </c>
    </row>
    <row r="465" spans="1:70" s="15" customFormat="1" x14ac:dyDescent="0.3">
      <c r="A465" s="21">
        <f t="shared" si="141"/>
        <v>114020001</v>
      </c>
      <c r="B465" s="20">
        <v>11</v>
      </c>
      <c r="C465" s="19">
        <f t="shared" si="142"/>
        <v>4</v>
      </c>
      <c r="D465" s="20">
        <v>2</v>
      </c>
      <c r="E465" s="20">
        <v>0</v>
      </c>
      <c r="F465" s="19">
        <f t="shared" si="143"/>
        <v>1</v>
      </c>
      <c r="G465" s="79"/>
      <c r="H465" s="16">
        <v>4</v>
      </c>
      <c r="I465" s="16">
        <v>1</v>
      </c>
      <c r="J465" s="79"/>
      <c r="K465" s="16" t="s">
        <v>375</v>
      </c>
      <c r="L465" s="16">
        <v>1</v>
      </c>
      <c r="M465" s="16"/>
      <c r="N465" s="16"/>
      <c r="O465" s="16">
        <v>1</v>
      </c>
      <c r="P465" s="16">
        <v>15</v>
      </c>
      <c r="Q465" s="16" t="s">
        <v>779</v>
      </c>
      <c r="R465" s="17"/>
      <c r="S465" s="17"/>
      <c r="T465" s="18"/>
      <c r="U465" s="16" t="s">
        <v>720</v>
      </c>
      <c r="V465" s="79"/>
      <c r="W465" s="87"/>
      <c r="X465" s="16">
        <f ca="1">IFERROR(OFFSET(ITEM_RES!$A$5,MATCH(BUILDING!W465,ITEM_RES!$J$5:$J$226,0)-1,0),0)</f>
        <v>0</v>
      </c>
      <c r="Y465" s="18"/>
      <c r="Z465" s="87"/>
      <c r="AA465" s="16">
        <f ca="1">IFERROR(OFFSET(ITEM_RES!$A$5,MATCH(BUILDING!Z465,ITEM_RES!$J$5:$J$226,0)-1,0),0)</f>
        <v>0</v>
      </c>
      <c r="AB465" s="79"/>
      <c r="AC465" s="16" t="s">
        <v>529</v>
      </c>
      <c r="AD465" s="16">
        <v>1</v>
      </c>
      <c r="AE465" s="79"/>
      <c r="AF465" s="18">
        <f ca="1">IFERROR(OFFSET(MANOR_LEVEL!$B$1,MATCH(AG465-1,MANOR_LEVEL!$A:$A,0)-1,0),0)</f>
        <v>0</v>
      </c>
      <c r="AG465" s="57">
        <v>1</v>
      </c>
      <c r="AH465" s="79"/>
      <c r="AI465" s="57">
        <f t="shared" ca="1" si="138"/>
        <v>110</v>
      </c>
      <c r="AJ465" s="17">
        <f ca="1">AO465+AQ465+(IFERROR(OFFSET(ITEM_RES!$S$1,MATCH(AU465,ITEM_RES!$A:$A,0)-1,0),0)*AW465+IFERROR(OFFSET(ITEM_RES!$S$1,MATCH(AZ465,ITEM_RES!$A:$A,0)-1,0),0)*BB465+IFERROR(OFFSET(ITEM_RES!$S$1,MATCH(BE465,ITEM_RES!$A:$A,0)-1,0),0)*BG465+IFERROR(OFFSET(ITEM_RES!$S$1,MATCH(BJ465,ITEM_RES!$A:$A,0)-1,0),0)*BL465+IFERROR(OFFSET(ITEM_RES!$S$1,MATCH(BO465,ITEM_RES!$A:$A,0)-1,0),0)*BQ465)/1000</f>
        <v>110.11</v>
      </c>
      <c r="AK465" s="185">
        <f ca="1">AI465</f>
        <v>110</v>
      </c>
      <c r="AL465" s="79"/>
      <c r="AM465" s="18">
        <f t="shared" si="137"/>
        <v>5</v>
      </c>
      <c r="AN465" s="17">
        <v>5</v>
      </c>
      <c r="AO465" s="18">
        <f t="shared" si="144"/>
        <v>5</v>
      </c>
      <c r="AP465" s="17">
        <v>5</v>
      </c>
      <c r="AQ465" s="18">
        <f t="shared" si="144"/>
        <v>5</v>
      </c>
      <c r="AR465" s="17">
        <v>5</v>
      </c>
      <c r="AS465" s="57">
        <f t="shared" si="139"/>
        <v>3</v>
      </c>
      <c r="AT465" s="18"/>
      <c r="AU465" s="18">
        <f ca="1">IFERROR(OFFSET(ITEM_RES!$A$1,MATCH(AV465,ITEM_RES!$J:$J,0)-1,0),0)</f>
        <v>211020801</v>
      </c>
      <c r="AV465" s="17" t="s">
        <v>437</v>
      </c>
      <c r="AW465" s="18">
        <v>1</v>
      </c>
      <c r="AX465" s="17"/>
      <c r="AY465" s="18"/>
      <c r="AZ465" s="18">
        <f ca="1">IFERROR(OFFSET(ITEM_RES!$A$1,MATCH(BA465,ITEM_RES!$J:$J,0)-1,0),0)</f>
        <v>211020401</v>
      </c>
      <c r="BA465" s="17" t="s">
        <v>1222</v>
      </c>
      <c r="BB465" s="18">
        <v>1</v>
      </c>
      <c r="BC465" s="17"/>
      <c r="BD465" s="18"/>
      <c r="BE465" s="18">
        <f ca="1">IFERROR(OFFSET(ITEM_RES!$A$1,MATCH(BF465,ITEM_RES!$J:$J,0)-1,0),0)</f>
        <v>213010101</v>
      </c>
      <c r="BF465" s="17" t="s">
        <v>452</v>
      </c>
      <c r="BG465" s="18">
        <v>1</v>
      </c>
      <c r="BH465" s="17"/>
      <c r="BI465" s="18"/>
      <c r="BJ465" s="18">
        <f ca="1">IFERROR(OFFSET(ITEM_RES!$A$1,MATCH(BK465,ITEM_RES!$J:$J,0)-1,0),0)</f>
        <v>0</v>
      </c>
      <c r="BK465" s="17"/>
      <c r="BL465" s="18"/>
      <c r="BM465" s="17"/>
      <c r="BN465" s="18"/>
      <c r="BO465" s="18">
        <f ca="1">IFERROR(OFFSET(ITEM_RES!$A$1,MATCH(BP465,ITEM_RES!$J:$J,0)-1,0),0)</f>
        <v>0</v>
      </c>
      <c r="BP465" s="17"/>
      <c r="BQ465" s="18"/>
      <c r="BR465" s="17"/>
    </row>
    <row r="466" spans="1:70" x14ac:dyDescent="0.3">
      <c r="A466" s="14">
        <f t="shared" si="141"/>
        <v>114020002</v>
      </c>
      <c r="B466" s="13">
        <v>11</v>
      </c>
      <c r="C466" s="12">
        <f t="shared" si="142"/>
        <v>4</v>
      </c>
      <c r="D466" s="13">
        <v>2</v>
      </c>
      <c r="E466" s="13">
        <v>0</v>
      </c>
      <c r="F466" s="12">
        <f t="shared" si="143"/>
        <v>2</v>
      </c>
      <c r="H466" s="9">
        <v>4</v>
      </c>
      <c r="I466" s="9">
        <v>2</v>
      </c>
      <c r="K466" s="9" t="s">
        <v>375</v>
      </c>
      <c r="O466" s="9">
        <v>1</v>
      </c>
      <c r="P466" s="9">
        <v>15</v>
      </c>
      <c r="Q466" s="9" t="s">
        <v>779</v>
      </c>
      <c r="U466" s="9" t="s">
        <v>720</v>
      </c>
      <c r="X466" s="9">
        <f ca="1">IFERROR(OFFSET(ITEM_RES!$A$5,MATCH(BUILDING!W466,ITEM_RES!$J$5:$J$226,0)-1,0),0)</f>
        <v>0</v>
      </c>
      <c r="AA466" s="9">
        <f ca="1">IFERROR(OFFSET(ITEM_RES!$A$5,MATCH(BUILDING!Z466,ITEM_RES!$J$5:$J$226,0)-1,0),0)</f>
        <v>0</v>
      </c>
      <c r="AC466" s="9" t="s">
        <v>529</v>
      </c>
      <c r="AD466" s="9">
        <v>2</v>
      </c>
      <c r="AF466" s="11">
        <f ca="1">IFERROR(OFFSET(MANOR_LEVEL!$B$1,MATCH(AG466-1,MANOR_LEVEL!$A:$A,0)-1,0),0)</f>
        <v>0</v>
      </c>
      <c r="AG466" s="56">
        <v>1</v>
      </c>
      <c r="AI466" s="56">
        <f t="shared" ca="1" si="138"/>
        <v>20</v>
      </c>
      <c r="AJ466" s="10">
        <f ca="1">AO466+AQ466+(IFERROR(OFFSET(ITEM_RES!$S$1,MATCH(AU466,ITEM_RES!$A:$A,0)-1,0),0)*AW466+IFERROR(OFFSET(ITEM_RES!$S$1,MATCH(AZ466,ITEM_RES!$A:$A,0)-1,0),0)*BB466+IFERROR(OFFSET(ITEM_RES!$S$1,MATCH(BE466,ITEM_RES!$A:$A,0)-1,0),0)*BG466+IFERROR(OFFSET(ITEM_RES!$S$1,MATCH(BJ466,ITEM_RES!$A:$A,0)-1,0),0)*BL466+IFERROR(OFFSET(ITEM_RES!$S$1,MATCH(BO466,ITEM_RES!$A:$A,0)-1,0),0)*BQ466)/1000</f>
        <v>20.11</v>
      </c>
      <c r="AK466" s="183">
        <f ca="1">AI465+AI466</f>
        <v>130</v>
      </c>
      <c r="AM466" s="11">
        <f t="shared" si="137"/>
        <v>10</v>
      </c>
      <c r="AN466" s="10">
        <v>10</v>
      </c>
      <c r="AO466" s="11">
        <f t="shared" si="144"/>
        <v>10</v>
      </c>
      <c r="AP466" s="10">
        <v>10</v>
      </c>
      <c r="AQ466" s="11">
        <f t="shared" si="144"/>
        <v>10</v>
      </c>
      <c r="AR466" s="10">
        <v>10</v>
      </c>
      <c r="AS466" s="56">
        <f t="shared" si="139"/>
        <v>2</v>
      </c>
      <c r="AU466" s="11">
        <f ca="1">IFERROR(OFFSET(ITEM_RES!$A$1,MATCH(AV466,ITEM_RES!$J:$J,0)-1,0),0)</f>
        <v>211020801</v>
      </c>
      <c r="AV466" s="10" t="s">
        <v>437</v>
      </c>
      <c r="AW466" s="11">
        <v>1</v>
      </c>
      <c r="AZ466" s="11">
        <f ca="1">IFERROR(OFFSET(ITEM_RES!$A$1,MATCH(BA466,ITEM_RES!$J:$J,0)-1,0),0)</f>
        <v>211020401</v>
      </c>
      <c r="BA466" s="10" t="s">
        <v>1222</v>
      </c>
      <c r="BB466" s="11">
        <v>1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  <c r="BO466" s="11">
        <f ca="1">IFERROR(OFFSET(ITEM_RES!$A$1,MATCH(BP466,ITEM_RES!$J:$J,0)-1,0),0)</f>
        <v>0</v>
      </c>
    </row>
    <row r="467" spans="1:70" x14ac:dyDescent="0.3">
      <c r="A467" s="14">
        <f t="shared" si="141"/>
        <v>114020003</v>
      </c>
      <c r="B467" s="13">
        <v>11</v>
      </c>
      <c r="C467" s="12">
        <f t="shared" si="142"/>
        <v>4</v>
      </c>
      <c r="D467" s="13">
        <v>2</v>
      </c>
      <c r="E467" s="13">
        <v>0</v>
      </c>
      <c r="F467" s="12">
        <f t="shared" si="143"/>
        <v>3</v>
      </c>
      <c r="H467" s="9">
        <v>4</v>
      </c>
      <c r="I467" s="9">
        <v>3</v>
      </c>
      <c r="K467" s="9" t="s">
        <v>375</v>
      </c>
      <c r="O467" s="9">
        <v>1</v>
      </c>
      <c r="P467" s="9">
        <v>15</v>
      </c>
      <c r="Q467" s="9" t="s">
        <v>779</v>
      </c>
      <c r="U467" s="9" t="s">
        <v>720</v>
      </c>
      <c r="X467" s="9">
        <f ca="1">IFERROR(OFFSET(ITEM_RES!$A$5,MATCH(BUILDING!W467,ITEM_RES!$J$5:$J$226,0)-1,0),0)</f>
        <v>0</v>
      </c>
      <c r="AA467" s="9">
        <f ca="1">IFERROR(OFFSET(ITEM_RES!$A$5,MATCH(BUILDING!Z467,ITEM_RES!$J$5:$J$226,0)-1,0),0)</f>
        <v>0</v>
      </c>
      <c r="AC467" s="9" t="s">
        <v>529</v>
      </c>
      <c r="AD467" s="9">
        <v>3</v>
      </c>
      <c r="AF467" s="11">
        <f ca="1">IFERROR(OFFSET(MANOR_LEVEL!$B$1,MATCH(AG467-1,MANOR_LEVEL!$A:$A,0)-1,0),0)</f>
        <v>0</v>
      </c>
      <c r="AG467" s="56">
        <v>1</v>
      </c>
      <c r="AI467" s="56">
        <f t="shared" ca="1" si="138"/>
        <v>30</v>
      </c>
      <c r="AJ467" s="10">
        <f ca="1">AO467+AQ467+(IFERROR(OFFSET(ITEM_RES!$S$1,MATCH(AU467,ITEM_RES!$A:$A,0)-1,0),0)*AW467+IFERROR(OFFSET(ITEM_RES!$S$1,MATCH(AZ467,ITEM_RES!$A:$A,0)-1,0),0)*BB467+IFERROR(OFFSET(ITEM_RES!$S$1,MATCH(BE467,ITEM_RES!$A:$A,0)-1,0),0)*BG467+IFERROR(OFFSET(ITEM_RES!$S$1,MATCH(BJ467,ITEM_RES!$A:$A,0)-1,0),0)*BL467+IFERROR(OFFSET(ITEM_RES!$S$1,MATCH(BO467,ITEM_RES!$A:$A,0)-1,0),0)*BQ467)/1000</f>
        <v>30.11</v>
      </c>
      <c r="AK467" s="183">
        <f t="shared" ref="AK467:AK484" ca="1" si="145">AI466+AI467</f>
        <v>50</v>
      </c>
      <c r="AM467" s="11">
        <f t="shared" si="137"/>
        <v>15</v>
      </c>
      <c r="AN467" s="10">
        <v>15</v>
      </c>
      <c r="AO467" s="11">
        <f t="shared" si="144"/>
        <v>15</v>
      </c>
      <c r="AP467" s="10">
        <v>15</v>
      </c>
      <c r="AQ467" s="11">
        <f t="shared" si="144"/>
        <v>15</v>
      </c>
      <c r="AR467" s="10">
        <v>15</v>
      </c>
      <c r="AS467" s="56">
        <f t="shared" si="139"/>
        <v>2</v>
      </c>
      <c r="AU467" s="11">
        <f ca="1">IFERROR(OFFSET(ITEM_RES!$A$1,MATCH(AV467,ITEM_RES!$J:$J,0)-1,0),0)</f>
        <v>211020801</v>
      </c>
      <c r="AV467" s="10" t="s">
        <v>437</v>
      </c>
      <c r="AW467" s="11">
        <v>1</v>
      </c>
      <c r="AZ467" s="11">
        <f ca="1">IFERROR(OFFSET(ITEM_RES!$A$1,MATCH(BA467,ITEM_RES!$J:$J,0)-1,0),0)</f>
        <v>211020401</v>
      </c>
      <c r="BA467" s="10" t="s">
        <v>1222</v>
      </c>
      <c r="BB467" s="11">
        <v>1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  <c r="BO467" s="11">
        <f ca="1">IFERROR(OFFSET(ITEM_RES!$A$1,MATCH(BP467,ITEM_RES!$J:$J,0)-1,0),0)</f>
        <v>0</v>
      </c>
    </row>
    <row r="468" spans="1:70" x14ac:dyDescent="0.3">
      <c r="A468" s="14">
        <f t="shared" si="141"/>
        <v>114020004</v>
      </c>
      <c r="B468" s="13">
        <v>11</v>
      </c>
      <c r="C468" s="12">
        <f t="shared" si="142"/>
        <v>4</v>
      </c>
      <c r="D468" s="13">
        <v>2</v>
      </c>
      <c r="E468" s="13">
        <v>0</v>
      </c>
      <c r="F468" s="12">
        <f t="shared" si="143"/>
        <v>4</v>
      </c>
      <c r="H468" s="9">
        <v>4</v>
      </c>
      <c r="I468" s="9">
        <v>4</v>
      </c>
      <c r="K468" s="9" t="s">
        <v>375</v>
      </c>
      <c r="O468" s="9">
        <v>1</v>
      </c>
      <c r="P468" s="9">
        <v>15</v>
      </c>
      <c r="Q468" s="9" t="s">
        <v>779</v>
      </c>
      <c r="U468" s="9" t="s">
        <v>720</v>
      </c>
      <c r="X468" s="9">
        <f ca="1">IFERROR(OFFSET(ITEM_RES!$A$5,MATCH(BUILDING!W468,ITEM_RES!$J$5:$J$226,0)-1,0),0)</f>
        <v>0</v>
      </c>
      <c r="AA468" s="9">
        <f ca="1">IFERROR(OFFSET(ITEM_RES!$A$5,MATCH(BUILDING!Z468,ITEM_RES!$J$5:$J$226,0)-1,0),0)</f>
        <v>0</v>
      </c>
      <c r="AC468" s="9" t="s">
        <v>529</v>
      </c>
      <c r="AD468" s="9">
        <v>4</v>
      </c>
      <c r="AF468" s="11">
        <f ca="1">IFERROR(OFFSET(MANOR_LEVEL!$B$1,MATCH(AG468-1,MANOR_LEVEL!$A:$A,0)-1,0),0)</f>
        <v>0</v>
      </c>
      <c r="AG468" s="56">
        <v>1</v>
      </c>
      <c r="AI468" s="56">
        <f t="shared" ca="1" si="138"/>
        <v>50</v>
      </c>
      <c r="AJ468" s="10">
        <f ca="1">AO468+AQ468+(IFERROR(OFFSET(ITEM_RES!$S$1,MATCH(AU468,ITEM_RES!$A:$A,0)-1,0),0)*AW468+IFERROR(OFFSET(ITEM_RES!$S$1,MATCH(AZ468,ITEM_RES!$A:$A,0)-1,0),0)*BB468+IFERROR(OFFSET(ITEM_RES!$S$1,MATCH(BE468,ITEM_RES!$A:$A,0)-1,0),0)*BG468+IFERROR(OFFSET(ITEM_RES!$S$1,MATCH(BJ468,ITEM_RES!$A:$A,0)-1,0),0)*BL468+IFERROR(OFFSET(ITEM_RES!$S$1,MATCH(BO468,ITEM_RES!$A:$A,0)-1,0),0)*BQ468)/1000</f>
        <v>50.11</v>
      </c>
      <c r="AK468" s="183">
        <f t="shared" ca="1" si="145"/>
        <v>80</v>
      </c>
      <c r="AM468" s="11">
        <f t="shared" si="137"/>
        <v>20</v>
      </c>
      <c r="AN468" s="10">
        <v>20</v>
      </c>
      <c r="AO468" s="11">
        <f t="shared" si="144"/>
        <v>25</v>
      </c>
      <c r="AP468" s="10">
        <v>25</v>
      </c>
      <c r="AQ468" s="11">
        <f t="shared" si="144"/>
        <v>25</v>
      </c>
      <c r="AR468" s="10">
        <v>25</v>
      </c>
      <c r="AS468" s="56">
        <f t="shared" si="139"/>
        <v>2</v>
      </c>
      <c r="AU468" s="11">
        <f ca="1">IFERROR(OFFSET(ITEM_RES!$A$1,MATCH(AV468,ITEM_RES!$J:$J,0)-1,0),0)</f>
        <v>211020801</v>
      </c>
      <c r="AV468" s="10" t="s">
        <v>437</v>
      </c>
      <c r="AW468" s="11">
        <v>1</v>
      </c>
      <c r="AZ468" s="11">
        <f ca="1">IFERROR(OFFSET(ITEM_RES!$A$1,MATCH(BA468,ITEM_RES!$J:$J,0)-1,0),0)</f>
        <v>211020401</v>
      </c>
      <c r="BA468" s="10" t="s">
        <v>1222</v>
      </c>
      <c r="BB468" s="11">
        <v>1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  <c r="BO468" s="11">
        <f ca="1">IFERROR(OFFSET(ITEM_RES!$A$1,MATCH(BP468,ITEM_RES!$J:$J,0)-1,0),0)</f>
        <v>0</v>
      </c>
    </row>
    <row r="469" spans="1:70" x14ac:dyDescent="0.3">
      <c r="A469" s="14">
        <f t="shared" si="141"/>
        <v>114020005</v>
      </c>
      <c r="B469" s="13">
        <v>11</v>
      </c>
      <c r="C469" s="12">
        <f t="shared" si="142"/>
        <v>4</v>
      </c>
      <c r="D469" s="13">
        <v>2</v>
      </c>
      <c r="E469" s="13">
        <v>0</v>
      </c>
      <c r="F469" s="12">
        <f t="shared" si="143"/>
        <v>5</v>
      </c>
      <c r="H469" s="9">
        <v>4</v>
      </c>
      <c r="I469" s="9">
        <v>5</v>
      </c>
      <c r="K469" s="9" t="s">
        <v>375</v>
      </c>
      <c r="O469" s="9">
        <v>1</v>
      </c>
      <c r="P469" s="9">
        <v>15</v>
      </c>
      <c r="Q469" s="9" t="s">
        <v>779</v>
      </c>
      <c r="U469" s="9" t="s">
        <v>720</v>
      </c>
      <c r="X469" s="9">
        <f ca="1">IFERROR(OFFSET(ITEM_RES!$A$5,MATCH(BUILDING!W469,ITEM_RES!$J$5:$J$226,0)-1,0),0)</f>
        <v>0</v>
      </c>
      <c r="AA469" s="9">
        <f ca="1">IFERROR(OFFSET(ITEM_RES!$A$5,MATCH(BUILDING!Z469,ITEM_RES!$J$5:$J$226,0)-1,0),0)</f>
        <v>0</v>
      </c>
      <c r="AC469" s="9" t="s">
        <v>529</v>
      </c>
      <c r="AD469" s="9">
        <v>5</v>
      </c>
      <c r="AF469" s="11">
        <f ca="1">IFERROR(OFFSET(MANOR_LEVEL!$B$1,MATCH(AG469-1,MANOR_LEVEL!$A:$A,0)-1,0),0)</f>
        <v>0</v>
      </c>
      <c r="AG469" s="56">
        <v>1</v>
      </c>
      <c r="AI469" s="56">
        <f t="shared" ca="1" si="138"/>
        <v>80</v>
      </c>
      <c r="AJ469" s="10">
        <f ca="1">AO469+AQ469+(IFERROR(OFFSET(ITEM_RES!$S$1,MATCH(AU469,ITEM_RES!$A:$A,0)-1,0),0)*AW469+IFERROR(OFFSET(ITEM_RES!$S$1,MATCH(AZ469,ITEM_RES!$A:$A,0)-1,0),0)*BB469+IFERROR(OFFSET(ITEM_RES!$S$1,MATCH(BE469,ITEM_RES!$A:$A,0)-1,0),0)*BG469+IFERROR(OFFSET(ITEM_RES!$S$1,MATCH(BJ469,ITEM_RES!$A:$A,0)-1,0),0)*BL469+IFERROR(OFFSET(ITEM_RES!$S$1,MATCH(BO469,ITEM_RES!$A:$A,0)-1,0),0)*BQ469)/1000</f>
        <v>80.11</v>
      </c>
      <c r="AK469" s="183">
        <f t="shared" ca="1" si="145"/>
        <v>130</v>
      </c>
      <c r="AM469" s="11">
        <f t="shared" si="137"/>
        <v>25</v>
      </c>
      <c r="AN469" s="10">
        <v>25</v>
      </c>
      <c r="AO469" s="11">
        <f t="shared" si="144"/>
        <v>40</v>
      </c>
      <c r="AP469" s="10">
        <v>40</v>
      </c>
      <c r="AQ469" s="11">
        <f t="shared" si="144"/>
        <v>40</v>
      </c>
      <c r="AR469" s="10">
        <v>40</v>
      </c>
      <c r="AS469" s="56">
        <f t="shared" si="139"/>
        <v>2</v>
      </c>
      <c r="AU469" s="11">
        <f ca="1">IFERROR(OFFSET(ITEM_RES!$A$1,MATCH(AV469,ITEM_RES!$J:$J,0)-1,0),0)</f>
        <v>211020801</v>
      </c>
      <c r="AV469" s="10" t="s">
        <v>437</v>
      </c>
      <c r="AW469" s="11">
        <v>1</v>
      </c>
      <c r="AZ469" s="11">
        <f ca="1">IFERROR(OFFSET(ITEM_RES!$A$1,MATCH(BA469,ITEM_RES!$J:$J,0)-1,0),0)</f>
        <v>211020401</v>
      </c>
      <c r="BA469" s="10" t="s">
        <v>1222</v>
      </c>
      <c r="BB469" s="11">
        <v>1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  <c r="BO469" s="11">
        <f ca="1">IFERROR(OFFSET(ITEM_RES!$A$1,MATCH(BP469,ITEM_RES!$J:$J,0)-1,0),0)</f>
        <v>0</v>
      </c>
    </row>
    <row r="470" spans="1:70" x14ac:dyDescent="0.3">
      <c r="A470" s="14">
        <f t="shared" si="141"/>
        <v>114020006</v>
      </c>
      <c r="B470" s="13">
        <v>11</v>
      </c>
      <c r="C470" s="12">
        <f t="shared" si="142"/>
        <v>4</v>
      </c>
      <c r="D470" s="13">
        <v>2</v>
      </c>
      <c r="E470" s="13">
        <v>0</v>
      </c>
      <c r="F470" s="12">
        <f t="shared" si="143"/>
        <v>6</v>
      </c>
      <c r="H470" s="9">
        <v>4</v>
      </c>
      <c r="I470" s="9">
        <v>6</v>
      </c>
      <c r="K470" s="9" t="s">
        <v>375</v>
      </c>
      <c r="O470" s="9">
        <v>1</v>
      </c>
      <c r="P470" s="9">
        <v>15</v>
      </c>
      <c r="Q470" s="9" t="s">
        <v>779</v>
      </c>
      <c r="U470" s="9" t="s">
        <v>720</v>
      </c>
      <c r="X470" s="9">
        <f ca="1">IFERROR(OFFSET(ITEM_RES!$A$5,MATCH(BUILDING!W470,ITEM_RES!$J$5:$J$226,0)-1,0),0)</f>
        <v>0</v>
      </c>
      <c r="AA470" s="9">
        <f ca="1">IFERROR(OFFSET(ITEM_RES!$A$5,MATCH(BUILDING!Z470,ITEM_RES!$J$5:$J$226,0)-1,0),0)</f>
        <v>0</v>
      </c>
      <c r="AC470" s="9" t="s">
        <v>529</v>
      </c>
      <c r="AD470" s="9">
        <v>6</v>
      </c>
      <c r="AF470" s="11">
        <f ca="1">IFERROR(OFFSET(MANOR_LEVEL!$B$1,MATCH(AG470-1,MANOR_LEVEL!$A:$A,0)-1,0),0)</f>
        <v>528</v>
      </c>
      <c r="AG470" s="56">
        <v>3</v>
      </c>
      <c r="AI470" s="56">
        <f t="shared" ca="1" si="138"/>
        <v>100</v>
      </c>
      <c r="AJ470" s="10">
        <f ca="1">AO470+AQ470+(IFERROR(OFFSET(ITEM_RES!$S$1,MATCH(AU470,ITEM_RES!$A:$A,0)-1,0),0)*AW470+IFERROR(OFFSET(ITEM_RES!$S$1,MATCH(AZ470,ITEM_RES!$A:$A,0)-1,0),0)*BB470+IFERROR(OFFSET(ITEM_RES!$S$1,MATCH(BE470,ITEM_RES!$A:$A,0)-1,0),0)*BG470+IFERROR(OFFSET(ITEM_RES!$S$1,MATCH(BJ470,ITEM_RES!$A:$A,0)-1,0),0)*BL470+IFERROR(OFFSET(ITEM_RES!$S$1,MATCH(BO470,ITEM_RES!$A:$A,0)-1,0),0)*BQ470)/1000</f>
        <v>100.11</v>
      </c>
      <c r="AK470" s="183">
        <f t="shared" ca="1" si="145"/>
        <v>180</v>
      </c>
      <c r="AM470" s="11">
        <f t="shared" si="137"/>
        <v>30</v>
      </c>
      <c r="AN470" s="10">
        <v>30</v>
      </c>
      <c r="AO470" s="11">
        <f t="shared" si="144"/>
        <v>50</v>
      </c>
      <c r="AP470" s="10">
        <v>50</v>
      </c>
      <c r="AQ470" s="11">
        <f t="shared" si="144"/>
        <v>50</v>
      </c>
      <c r="AR470" s="10">
        <v>50</v>
      </c>
      <c r="AS470" s="56">
        <f t="shared" si="139"/>
        <v>2</v>
      </c>
      <c r="AU470" s="11">
        <f ca="1">IFERROR(OFFSET(ITEM_RES!$A$1,MATCH(AV470,ITEM_RES!$J:$J,0)-1,0),0)</f>
        <v>211020801</v>
      </c>
      <c r="AV470" s="10" t="s">
        <v>446</v>
      </c>
      <c r="AW470" s="11">
        <v>1</v>
      </c>
      <c r="AZ470" s="11">
        <f ca="1">IFERROR(OFFSET(ITEM_RES!$A$1,MATCH(BA470,ITEM_RES!$J:$J,0)-1,0),0)</f>
        <v>211020401</v>
      </c>
      <c r="BA470" s="10" t="s">
        <v>1222</v>
      </c>
      <c r="BB470" s="11">
        <v>1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  <c r="BO470" s="11">
        <f ca="1">IFERROR(OFFSET(ITEM_RES!$A$1,MATCH(BP470,ITEM_RES!$J:$J,0)-1,0),0)</f>
        <v>0</v>
      </c>
    </row>
    <row r="471" spans="1:70" x14ac:dyDescent="0.3">
      <c r="A471" s="14">
        <f t="shared" si="141"/>
        <v>114020007</v>
      </c>
      <c r="B471" s="13">
        <v>11</v>
      </c>
      <c r="C471" s="12">
        <f t="shared" si="142"/>
        <v>4</v>
      </c>
      <c r="D471" s="13">
        <v>2</v>
      </c>
      <c r="E471" s="13">
        <v>0</v>
      </c>
      <c r="F471" s="12">
        <f t="shared" si="143"/>
        <v>7</v>
      </c>
      <c r="H471" s="9">
        <v>4</v>
      </c>
      <c r="I471" s="9">
        <v>7</v>
      </c>
      <c r="K471" s="9" t="s">
        <v>375</v>
      </c>
      <c r="O471" s="9">
        <v>1</v>
      </c>
      <c r="P471" s="9">
        <v>15</v>
      </c>
      <c r="Q471" s="9" t="s">
        <v>779</v>
      </c>
      <c r="U471" s="9" t="s">
        <v>720</v>
      </c>
      <c r="X471" s="9">
        <f ca="1">IFERROR(OFFSET(ITEM_RES!$A$5,MATCH(BUILDING!W471,ITEM_RES!$J$5:$J$226,0)-1,0),0)</f>
        <v>0</v>
      </c>
      <c r="AA471" s="9">
        <f ca="1">IFERROR(OFFSET(ITEM_RES!$A$5,MATCH(BUILDING!Z471,ITEM_RES!$J$5:$J$226,0)-1,0),0)</f>
        <v>0</v>
      </c>
      <c r="AC471" s="9" t="s">
        <v>529</v>
      </c>
      <c r="AD471" s="9">
        <v>7</v>
      </c>
      <c r="AF471" s="11">
        <f ca="1">IFERROR(OFFSET(MANOR_LEVEL!$B$1,MATCH(AG471-1,MANOR_LEVEL!$A:$A,0)-1,0),0)</f>
        <v>800</v>
      </c>
      <c r="AG471" s="56">
        <v>4</v>
      </c>
      <c r="AI471" s="56">
        <f t="shared" ca="1" si="138"/>
        <v>200</v>
      </c>
      <c r="AJ471" s="10">
        <f ca="1">AO471+AQ471+(IFERROR(OFFSET(ITEM_RES!$S$1,MATCH(AU471,ITEM_RES!$A:$A,0)-1,0),0)*AW471+IFERROR(OFFSET(ITEM_RES!$S$1,MATCH(AZ471,ITEM_RES!$A:$A,0)-1,0),0)*BB471+IFERROR(OFFSET(ITEM_RES!$S$1,MATCH(BE471,ITEM_RES!$A:$A,0)-1,0),0)*BG471+IFERROR(OFFSET(ITEM_RES!$S$1,MATCH(BJ471,ITEM_RES!$A:$A,0)-1,0),0)*BL471+IFERROR(OFFSET(ITEM_RES!$S$1,MATCH(BO471,ITEM_RES!$A:$A,0)-1,0),0)*BQ471)/1000</f>
        <v>200.11</v>
      </c>
      <c r="AK471" s="183">
        <f t="shared" ca="1" si="145"/>
        <v>300</v>
      </c>
      <c r="AM471" s="11">
        <f t="shared" si="137"/>
        <v>35</v>
      </c>
      <c r="AN471" s="10">
        <v>35</v>
      </c>
      <c r="AO471" s="11">
        <f t="shared" si="144"/>
        <v>100</v>
      </c>
      <c r="AP471" s="10">
        <v>100</v>
      </c>
      <c r="AQ471" s="11">
        <f t="shared" si="144"/>
        <v>100</v>
      </c>
      <c r="AR471" s="10">
        <v>100</v>
      </c>
      <c r="AS471" s="56">
        <f t="shared" si="139"/>
        <v>2</v>
      </c>
      <c r="AU471" s="11">
        <f ca="1">IFERROR(OFFSET(ITEM_RES!$A$1,MATCH(AV471,ITEM_RES!$J:$J,0)-1,0),0)</f>
        <v>211020801</v>
      </c>
      <c r="AV471" s="10" t="s">
        <v>437</v>
      </c>
      <c r="AW471" s="11">
        <v>1</v>
      </c>
      <c r="AZ471" s="11">
        <f ca="1">IFERROR(OFFSET(ITEM_RES!$A$1,MATCH(BA471,ITEM_RES!$J:$J,0)-1,0),0)</f>
        <v>211020401</v>
      </c>
      <c r="BA471" s="10" t="s">
        <v>1222</v>
      </c>
      <c r="BB471" s="11">
        <v>1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  <c r="BO471" s="11">
        <f ca="1">IFERROR(OFFSET(ITEM_RES!$A$1,MATCH(BP471,ITEM_RES!$J:$J,0)-1,0),0)</f>
        <v>0</v>
      </c>
    </row>
    <row r="472" spans="1:70" x14ac:dyDescent="0.3">
      <c r="A472" s="14">
        <f t="shared" si="141"/>
        <v>114020008</v>
      </c>
      <c r="B472" s="13">
        <v>11</v>
      </c>
      <c r="C472" s="12">
        <f t="shared" si="142"/>
        <v>4</v>
      </c>
      <c r="D472" s="13">
        <v>2</v>
      </c>
      <c r="E472" s="13">
        <v>0</v>
      </c>
      <c r="F472" s="12">
        <f t="shared" si="143"/>
        <v>8</v>
      </c>
      <c r="H472" s="9">
        <v>4</v>
      </c>
      <c r="I472" s="9">
        <v>8</v>
      </c>
      <c r="K472" s="9" t="s">
        <v>375</v>
      </c>
      <c r="O472" s="9">
        <v>1</v>
      </c>
      <c r="P472" s="9">
        <v>15</v>
      </c>
      <c r="Q472" s="9" t="s">
        <v>779</v>
      </c>
      <c r="U472" s="9" t="s">
        <v>720</v>
      </c>
      <c r="X472" s="9">
        <f ca="1">IFERROR(OFFSET(ITEM_RES!$A$5,MATCH(BUILDING!W472,ITEM_RES!$J$5:$J$226,0)-1,0),0)</f>
        <v>0</v>
      </c>
      <c r="AA472" s="9">
        <f ca="1">IFERROR(OFFSET(ITEM_RES!$A$5,MATCH(BUILDING!Z472,ITEM_RES!$J$5:$J$226,0)-1,0),0)</f>
        <v>0</v>
      </c>
      <c r="AC472" s="9" t="s">
        <v>529</v>
      </c>
      <c r="AD472" s="9">
        <v>8</v>
      </c>
      <c r="AF472" s="11">
        <f ca="1">IFERROR(OFFSET(MANOR_LEVEL!$B$1,MATCH(AG472-1,MANOR_LEVEL!$A:$A,0)-1,0),0)</f>
        <v>1500</v>
      </c>
      <c r="AG472" s="56">
        <v>5</v>
      </c>
      <c r="AI472" s="56">
        <f t="shared" ca="1" si="138"/>
        <v>200</v>
      </c>
      <c r="AJ472" s="10">
        <f ca="1">AO472+AQ472+(IFERROR(OFFSET(ITEM_RES!$S$1,MATCH(AU472,ITEM_RES!$A:$A,0)-1,0),0)*AW472+IFERROR(OFFSET(ITEM_RES!$S$1,MATCH(AZ472,ITEM_RES!$A:$A,0)-1,0),0)*BB472+IFERROR(OFFSET(ITEM_RES!$S$1,MATCH(BE472,ITEM_RES!$A:$A,0)-1,0),0)*BG472+IFERROR(OFFSET(ITEM_RES!$S$1,MATCH(BJ472,ITEM_RES!$A:$A,0)-1,0),0)*BL472+IFERROR(OFFSET(ITEM_RES!$S$1,MATCH(BO472,ITEM_RES!$A:$A,0)-1,0),0)*BQ472)/1000</f>
        <v>200.11</v>
      </c>
      <c r="AK472" s="183">
        <f t="shared" ca="1" si="145"/>
        <v>400</v>
      </c>
      <c r="AM472" s="11">
        <f t="shared" si="137"/>
        <v>40</v>
      </c>
      <c r="AN472" s="10">
        <v>40</v>
      </c>
      <c r="AO472" s="11">
        <f t="shared" si="144"/>
        <v>100</v>
      </c>
      <c r="AP472" s="10">
        <v>100</v>
      </c>
      <c r="AQ472" s="11">
        <f t="shared" si="144"/>
        <v>100</v>
      </c>
      <c r="AR472" s="10">
        <v>100</v>
      </c>
      <c r="AS472" s="56">
        <f t="shared" si="139"/>
        <v>2</v>
      </c>
      <c r="AU472" s="11">
        <f ca="1">IFERROR(OFFSET(ITEM_RES!$A$1,MATCH(AV472,ITEM_RES!$J:$J,0)-1,0),0)</f>
        <v>211020801</v>
      </c>
      <c r="AV472" s="10" t="s">
        <v>437</v>
      </c>
      <c r="AW472" s="11">
        <v>1</v>
      </c>
      <c r="AZ472" s="11">
        <f ca="1">IFERROR(OFFSET(ITEM_RES!$A$1,MATCH(BA472,ITEM_RES!$J:$J,0)-1,0),0)</f>
        <v>211020401</v>
      </c>
      <c r="BA472" s="10" t="s">
        <v>1222</v>
      </c>
      <c r="BB472" s="11">
        <v>1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  <c r="BO472" s="11">
        <f ca="1">IFERROR(OFFSET(ITEM_RES!$A$1,MATCH(BP472,ITEM_RES!$J:$J,0)-1,0),0)</f>
        <v>0</v>
      </c>
    </row>
    <row r="473" spans="1:70" x14ac:dyDescent="0.3">
      <c r="A473" s="14">
        <f t="shared" si="141"/>
        <v>114020009</v>
      </c>
      <c r="B473" s="13">
        <v>11</v>
      </c>
      <c r="C473" s="12">
        <f t="shared" si="142"/>
        <v>4</v>
      </c>
      <c r="D473" s="13">
        <v>2</v>
      </c>
      <c r="E473" s="13">
        <v>0</v>
      </c>
      <c r="F473" s="12">
        <f t="shared" si="143"/>
        <v>9</v>
      </c>
      <c r="H473" s="9">
        <v>4</v>
      </c>
      <c r="I473" s="9">
        <v>9</v>
      </c>
      <c r="K473" s="9" t="s">
        <v>375</v>
      </c>
      <c r="O473" s="9">
        <v>1</v>
      </c>
      <c r="P473" s="9">
        <v>15</v>
      </c>
      <c r="Q473" s="56" t="s">
        <v>779</v>
      </c>
      <c r="U473" s="9" t="s">
        <v>720</v>
      </c>
      <c r="X473" s="9">
        <f ca="1">IFERROR(OFFSET(ITEM_RES!$A$5,MATCH(BUILDING!W473,ITEM_RES!$J$5:$J$226,0)-1,0),0)</f>
        <v>0</v>
      </c>
      <c r="AA473" s="9">
        <f ca="1">IFERROR(OFFSET(ITEM_RES!$A$5,MATCH(BUILDING!Z473,ITEM_RES!$J$5:$J$226,0)-1,0),0)</f>
        <v>0</v>
      </c>
      <c r="AC473" s="9" t="s">
        <v>529</v>
      </c>
      <c r="AD473" s="9">
        <v>9</v>
      </c>
      <c r="AF473" s="11">
        <f ca="1">IFERROR(OFFSET(MANOR_LEVEL!$B$1,MATCH(AG473-1,MANOR_LEVEL!$A:$A,0)-1,0),0)</f>
        <v>3872</v>
      </c>
      <c r="AG473" s="56">
        <v>6</v>
      </c>
      <c r="AI473" s="56">
        <f t="shared" ca="1" si="138"/>
        <v>300</v>
      </c>
      <c r="AJ473" s="10">
        <f ca="1">AO473+AQ473+(IFERROR(OFFSET(ITEM_RES!$S$1,MATCH(AU473,ITEM_RES!$A:$A,0)-1,0),0)*AW473+IFERROR(OFFSET(ITEM_RES!$S$1,MATCH(AZ473,ITEM_RES!$A:$A,0)-1,0),0)*BB473+IFERROR(OFFSET(ITEM_RES!$S$1,MATCH(BE473,ITEM_RES!$A:$A,0)-1,0),0)*BG473+IFERROR(OFFSET(ITEM_RES!$S$1,MATCH(BJ473,ITEM_RES!$A:$A,0)-1,0),0)*BL473+IFERROR(OFFSET(ITEM_RES!$S$1,MATCH(BO473,ITEM_RES!$A:$A,0)-1,0),0)*BQ473)/1000</f>
        <v>300.20999999999998</v>
      </c>
      <c r="AK473" s="183">
        <f t="shared" ca="1" si="145"/>
        <v>500</v>
      </c>
      <c r="AM473" s="11">
        <f t="shared" si="137"/>
        <v>45</v>
      </c>
      <c r="AN473" s="10">
        <v>45</v>
      </c>
      <c r="AO473" s="11">
        <f t="shared" si="144"/>
        <v>150</v>
      </c>
      <c r="AP473" s="10">
        <v>150</v>
      </c>
      <c r="AQ473" s="11">
        <f t="shared" si="144"/>
        <v>150</v>
      </c>
      <c r="AR473" s="10">
        <v>150</v>
      </c>
      <c r="AS473" s="56">
        <f t="shared" si="139"/>
        <v>2</v>
      </c>
      <c r="AU473" s="11">
        <f ca="1">IFERROR(OFFSET(ITEM_RES!$A$1,MATCH(AV473,ITEM_RES!$J:$J,0)-1,0),0)</f>
        <v>211020901</v>
      </c>
      <c r="AV473" s="10" t="s">
        <v>447</v>
      </c>
      <c r="AW473" s="11">
        <v>1</v>
      </c>
      <c r="AZ473" s="11">
        <f ca="1">IFERROR(OFFSET(ITEM_RES!$A$1,MATCH(BA473,ITEM_RES!$J:$J,0)-1,0),0)</f>
        <v>211020401</v>
      </c>
      <c r="BA473" s="10" t="s">
        <v>1222</v>
      </c>
      <c r="BB473" s="11">
        <v>1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  <c r="BO473" s="11">
        <f ca="1">IFERROR(OFFSET(ITEM_RES!$A$1,MATCH(BP473,ITEM_RES!$J:$J,0)-1,0),0)</f>
        <v>0</v>
      </c>
    </row>
    <row r="474" spans="1:70" x14ac:dyDescent="0.3">
      <c r="A474" s="14">
        <f t="shared" si="141"/>
        <v>114020010</v>
      </c>
      <c r="B474" s="13">
        <v>11</v>
      </c>
      <c r="C474" s="12">
        <f t="shared" si="142"/>
        <v>4</v>
      </c>
      <c r="D474" s="13">
        <v>2</v>
      </c>
      <c r="E474" s="13">
        <v>0</v>
      </c>
      <c r="F474" s="12">
        <f t="shared" si="143"/>
        <v>10</v>
      </c>
      <c r="H474" s="9">
        <v>4</v>
      </c>
      <c r="I474" s="9">
        <v>10</v>
      </c>
      <c r="K474" s="9" t="s">
        <v>375</v>
      </c>
      <c r="O474" s="9">
        <v>1</v>
      </c>
      <c r="P474" s="9">
        <v>15</v>
      </c>
      <c r="Q474" s="63" t="s">
        <v>779</v>
      </c>
      <c r="U474" s="9" t="s">
        <v>720</v>
      </c>
      <c r="X474" s="9">
        <f ca="1">IFERROR(OFFSET(ITEM_RES!$A$5,MATCH(BUILDING!W474,ITEM_RES!$J$5:$J$226,0)-1,0),0)</f>
        <v>0</v>
      </c>
      <c r="AA474" s="9">
        <f ca="1">IFERROR(OFFSET(ITEM_RES!$A$5,MATCH(BUILDING!Z474,ITEM_RES!$J$5:$J$226,0)-1,0),0)</f>
        <v>0</v>
      </c>
      <c r="AC474" s="9" t="s">
        <v>529</v>
      </c>
      <c r="AD474" s="9">
        <v>10</v>
      </c>
      <c r="AF474" s="11">
        <f ca="1">IFERROR(OFFSET(MANOR_LEVEL!$B$1,MATCH(AG474-1,MANOR_LEVEL!$A:$A,0)-1,0),0)</f>
        <v>32640</v>
      </c>
      <c r="AG474" s="56">
        <v>7</v>
      </c>
      <c r="AI474" s="56">
        <f t="shared" ca="1" si="138"/>
        <v>400</v>
      </c>
      <c r="AJ474" s="10">
        <f ca="1">AO474+AQ474+(IFERROR(OFFSET(ITEM_RES!$S$1,MATCH(AU474,ITEM_RES!$A:$A,0)-1,0),0)*AW474+IFERROR(OFFSET(ITEM_RES!$S$1,MATCH(AZ474,ITEM_RES!$A:$A,0)-1,0),0)*BB474+IFERROR(OFFSET(ITEM_RES!$S$1,MATCH(BE474,ITEM_RES!$A:$A,0)-1,0),0)*BG474+IFERROR(OFFSET(ITEM_RES!$S$1,MATCH(BJ474,ITEM_RES!$A:$A,0)-1,0),0)*BL474+IFERROR(OFFSET(ITEM_RES!$S$1,MATCH(BO474,ITEM_RES!$A:$A,0)-1,0),0)*BQ474)/1000</f>
        <v>400.21</v>
      </c>
      <c r="AK474" s="183">
        <f t="shared" ca="1" si="145"/>
        <v>700</v>
      </c>
      <c r="AM474" s="11">
        <f t="shared" si="137"/>
        <v>50</v>
      </c>
      <c r="AN474" s="10">
        <v>50</v>
      </c>
      <c r="AO474" s="11">
        <f t="shared" si="144"/>
        <v>200</v>
      </c>
      <c r="AP474" s="10">
        <v>200</v>
      </c>
      <c r="AQ474" s="11">
        <f t="shared" si="144"/>
        <v>200</v>
      </c>
      <c r="AR474" s="10">
        <v>200</v>
      </c>
      <c r="AS474" s="56">
        <f t="shared" si="139"/>
        <v>2</v>
      </c>
      <c r="AU474" s="11">
        <f ca="1">IFERROR(OFFSET(ITEM_RES!$A$1,MATCH(AV474,ITEM_RES!$J:$J,0)-1,0),0)</f>
        <v>211020901</v>
      </c>
      <c r="AV474" s="10" t="s">
        <v>447</v>
      </c>
      <c r="AW474" s="11">
        <v>1</v>
      </c>
      <c r="AZ474" s="11">
        <f ca="1">IFERROR(OFFSET(ITEM_RES!$A$1,MATCH(BA474,ITEM_RES!$J:$J,0)-1,0),0)</f>
        <v>211020401</v>
      </c>
      <c r="BA474" s="10" t="s">
        <v>1222</v>
      </c>
      <c r="BB474" s="11">
        <v>1</v>
      </c>
      <c r="BE474" s="11">
        <f ca="1">IFERROR(OFFSET(ITEM_RES!$A$1,MATCH(BF474,ITEM_RES!$J:$J,0)-1,0),0)</f>
        <v>0</v>
      </c>
      <c r="BJ474" s="11">
        <f ca="1">IFERROR(OFFSET(ITEM_RES!$A$1,MATCH(BK474,ITEM_RES!$J:$J,0)-1,0),0)</f>
        <v>0</v>
      </c>
      <c r="BO474" s="11">
        <f ca="1">IFERROR(OFFSET(ITEM_RES!$A$1,MATCH(BP474,ITEM_RES!$J:$J,0)-1,0),0)</f>
        <v>0</v>
      </c>
    </row>
    <row r="475" spans="1:70" x14ac:dyDescent="0.3">
      <c r="A475" s="14">
        <f t="shared" si="141"/>
        <v>114020011</v>
      </c>
      <c r="B475" s="13">
        <v>11</v>
      </c>
      <c r="C475" s="12">
        <f t="shared" si="142"/>
        <v>4</v>
      </c>
      <c r="D475" s="13">
        <v>2</v>
      </c>
      <c r="E475" s="13">
        <v>0</v>
      </c>
      <c r="F475" s="12">
        <f t="shared" si="143"/>
        <v>11</v>
      </c>
      <c r="H475" s="9">
        <v>4</v>
      </c>
      <c r="I475" s="9">
        <v>11</v>
      </c>
      <c r="K475" s="9" t="s">
        <v>375</v>
      </c>
      <c r="O475" s="9">
        <v>1</v>
      </c>
      <c r="P475" s="9">
        <v>15</v>
      </c>
      <c r="Q475" s="63" t="s">
        <v>779</v>
      </c>
      <c r="U475" s="9" t="s">
        <v>720</v>
      </c>
      <c r="X475" s="9">
        <f ca="1">IFERROR(OFFSET(ITEM_RES!$A$5,MATCH(BUILDING!W475,ITEM_RES!$J$5:$J$226,0)-1,0),0)</f>
        <v>0</v>
      </c>
      <c r="AA475" s="9">
        <f ca="1">IFERROR(OFFSET(ITEM_RES!$A$5,MATCH(BUILDING!Z475,ITEM_RES!$J$5:$J$226,0)-1,0),0)</f>
        <v>0</v>
      </c>
      <c r="AC475" s="9" t="s">
        <v>529</v>
      </c>
      <c r="AD475" s="9">
        <v>11</v>
      </c>
      <c r="AF475" s="11">
        <f ca="1">IFERROR(OFFSET(MANOR_LEVEL!$B$1,MATCH(AG475-1,MANOR_LEVEL!$A:$A,0)-1,0),0)</f>
        <v>94800</v>
      </c>
      <c r="AG475" s="56">
        <v>8</v>
      </c>
      <c r="AI475" s="56">
        <f t="shared" ca="1" si="138"/>
        <v>500</v>
      </c>
      <c r="AJ475" s="10">
        <f ca="1">AO475+AQ475+(IFERROR(OFFSET(ITEM_RES!$S$1,MATCH(AU475,ITEM_RES!$A:$A,0)-1,0),0)*AW475+IFERROR(OFFSET(ITEM_RES!$S$1,MATCH(AZ475,ITEM_RES!$A:$A,0)-1,0),0)*BB475+IFERROR(OFFSET(ITEM_RES!$S$1,MATCH(BE475,ITEM_RES!$A:$A,0)-1,0),0)*BG475+IFERROR(OFFSET(ITEM_RES!$S$1,MATCH(BJ475,ITEM_RES!$A:$A,0)-1,0),0)*BL475+IFERROR(OFFSET(ITEM_RES!$S$1,MATCH(BO475,ITEM_RES!$A:$A,0)-1,0),0)*BQ475)/1000</f>
        <v>500.21</v>
      </c>
      <c r="AK475" s="183">
        <f t="shared" ca="1" si="145"/>
        <v>900</v>
      </c>
      <c r="AM475" s="11">
        <f t="shared" si="137"/>
        <v>55</v>
      </c>
      <c r="AN475" s="10">
        <v>55</v>
      </c>
      <c r="AO475" s="11">
        <f t="shared" si="144"/>
        <v>250</v>
      </c>
      <c r="AP475" s="10">
        <v>250</v>
      </c>
      <c r="AQ475" s="11">
        <f t="shared" si="144"/>
        <v>250</v>
      </c>
      <c r="AR475" s="10">
        <v>250</v>
      </c>
      <c r="AS475" s="56">
        <f t="shared" si="139"/>
        <v>2</v>
      </c>
      <c r="AU475" s="11">
        <f ca="1">IFERROR(OFFSET(ITEM_RES!$A$1,MATCH(AV475,ITEM_RES!$J:$J,0)-1,0),0)</f>
        <v>211020901</v>
      </c>
      <c r="AV475" s="10" t="s">
        <v>447</v>
      </c>
      <c r="AW475" s="11">
        <v>1</v>
      </c>
      <c r="AZ475" s="11">
        <f ca="1">IFERROR(OFFSET(ITEM_RES!$A$1,MATCH(BA475,ITEM_RES!$J:$J,0)-1,0),0)</f>
        <v>211020401</v>
      </c>
      <c r="BA475" s="10" t="s">
        <v>1222</v>
      </c>
      <c r="BB475" s="11">
        <v>1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  <c r="BO475" s="11">
        <f ca="1">IFERROR(OFFSET(ITEM_RES!$A$1,MATCH(BP475,ITEM_RES!$J:$J,0)-1,0),0)</f>
        <v>0</v>
      </c>
    </row>
    <row r="476" spans="1:70" x14ac:dyDescent="0.3">
      <c r="A476" s="14">
        <f t="shared" si="141"/>
        <v>114020012</v>
      </c>
      <c r="B476" s="13">
        <v>11</v>
      </c>
      <c r="C476" s="12">
        <f t="shared" si="142"/>
        <v>4</v>
      </c>
      <c r="D476" s="13">
        <v>2</v>
      </c>
      <c r="E476" s="13">
        <v>0</v>
      </c>
      <c r="F476" s="12">
        <f t="shared" si="143"/>
        <v>12</v>
      </c>
      <c r="H476" s="9">
        <v>4</v>
      </c>
      <c r="I476" s="9">
        <v>12</v>
      </c>
      <c r="K476" s="9" t="s">
        <v>375</v>
      </c>
      <c r="O476" s="9">
        <v>1</v>
      </c>
      <c r="P476" s="9">
        <v>15</v>
      </c>
      <c r="Q476" s="9" t="s">
        <v>779</v>
      </c>
      <c r="U476" s="9" t="s">
        <v>720</v>
      </c>
      <c r="X476" s="9">
        <f ca="1">IFERROR(OFFSET(ITEM_RES!$A$5,MATCH(BUILDING!W476,ITEM_RES!$J$5:$J$226,0)-1,0),0)</f>
        <v>0</v>
      </c>
      <c r="AA476" s="9">
        <f ca="1">IFERROR(OFFSET(ITEM_RES!$A$5,MATCH(BUILDING!Z476,ITEM_RES!$J$5:$J$226,0)-1,0),0)</f>
        <v>0</v>
      </c>
      <c r="AC476" s="9" t="s">
        <v>529</v>
      </c>
      <c r="AD476" s="9">
        <v>12</v>
      </c>
      <c r="AF476" s="11">
        <f ca="1">IFERROR(OFFSET(MANOR_LEVEL!$B$1,MATCH(AG476-1,MANOR_LEVEL!$A:$A,0)-1,0),0)</f>
        <v>186400</v>
      </c>
      <c r="AG476" s="56">
        <v>9</v>
      </c>
      <c r="AI476" s="56">
        <f t="shared" ca="1" si="138"/>
        <v>700</v>
      </c>
      <c r="AJ476" s="10">
        <f ca="1">AO476+AQ476+(IFERROR(OFFSET(ITEM_RES!$S$1,MATCH(AU476,ITEM_RES!$A:$A,0)-1,0),0)*AW476+IFERROR(OFFSET(ITEM_RES!$S$1,MATCH(AZ476,ITEM_RES!$A:$A,0)-1,0),0)*BB476+IFERROR(OFFSET(ITEM_RES!$S$1,MATCH(BE476,ITEM_RES!$A:$A,0)-1,0),0)*BG476+IFERROR(OFFSET(ITEM_RES!$S$1,MATCH(BJ476,ITEM_RES!$A:$A,0)-1,0),0)*BL476+IFERROR(OFFSET(ITEM_RES!$S$1,MATCH(BO476,ITEM_RES!$A:$A,0)-1,0),0)*BQ476)/1000</f>
        <v>700.21</v>
      </c>
      <c r="AK476" s="183">
        <f t="shared" ca="1" si="145"/>
        <v>1200</v>
      </c>
      <c r="AM476" s="11">
        <f t="shared" si="137"/>
        <v>60</v>
      </c>
      <c r="AN476" s="10">
        <v>60</v>
      </c>
      <c r="AO476" s="11">
        <f t="shared" si="144"/>
        <v>300</v>
      </c>
      <c r="AP476" s="10">
        <v>300</v>
      </c>
      <c r="AQ476" s="11">
        <f t="shared" si="144"/>
        <v>300</v>
      </c>
      <c r="AR476" s="10">
        <v>300</v>
      </c>
      <c r="AS476" s="56">
        <f t="shared" si="139"/>
        <v>3</v>
      </c>
      <c r="AU476" s="11">
        <f ca="1">IFERROR(OFFSET(ITEM_RES!$A$1,MATCH(AV476,ITEM_RES!$J:$J,0)-1,0),0)</f>
        <v>211020901</v>
      </c>
      <c r="AV476" s="10" t="s">
        <v>447</v>
      </c>
      <c r="AW476" s="11">
        <v>1</v>
      </c>
      <c r="AZ476" s="11">
        <f ca="1">IFERROR(OFFSET(ITEM_RES!$A$1,MATCH(BA476,ITEM_RES!$J:$J,0)-1,0),0)</f>
        <v>211020401</v>
      </c>
      <c r="BA476" s="10" t="s">
        <v>1222</v>
      </c>
      <c r="BB476" s="11">
        <v>1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213011401</v>
      </c>
      <c r="BK476" s="10" t="s">
        <v>471</v>
      </c>
      <c r="BL476" s="11">
        <v>1</v>
      </c>
      <c r="BO476" s="11">
        <f ca="1">IFERROR(OFFSET(ITEM_RES!$A$1,MATCH(BP476,ITEM_RES!$J:$J,0)-1,0),0)</f>
        <v>0</v>
      </c>
    </row>
    <row r="477" spans="1:70" x14ac:dyDescent="0.3">
      <c r="A477" s="14">
        <f t="shared" si="141"/>
        <v>114020013</v>
      </c>
      <c r="B477" s="13">
        <v>11</v>
      </c>
      <c r="C477" s="12">
        <f t="shared" si="142"/>
        <v>4</v>
      </c>
      <c r="D477" s="13">
        <v>2</v>
      </c>
      <c r="E477" s="13">
        <v>0</v>
      </c>
      <c r="F477" s="12">
        <f t="shared" si="143"/>
        <v>13</v>
      </c>
      <c r="H477" s="9">
        <v>4</v>
      </c>
      <c r="I477" s="9">
        <v>13</v>
      </c>
      <c r="K477" s="9" t="s">
        <v>375</v>
      </c>
      <c r="O477" s="9">
        <v>1</v>
      </c>
      <c r="P477" s="9">
        <v>15</v>
      </c>
      <c r="Q477" s="9" t="s">
        <v>779</v>
      </c>
      <c r="U477" s="9" t="s">
        <v>720</v>
      </c>
      <c r="X477" s="9">
        <f ca="1">IFERROR(OFFSET(ITEM_RES!$A$5,MATCH(BUILDING!W477,ITEM_RES!$J$5:$J$226,0)-1,0),0)</f>
        <v>0</v>
      </c>
      <c r="AA477" s="9">
        <f ca="1">IFERROR(OFFSET(ITEM_RES!$A$5,MATCH(BUILDING!Z477,ITEM_RES!$J$5:$J$226,0)-1,0),0)</f>
        <v>0</v>
      </c>
      <c r="AC477" s="9" t="s">
        <v>529</v>
      </c>
      <c r="AD477" s="9">
        <v>13</v>
      </c>
      <c r="AF477" s="11">
        <f ca="1">IFERROR(OFFSET(MANOR_LEVEL!$B$1,MATCH(AG477-1,MANOR_LEVEL!$A:$A,0)-1,0),0)</f>
        <v>311600</v>
      </c>
      <c r="AG477" s="56">
        <v>10</v>
      </c>
      <c r="AI477" s="56">
        <f t="shared" ca="1" si="138"/>
        <v>700</v>
      </c>
      <c r="AJ477" s="10">
        <f ca="1">AO477+AQ477+(IFERROR(OFFSET(ITEM_RES!$S$1,MATCH(AU477,ITEM_RES!$A:$A,0)-1,0),0)*AW477+IFERROR(OFFSET(ITEM_RES!$S$1,MATCH(AZ477,ITEM_RES!$A:$A,0)-1,0),0)*BB477+IFERROR(OFFSET(ITEM_RES!$S$1,MATCH(BE477,ITEM_RES!$A:$A,0)-1,0),0)*BG477+IFERROR(OFFSET(ITEM_RES!$S$1,MATCH(BJ477,ITEM_RES!$A:$A,0)-1,0),0)*BL477+IFERROR(OFFSET(ITEM_RES!$S$1,MATCH(BO477,ITEM_RES!$A:$A,0)-1,0),0)*BQ477)/1000</f>
        <v>700.21</v>
      </c>
      <c r="AK477" s="183">
        <f t="shared" ca="1" si="145"/>
        <v>1400</v>
      </c>
      <c r="AM477" s="11">
        <f t="shared" si="137"/>
        <v>65</v>
      </c>
      <c r="AN477" s="10">
        <v>65</v>
      </c>
      <c r="AO477" s="11">
        <f t="shared" si="144"/>
        <v>350</v>
      </c>
      <c r="AP477" s="10">
        <v>350</v>
      </c>
      <c r="AQ477" s="11">
        <f t="shared" si="144"/>
        <v>350</v>
      </c>
      <c r="AR477" s="10">
        <v>350</v>
      </c>
      <c r="AS477" s="56">
        <f t="shared" si="139"/>
        <v>2</v>
      </c>
      <c r="AU477" s="11">
        <f ca="1">IFERROR(OFFSET(ITEM_RES!$A$1,MATCH(AV477,ITEM_RES!$J:$J,0)-1,0),0)</f>
        <v>211020901</v>
      </c>
      <c r="AV477" s="10" t="s">
        <v>447</v>
      </c>
      <c r="AW477" s="11">
        <v>1</v>
      </c>
      <c r="AZ477" s="11">
        <f ca="1">IFERROR(OFFSET(ITEM_RES!$A$1,MATCH(BA477,ITEM_RES!$J:$J,0)-1,0),0)</f>
        <v>211020401</v>
      </c>
      <c r="BA477" s="10" t="s">
        <v>1222</v>
      </c>
      <c r="BB477" s="11">
        <v>1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  <c r="BO477" s="11">
        <f ca="1">IFERROR(OFFSET(ITEM_RES!$A$1,MATCH(BP477,ITEM_RES!$J:$J,0)-1,0),0)</f>
        <v>0</v>
      </c>
    </row>
    <row r="478" spans="1:70" x14ac:dyDescent="0.3">
      <c r="A478" s="14">
        <f t="shared" si="141"/>
        <v>114020014</v>
      </c>
      <c r="B478" s="13">
        <v>11</v>
      </c>
      <c r="C478" s="12">
        <f t="shared" si="142"/>
        <v>4</v>
      </c>
      <c r="D478" s="13">
        <v>2</v>
      </c>
      <c r="E478" s="13">
        <v>0</v>
      </c>
      <c r="F478" s="12">
        <f t="shared" si="143"/>
        <v>14</v>
      </c>
      <c r="H478" s="9">
        <v>4</v>
      </c>
      <c r="I478" s="9">
        <v>14</v>
      </c>
      <c r="K478" s="9" t="s">
        <v>375</v>
      </c>
      <c r="O478" s="9">
        <v>1</v>
      </c>
      <c r="P478" s="9">
        <v>15</v>
      </c>
      <c r="Q478" s="9" t="s">
        <v>779</v>
      </c>
      <c r="U478" s="9" t="s">
        <v>720</v>
      </c>
      <c r="X478" s="9">
        <f ca="1">IFERROR(OFFSET(ITEM_RES!$A$5,MATCH(BUILDING!W478,ITEM_RES!$J$5:$J$226,0)-1,0),0)</f>
        <v>0</v>
      </c>
      <c r="AA478" s="9">
        <f ca="1">IFERROR(OFFSET(ITEM_RES!$A$5,MATCH(BUILDING!Z478,ITEM_RES!$J$5:$J$226,0)-1,0),0)</f>
        <v>0</v>
      </c>
      <c r="AC478" s="9" t="s">
        <v>529</v>
      </c>
      <c r="AD478" s="9">
        <v>14</v>
      </c>
      <c r="AF478" s="11">
        <f ca="1">IFERROR(OFFSET(MANOR_LEVEL!$B$1,MATCH(AG478-1,MANOR_LEVEL!$A:$A,0)-1,0),0)</f>
        <v>456800</v>
      </c>
      <c r="AG478" s="56">
        <v>11</v>
      </c>
      <c r="AI478" s="56">
        <f t="shared" ca="1" si="138"/>
        <v>900</v>
      </c>
      <c r="AJ478" s="10">
        <f ca="1">AO478+AQ478+(IFERROR(OFFSET(ITEM_RES!$S$1,MATCH(AU478,ITEM_RES!$A:$A,0)-1,0),0)*AW478+IFERROR(OFFSET(ITEM_RES!$S$1,MATCH(AZ478,ITEM_RES!$A:$A,0)-1,0),0)*BB478+IFERROR(OFFSET(ITEM_RES!$S$1,MATCH(BE478,ITEM_RES!$A:$A,0)-1,0),0)*BG478+IFERROR(OFFSET(ITEM_RES!$S$1,MATCH(BJ478,ITEM_RES!$A:$A,0)-1,0),0)*BL478+IFERROR(OFFSET(ITEM_RES!$S$1,MATCH(BO478,ITEM_RES!$A:$A,0)-1,0),0)*BQ478)/1000</f>
        <v>900.4</v>
      </c>
      <c r="AK478" s="183">
        <f t="shared" ca="1" si="145"/>
        <v>1600</v>
      </c>
      <c r="AM478" s="11">
        <f t="shared" si="137"/>
        <v>70</v>
      </c>
      <c r="AN478" s="10">
        <v>70</v>
      </c>
      <c r="AO478" s="11">
        <f t="shared" si="144"/>
        <v>450</v>
      </c>
      <c r="AP478" s="10">
        <v>450</v>
      </c>
      <c r="AQ478" s="11">
        <f t="shared" si="144"/>
        <v>450</v>
      </c>
      <c r="AR478" s="10">
        <v>450</v>
      </c>
      <c r="AS478" s="56">
        <f t="shared" si="139"/>
        <v>2</v>
      </c>
      <c r="AU478" s="11">
        <f ca="1">IFERROR(OFFSET(ITEM_RES!$A$1,MATCH(AV478,ITEM_RES!$J:$J,0)-1,0),0)</f>
        <v>211020901</v>
      </c>
      <c r="AV478" s="10" t="s">
        <v>447</v>
      </c>
      <c r="AW478" s="11">
        <v>1</v>
      </c>
      <c r="AZ478" s="11">
        <f ca="1">IFERROR(OFFSET(ITEM_RES!$A$1,MATCH(BA478,ITEM_RES!$J:$J,0)-1,0),0)</f>
        <v>211020501</v>
      </c>
      <c r="BA478" s="10" t="s">
        <v>1226</v>
      </c>
      <c r="BB478" s="11">
        <v>1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  <c r="BO478" s="11">
        <f ca="1">IFERROR(OFFSET(ITEM_RES!$A$1,MATCH(BP478,ITEM_RES!$J:$J,0)-1,0),0)</f>
        <v>0</v>
      </c>
    </row>
    <row r="479" spans="1:70" x14ac:dyDescent="0.3">
      <c r="A479" s="14">
        <f t="shared" si="141"/>
        <v>114020015</v>
      </c>
      <c r="B479" s="13">
        <v>11</v>
      </c>
      <c r="C479" s="12">
        <f t="shared" si="142"/>
        <v>4</v>
      </c>
      <c r="D479" s="13">
        <v>2</v>
      </c>
      <c r="E479" s="13">
        <v>0</v>
      </c>
      <c r="F479" s="12">
        <f t="shared" si="143"/>
        <v>15</v>
      </c>
      <c r="H479" s="9">
        <v>4</v>
      </c>
      <c r="I479" s="9">
        <v>15</v>
      </c>
      <c r="K479" s="9" t="s">
        <v>375</v>
      </c>
      <c r="O479" s="9">
        <v>1</v>
      </c>
      <c r="P479" s="9">
        <v>15</v>
      </c>
      <c r="Q479" s="9" t="s">
        <v>779</v>
      </c>
      <c r="U479" s="9" t="s">
        <v>720</v>
      </c>
      <c r="X479" s="9">
        <f ca="1">IFERROR(OFFSET(ITEM_RES!$A$5,MATCH(BUILDING!W479,ITEM_RES!$J$5:$J$226,0)-1,0),0)</f>
        <v>0</v>
      </c>
      <c r="AA479" s="9">
        <f ca="1">IFERROR(OFFSET(ITEM_RES!$A$5,MATCH(BUILDING!Z479,ITEM_RES!$J$5:$J$226,0)-1,0),0)</f>
        <v>0</v>
      </c>
      <c r="AC479" s="9" t="s">
        <v>529</v>
      </c>
      <c r="AD479" s="9">
        <v>15</v>
      </c>
      <c r="AF479" s="11">
        <f ca="1">IFERROR(OFFSET(MANOR_LEVEL!$B$1,MATCH(AG479-1,MANOR_LEVEL!$A:$A,0)-1,0),0)</f>
        <v>796000</v>
      </c>
      <c r="AG479" s="56">
        <v>12</v>
      </c>
      <c r="AI479" s="56">
        <f t="shared" ca="1" si="138"/>
        <v>1100</v>
      </c>
      <c r="AJ479" s="10">
        <f ca="1">AO479+AQ479+(IFERROR(OFFSET(ITEM_RES!$S$1,MATCH(AU479,ITEM_RES!$A:$A,0)-1,0),0)*AW479+IFERROR(OFFSET(ITEM_RES!$S$1,MATCH(AZ479,ITEM_RES!$A:$A,0)-1,0),0)*BB479+IFERROR(OFFSET(ITEM_RES!$S$1,MATCH(BE479,ITEM_RES!$A:$A,0)-1,0),0)*BG479+IFERROR(OFFSET(ITEM_RES!$S$1,MATCH(BJ479,ITEM_RES!$A:$A,0)-1,0),0)*BL479+IFERROR(OFFSET(ITEM_RES!$S$1,MATCH(BO479,ITEM_RES!$A:$A,0)-1,0),0)*BQ479)/1000</f>
        <v>1100.4000000000001</v>
      </c>
      <c r="AK479" s="183">
        <f t="shared" ca="1" si="145"/>
        <v>2000</v>
      </c>
      <c r="AM479" s="11">
        <f t="shared" si="137"/>
        <v>75</v>
      </c>
      <c r="AN479" s="10">
        <v>75</v>
      </c>
      <c r="AO479" s="11">
        <f t="shared" si="144"/>
        <v>550</v>
      </c>
      <c r="AP479" s="10">
        <v>550</v>
      </c>
      <c r="AQ479" s="11">
        <f t="shared" si="144"/>
        <v>550</v>
      </c>
      <c r="AR479" s="10">
        <v>550</v>
      </c>
      <c r="AS479" s="56">
        <f t="shared" si="139"/>
        <v>2</v>
      </c>
      <c r="AU479" s="11">
        <f ca="1">IFERROR(OFFSET(ITEM_RES!$A$1,MATCH(AV479,ITEM_RES!$J:$J,0)-1,0),0)</f>
        <v>211020901</v>
      </c>
      <c r="AV479" s="10" t="s">
        <v>447</v>
      </c>
      <c r="AW479" s="11">
        <v>1</v>
      </c>
      <c r="AZ479" s="11">
        <f ca="1">IFERROR(OFFSET(ITEM_RES!$A$1,MATCH(BA479,ITEM_RES!$J:$J,0)-1,0),0)</f>
        <v>211020501</v>
      </c>
      <c r="BA479" s="10" t="s">
        <v>1226</v>
      </c>
      <c r="BB479" s="11">
        <v>1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  <c r="BO479" s="11">
        <f ca="1">IFERROR(OFFSET(ITEM_RES!$A$1,MATCH(BP479,ITEM_RES!$J:$J,0)-1,0),0)</f>
        <v>0</v>
      </c>
    </row>
    <row r="480" spans="1:70" x14ac:dyDescent="0.3">
      <c r="A480" s="14">
        <f t="shared" si="141"/>
        <v>114020016</v>
      </c>
      <c r="B480" s="13">
        <v>11</v>
      </c>
      <c r="C480" s="12">
        <f t="shared" si="142"/>
        <v>4</v>
      </c>
      <c r="D480" s="13">
        <v>2</v>
      </c>
      <c r="E480" s="13">
        <v>0</v>
      </c>
      <c r="F480" s="12">
        <f t="shared" si="143"/>
        <v>16</v>
      </c>
      <c r="H480" s="9">
        <v>4</v>
      </c>
      <c r="I480" s="9">
        <v>16</v>
      </c>
      <c r="K480" s="9" t="s">
        <v>375</v>
      </c>
      <c r="O480" s="9">
        <v>0</v>
      </c>
      <c r="P480" s="9">
        <v>15</v>
      </c>
      <c r="Q480" s="9" t="s">
        <v>779</v>
      </c>
      <c r="U480" s="9" t="s">
        <v>720</v>
      </c>
      <c r="X480" s="9">
        <f ca="1">IFERROR(OFFSET(ITEM_RES!$A$5,MATCH(BUILDING!W480,ITEM_RES!$J$5:$J$226,0)-1,0),0)</f>
        <v>0</v>
      </c>
      <c r="AA480" s="9">
        <f ca="1">IFERROR(OFFSET(ITEM_RES!$A$5,MATCH(BUILDING!Z480,ITEM_RES!$J$5:$J$226,0)-1,0),0)</f>
        <v>0</v>
      </c>
      <c r="AC480" s="9" t="s">
        <v>529</v>
      </c>
      <c r="AD480" s="9">
        <v>16</v>
      </c>
      <c r="AF480" s="11">
        <f ca="1">IFERROR(OFFSET(MANOR_LEVEL!$B$1,MATCH(AG480-1,MANOR_LEVEL!$A:$A,0)-1,0),0)</f>
        <v>1156400</v>
      </c>
      <c r="AG480" s="56">
        <v>13</v>
      </c>
      <c r="AI480" s="56">
        <f t="shared" ca="1" si="138"/>
        <v>1400</v>
      </c>
      <c r="AJ480" s="10">
        <f ca="1">AO480+AQ480+(IFERROR(OFFSET(ITEM_RES!$S$1,MATCH(AU480,ITEM_RES!$A:$A,0)-1,0),0)*AW480+IFERROR(OFFSET(ITEM_RES!$S$1,MATCH(AZ480,ITEM_RES!$A:$A,0)-1,0),0)*BB480+IFERROR(OFFSET(ITEM_RES!$S$1,MATCH(BE480,ITEM_RES!$A:$A,0)-1,0),0)*BG480+IFERROR(OFFSET(ITEM_RES!$S$1,MATCH(BJ480,ITEM_RES!$A:$A,0)-1,0),0)*BL480+IFERROR(OFFSET(ITEM_RES!$S$1,MATCH(BO480,ITEM_RES!$A:$A,0)-1,0),0)*BQ480)/1000</f>
        <v>1400.4</v>
      </c>
      <c r="AK480" s="183">
        <f t="shared" ca="1" si="145"/>
        <v>2500</v>
      </c>
      <c r="AM480" s="11">
        <f t="shared" si="137"/>
        <v>80</v>
      </c>
      <c r="AN480" s="10">
        <v>80</v>
      </c>
      <c r="AO480" s="11">
        <f t="shared" si="144"/>
        <v>700</v>
      </c>
      <c r="AP480" s="10">
        <v>700</v>
      </c>
      <c r="AQ480" s="11">
        <f t="shared" si="144"/>
        <v>700</v>
      </c>
      <c r="AR480" s="10">
        <v>700</v>
      </c>
      <c r="AS480" s="56">
        <f t="shared" si="139"/>
        <v>2</v>
      </c>
      <c r="AU480" s="11">
        <f ca="1">IFERROR(OFFSET(ITEM_RES!$A$1,MATCH(AV480,ITEM_RES!$J:$J,0)-1,0),0)</f>
        <v>211020901</v>
      </c>
      <c r="AV480" s="10" t="s">
        <v>447</v>
      </c>
      <c r="AW480" s="11">
        <v>1</v>
      </c>
      <c r="AZ480" s="11">
        <f ca="1">IFERROR(OFFSET(ITEM_RES!$A$1,MATCH(BA480,ITEM_RES!$J:$J,0)-1,0),0)</f>
        <v>211020501</v>
      </c>
      <c r="BA480" s="10" t="s">
        <v>1226</v>
      </c>
      <c r="BB480" s="11">
        <v>1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  <c r="BO480" s="11">
        <f ca="1">IFERROR(OFFSET(ITEM_RES!$A$1,MATCH(BP480,ITEM_RES!$J:$J,0)-1,0),0)</f>
        <v>0</v>
      </c>
    </row>
    <row r="481" spans="1:70" x14ac:dyDescent="0.3">
      <c r="A481" s="14">
        <f t="shared" si="141"/>
        <v>114020017</v>
      </c>
      <c r="B481" s="13">
        <v>11</v>
      </c>
      <c r="C481" s="12">
        <f t="shared" si="142"/>
        <v>4</v>
      </c>
      <c r="D481" s="13">
        <v>2</v>
      </c>
      <c r="E481" s="13">
        <v>0</v>
      </c>
      <c r="F481" s="12">
        <f t="shared" si="143"/>
        <v>17</v>
      </c>
      <c r="H481" s="9">
        <v>4</v>
      </c>
      <c r="I481" s="9">
        <v>17</v>
      </c>
      <c r="K481" s="9" t="s">
        <v>375</v>
      </c>
      <c r="O481" s="9">
        <v>0</v>
      </c>
      <c r="P481" s="9">
        <v>15</v>
      </c>
      <c r="Q481" s="9" t="s">
        <v>779</v>
      </c>
      <c r="U481" s="9" t="s">
        <v>720</v>
      </c>
      <c r="X481" s="9">
        <f ca="1">IFERROR(OFFSET(ITEM_RES!$A$5,MATCH(BUILDING!W481,ITEM_RES!$J$5:$J$226,0)-1,0),0)</f>
        <v>0</v>
      </c>
      <c r="AA481" s="9">
        <f ca="1">IFERROR(OFFSET(ITEM_RES!$A$5,MATCH(BUILDING!Z481,ITEM_RES!$J$5:$J$226,0)-1,0),0)</f>
        <v>0</v>
      </c>
      <c r="AC481" s="9" t="s">
        <v>529</v>
      </c>
      <c r="AD481" s="9">
        <v>17</v>
      </c>
      <c r="AF481" s="11">
        <f ca="1">IFERROR(OFFSET(MANOR_LEVEL!$B$1,MATCH(AG481-1,MANOR_LEVEL!$A:$A,0)-1,0),0)</f>
        <v>1661200</v>
      </c>
      <c r="AG481" s="56">
        <v>14</v>
      </c>
      <c r="AI481" s="56">
        <f t="shared" ca="1" si="138"/>
        <v>1700</v>
      </c>
      <c r="AJ481" s="10">
        <f ca="1">AO481+AQ481+(IFERROR(OFFSET(ITEM_RES!$S$1,MATCH(AU481,ITEM_RES!$A:$A,0)-1,0),0)*AW481+IFERROR(OFFSET(ITEM_RES!$S$1,MATCH(AZ481,ITEM_RES!$A:$A,0)-1,0),0)*BB481+IFERROR(OFFSET(ITEM_RES!$S$1,MATCH(BE481,ITEM_RES!$A:$A,0)-1,0),0)*BG481+IFERROR(OFFSET(ITEM_RES!$S$1,MATCH(BJ481,ITEM_RES!$A:$A,0)-1,0),0)*BL481+IFERROR(OFFSET(ITEM_RES!$S$1,MATCH(BO481,ITEM_RES!$A:$A,0)-1,0),0)*BQ481)/1000</f>
        <v>1700.4</v>
      </c>
      <c r="AK481" s="183">
        <f t="shared" ca="1" si="145"/>
        <v>3100</v>
      </c>
      <c r="AM481" s="11">
        <f t="shared" si="137"/>
        <v>85</v>
      </c>
      <c r="AN481" s="10">
        <v>85</v>
      </c>
      <c r="AO481" s="11">
        <f t="shared" si="144"/>
        <v>850</v>
      </c>
      <c r="AP481" s="10">
        <v>850</v>
      </c>
      <c r="AQ481" s="11">
        <f t="shared" si="144"/>
        <v>850</v>
      </c>
      <c r="AR481" s="10">
        <v>850</v>
      </c>
      <c r="AS481" s="56">
        <f t="shared" si="139"/>
        <v>2</v>
      </c>
      <c r="AU481" s="11">
        <f ca="1">IFERROR(OFFSET(ITEM_RES!$A$1,MATCH(AV481,ITEM_RES!$J:$J,0)-1,0),0)</f>
        <v>211020901</v>
      </c>
      <c r="AV481" s="10" t="s">
        <v>447</v>
      </c>
      <c r="AW481" s="11">
        <v>1</v>
      </c>
      <c r="AZ481" s="11">
        <f ca="1">IFERROR(OFFSET(ITEM_RES!$A$1,MATCH(BA481,ITEM_RES!$J:$J,0)-1,0),0)</f>
        <v>211020501</v>
      </c>
      <c r="BA481" s="10" t="s">
        <v>1226</v>
      </c>
      <c r="BB481" s="11">
        <v>1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  <c r="BO481" s="11">
        <f ca="1">IFERROR(OFFSET(ITEM_RES!$A$1,MATCH(BP481,ITEM_RES!$J:$J,0)-1,0),0)</f>
        <v>0</v>
      </c>
    </row>
    <row r="482" spans="1:70" x14ac:dyDescent="0.3">
      <c r="A482" s="14">
        <f t="shared" si="141"/>
        <v>114020018</v>
      </c>
      <c r="B482" s="13">
        <v>11</v>
      </c>
      <c r="C482" s="12">
        <f t="shared" si="142"/>
        <v>4</v>
      </c>
      <c r="D482" s="13">
        <v>2</v>
      </c>
      <c r="E482" s="13">
        <v>0</v>
      </c>
      <c r="F482" s="12">
        <f t="shared" si="143"/>
        <v>18</v>
      </c>
      <c r="H482" s="9">
        <v>4</v>
      </c>
      <c r="I482" s="9">
        <v>18</v>
      </c>
      <c r="K482" s="9" t="s">
        <v>375</v>
      </c>
      <c r="O482" s="9">
        <v>0</v>
      </c>
      <c r="P482" s="9">
        <v>15</v>
      </c>
      <c r="Q482" s="9" t="s">
        <v>779</v>
      </c>
      <c r="U482" s="9" t="s">
        <v>720</v>
      </c>
      <c r="X482" s="9">
        <f ca="1">IFERROR(OFFSET(ITEM_RES!$A$5,MATCH(BUILDING!W482,ITEM_RES!$J$5:$J$226,0)-1,0),0)</f>
        <v>0</v>
      </c>
      <c r="AA482" s="9">
        <f ca="1">IFERROR(OFFSET(ITEM_RES!$A$5,MATCH(BUILDING!Z482,ITEM_RES!$J$5:$J$226,0)-1,0),0)</f>
        <v>0</v>
      </c>
      <c r="AC482" s="9" t="s">
        <v>529</v>
      </c>
      <c r="AD482" s="9">
        <v>18</v>
      </c>
      <c r="AF482" s="11">
        <f ca="1">IFERROR(OFFSET(MANOR_LEVEL!$B$1,MATCH(AG482-1,MANOR_LEVEL!$A:$A,0)-1,0),0)</f>
        <v>2622400</v>
      </c>
      <c r="AG482" s="56">
        <v>15</v>
      </c>
      <c r="AI482" s="56">
        <f t="shared" ca="1" si="138"/>
        <v>2100</v>
      </c>
      <c r="AJ482" s="10">
        <f ca="1">AO482+AQ482+(IFERROR(OFFSET(ITEM_RES!$S$1,MATCH(AU482,ITEM_RES!$A:$A,0)-1,0),0)*AW482+IFERROR(OFFSET(ITEM_RES!$S$1,MATCH(AZ482,ITEM_RES!$A:$A,0)-1,0),0)*BB482+IFERROR(OFFSET(ITEM_RES!$S$1,MATCH(BE482,ITEM_RES!$A:$A,0)-1,0),0)*BG482+IFERROR(OFFSET(ITEM_RES!$S$1,MATCH(BJ482,ITEM_RES!$A:$A,0)-1,0),0)*BL482+IFERROR(OFFSET(ITEM_RES!$S$1,MATCH(BO482,ITEM_RES!$A:$A,0)-1,0),0)*BQ482)/1000</f>
        <v>2100.4</v>
      </c>
      <c r="AK482" s="183">
        <f t="shared" ca="1" si="145"/>
        <v>3800</v>
      </c>
      <c r="AM482" s="11">
        <f t="shared" si="137"/>
        <v>90</v>
      </c>
      <c r="AN482" s="10">
        <v>90</v>
      </c>
      <c r="AO482" s="11">
        <f t="shared" si="144"/>
        <v>1050</v>
      </c>
      <c r="AP482" s="10">
        <v>1050</v>
      </c>
      <c r="AQ482" s="11">
        <f t="shared" si="144"/>
        <v>1050</v>
      </c>
      <c r="AR482" s="10">
        <v>1050</v>
      </c>
      <c r="AS482" s="56">
        <f t="shared" si="139"/>
        <v>2</v>
      </c>
      <c r="AU482" s="11">
        <f ca="1">IFERROR(OFFSET(ITEM_RES!$A$1,MATCH(AV482,ITEM_RES!$J:$J,0)-1,0),0)</f>
        <v>211020901</v>
      </c>
      <c r="AV482" s="10" t="s">
        <v>447</v>
      </c>
      <c r="AW482" s="11">
        <v>1</v>
      </c>
      <c r="AZ482" s="11">
        <f ca="1">IFERROR(OFFSET(ITEM_RES!$A$1,MATCH(BA482,ITEM_RES!$J:$J,0)-1,0),0)</f>
        <v>211020501</v>
      </c>
      <c r="BA482" s="10" t="s">
        <v>1226</v>
      </c>
      <c r="BB482" s="11">
        <v>1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  <c r="BO482" s="11">
        <f ca="1">IFERROR(OFFSET(ITEM_RES!$A$1,MATCH(BP482,ITEM_RES!$J:$J,0)-1,0),0)</f>
        <v>0</v>
      </c>
    </row>
    <row r="483" spans="1:70" x14ac:dyDescent="0.3">
      <c r="A483" s="14">
        <f t="shared" si="141"/>
        <v>114020019</v>
      </c>
      <c r="B483" s="13">
        <v>11</v>
      </c>
      <c r="C483" s="12">
        <f t="shared" si="142"/>
        <v>4</v>
      </c>
      <c r="D483" s="13">
        <v>2</v>
      </c>
      <c r="E483" s="13">
        <v>0</v>
      </c>
      <c r="F483" s="12">
        <f t="shared" si="143"/>
        <v>19</v>
      </c>
      <c r="H483" s="9">
        <v>4</v>
      </c>
      <c r="I483" s="9">
        <v>19</v>
      </c>
      <c r="K483" s="9" t="s">
        <v>375</v>
      </c>
      <c r="O483" s="9">
        <v>0</v>
      </c>
      <c r="P483" s="9">
        <v>15</v>
      </c>
      <c r="Q483" s="9" t="s">
        <v>779</v>
      </c>
      <c r="U483" s="9" t="s">
        <v>720</v>
      </c>
      <c r="X483" s="9">
        <f ca="1">IFERROR(OFFSET(ITEM_RES!$A$5,MATCH(BUILDING!W483,ITEM_RES!$J$5:$J$226,0)-1,0),0)</f>
        <v>0</v>
      </c>
      <c r="AA483" s="9">
        <f ca="1">IFERROR(OFFSET(ITEM_RES!$A$5,MATCH(BUILDING!Z483,ITEM_RES!$J$5:$J$226,0)-1,0),0)</f>
        <v>0</v>
      </c>
      <c r="AC483" s="9" t="s">
        <v>529</v>
      </c>
      <c r="AD483" s="9">
        <v>19</v>
      </c>
      <c r="AF483" s="11">
        <f ca="1">IFERROR(OFFSET(MANOR_LEVEL!$B$1,MATCH(AG483-1,MANOR_LEVEL!$A:$A,0)-1,0),0)</f>
        <v>4232000</v>
      </c>
      <c r="AG483" s="56">
        <v>16</v>
      </c>
      <c r="AI483" s="56">
        <f t="shared" ca="1" si="138"/>
        <v>2500</v>
      </c>
      <c r="AJ483" s="10">
        <f ca="1">AO483+AQ483+(IFERROR(OFFSET(ITEM_RES!$S$1,MATCH(AU483,ITEM_RES!$A:$A,0)-1,0),0)*AW483+IFERROR(OFFSET(ITEM_RES!$S$1,MATCH(AZ483,ITEM_RES!$A:$A,0)-1,0),0)*BB483+IFERROR(OFFSET(ITEM_RES!$S$1,MATCH(BE483,ITEM_RES!$A:$A,0)-1,0),0)*BG483+IFERROR(OFFSET(ITEM_RES!$S$1,MATCH(BJ483,ITEM_RES!$A:$A,0)-1,0),0)*BL483+IFERROR(OFFSET(ITEM_RES!$S$1,MATCH(BO483,ITEM_RES!$A:$A,0)-1,0),0)*BQ483)/1000</f>
        <v>2500.4</v>
      </c>
      <c r="AK483" s="183">
        <f t="shared" ca="1" si="145"/>
        <v>4600</v>
      </c>
      <c r="AM483" s="11">
        <f t="shared" si="137"/>
        <v>95</v>
      </c>
      <c r="AN483" s="10">
        <v>95</v>
      </c>
      <c r="AO483" s="11">
        <f t="shared" si="144"/>
        <v>1250</v>
      </c>
      <c r="AP483" s="10">
        <v>1250</v>
      </c>
      <c r="AQ483" s="11">
        <f t="shared" si="144"/>
        <v>1250</v>
      </c>
      <c r="AR483" s="10">
        <v>1250</v>
      </c>
      <c r="AS483" s="56">
        <f t="shared" si="139"/>
        <v>2</v>
      </c>
      <c r="AU483" s="11">
        <f ca="1">IFERROR(OFFSET(ITEM_RES!$A$1,MATCH(AV483,ITEM_RES!$J:$J,0)-1,0),0)</f>
        <v>211020901</v>
      </c>
      <c r="AV483" s="10" t="s">
        <v>447</v>
      </c>
      <c r="AW483" s="11">
        <v>1</v>
      </c>
      <c r="AZ483" s="11">
        <f ca="1">IFERROR(OFFSET(ITEM_RES!$A$1,MATCH(BA483,ITEM_RES!$J:$J,0)-1,0),0)</f>
        <v>211020501</v>
      </c>
      <c r="BA483" s="10" t="s">
        <v>1226</v>
      </c>
      <c r="BB483" s="11">
        <v>1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  <c r="BO483" s="11">
        <f ca="1">IFERROR(OFFSET(ITEM_RES!$A$1,MATCH(BP483,ITEM_RES!$J:$J,0)-1,0),0)</f>
        <v>0</v>
      </c>
    </row>
    <row r="484" spans="1:70" ht="17.25" thickBot="1" x14ac:dyDescent="0.35">
      <c r="A484" s="14">
        <f t="shared" si="141"/>
        <v>114020020</v>
      </c>
      <c r="B484" s="13">
        <v>11</v>
      </c>
      <c r="C484" s="12">
        <f t="shared" si="142"/>
        <v>4</v>
      </c>
      <c r="D484" s="13">
        <v>2</v>
      </c>
      <c r="E484" s="13">
        <v>0</v>
      </c>
      <c r="F484" s="12">
        <f t="shared" si="143"/>
        <v>20</v>
      </c>
      <c r="H484" s="9">
        <v>4</v>
      </c>
      <c r="I484" s="9">
        <v>20</v>
      </c>
      <c r="K484" s="9" t="s">
        <v>375</v>
      </c>
      <c r="O484" s="9">
        <v>0</v>
      </c>
      <c r="P484" s="9">
        <v>15</v>
      </c>
      <c r="Q484" s="9" t="s">
        <v>779</v>
      </c>
      <c r="U484" s="9" t="s">
        <v>720</v>
      </c>
      <c r="X484" s="9">
        <f ca="1">IFERROR(OFFSET(ITEM_RES!$A$5,MATCH(BUILDING!W484,ITEM_RES!$J$5:$J$226,0)-1,0),0)</f>
        <v>0</v>
      </c>
      <c r="AA484" s="9">
        <f ca="1">IFERROR(OFFSET(ITEM_RES!$A$5,MATCH(BUILDING!Z484,ITEM_RES!$J$5:$J$226,0)-1,0),0)</f>
        <v>0</v>
      </c>
      <c r="AC484" s="9" t="s">
        <v>529</v>
      </c>
      <c r="AD484" s="9">
        <v>20</v>
      </c>
      <c r="AF484" s="11">
        <f ca="1">IFERROR(OFFSET(MANOR_LEVEL!$B$1,MATCH(AG484-1,MANOR_LEVEL!$A:$A,0)-1,0),0)</f>
        <v>7450000</v>
      </c>
      <c r="AG484" s="56">
        <v>17</v>
      </c>
      <c r="AI484" s="56">
        <f t="shared" ca="1" si="138"/>
        <v>3000</v>
      </c>
      <c r="AJ484" s="10">
        <f ca="1">AO484+AQ484+(IFERROR(OFFSET(ITEM_RES!$S$1,MATCH(AU484,ITEM_RES!$A:$A,0)-1,0),0)*AW484+IFERROR(OFFSET(ITEM_RES!$S$1,MATCH(AZ484,ITEM_RES!$A:$A,0)-1,0),0)*BB484+IFERROR(OFFSET(ITEM_RES!$S$1,MATCH(BE484,ITEM_RES!$A:$A,0)-1,0),0)*BG484+IFERROR(OFFSET(ITEM_RES!$S$1,MATCH(BJ484,ITEM_RES!$A:$A,0)-1,0),0)*BL484+IFERROR(OFFSET(ITEM_RES!$S$1,MATCH(BO484,ITEM_RES!$A:$A,0)-1,0),0)*BQ484)/1000</f>
        <v>3000.4</v>
      </c>
      <c r="AK484" s="183">
        <f t="shared" ca="1" si="145"/>
        <v>5500</v>
      </c>
      <c r="AM484" s="11">
        <f t="shared" si="137"/>
        <v>100</v>
      </c>
      <c r="AN484" s="10">
        <v>100</v>
      </c>
      <c r="AO484" s="11">
        <f t="shared" si="144"/>
        <v>1500</v>
      </c>
      <c r="AP484" s="10">
        <v>1500</v>
      </c>
      <c r="AQ484" s="11">
        <f t="shared" si="144"/>
        <v>1500</v>
      </c>
      <c r="AR484" s="10">
        <v>1500</v>
      </c>
      <c r="AS484" s="56">
        <f t="shared" si="139"/>
        <v>2</v>
      </c>
      <c r="AU484" s="11">
        <f ca="1">IFERROR(OFFSET(ITEM_RES!$A$1,MATCH(AV484,ITEM_RES!$J:$J,0)-1,0),0)</f>
        <v>211020901</v>
      </c>
      <c r="AV484" s="10" t="s">
        <v>447</v>
      </c>
      <c r="AW484" s="11">
        <v>1</v>
      </c>
      <c r="AZ484" s="11">
        <f ca="1">IFERROR(OFFSET(ITEM_RES!$A$1,MATCH(BA484,ITEM_RES!$J:$J,0)-1,0),0)</f>
        <v>211020501</v>
      </c>
      <c r="BA484" s="10" t="s">
        <v>1226</v>
      </c>
      <c r="BB484" s="11">
        <v>1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  <c r="BO484" s="11">
        <f ca="1">IFERROR(OFFSET(ITEM_RES!$A$1,MATCH(BP484,ITEM_RES!$J:$J,0)-1,0),0)</f>
        <v>0</v>
      </c>
    </row>
    <row r="485" spans="1:70" s="15" customFormat="1" x14ac:dyDescent="0.3">
      <c r="A485" s="21">
        <f t="shared" si="141"/>
        <v>115010001</v>
      </c>
      <c r="B485" s="20">
        <v>11</v>
      </c>
      <c r="C485" s="19">
        <f t="shared" si="142"/>
        <v>5</v>
      </c>
      <c r="D485" s="20">
        <v>1</v>
      </c>
      <c r="E485" s="20">
        <v>0</v>
      </c>
      <c r="F485" s="19">
        <f t="shared" si="143"/>
        <v>1</v>
      </c>
      <c r="G485" s="79"/>
      <c r="H485" s="16">
        <v>5</v>
      </c>
      <c r="I485" s="16">
        <v>1</v>
      </c>
      <c r="J485" s="79"/>
      <c r="K485" s="16" t="s">
        <v>1143</v>
      </c>
      <c r="L485" s="16">
        <v>1</v>
      </c>
      <c r="M485" s="16"/>
      <c r="N485" s="16"/>
      <c r="O485" s="16">
        <v>1</v>
      </c>
      <c r="P485" s="16">
        <v>15</v>
      </c>
      <c r="Q485" s="16" t="s">
        <v>1167</v>
      </c>
      <c r="R485" s="17"/>
      <c r="S485" s="17"/>
      <c r="T485" s="18"/>
      <c r="U485" s="16">
        <v>2222</v>
      </c>
      <c r="V485" s="79"/>
      <c r="W485" s="87"/>
      <c r="X485" s="16">
        <f ca="1">IFERROR(OFFSET(ITEM_RES!$A$5,MATCH(BUILDING!W485,ITEM_RES!$J$5:$J$226,0)-1,0),0)</f>
        <v>0</v>
      </c>
      <c r="Y485" s="18"/>
      <c r="Z485" s="87"/>
      <c r="AA485" s="16">
        <f ca="1">IFERROR(OFFSET(ITEM_RES!$A$5,MATCH(BUILDING!Z485,ITEM_RES!$J$5:$J$226,0)-1,0),0)</f>
        <v>0</v>
      </c>
      <c r="AB485" s="79"/>
      <c r="AC485" s="16" t="s">
        <v>530</v>
      </c>
      <c r="AD485" s="16">
        <v>1</v>
      </c>
      <c r="AE485" s="79"/>
      <c r="AF485" s="18">
        <f ca="1">IFERROR(OFFSET(MANOR_LEVEL!$B$1,MATCH(AG485-1,MANOR_LEVEL!$A:$A,0)-1,0),0)</f>
        <v>0</v>
      </c>
      <c r="AG485" s="57">
        <v>1</v>
      </c>
      <c r="AH485" s="79"/>
      <c r="AI485" s="57">
        <f t="shared" ca="1" si="138"/>
        <v>210</v>
      </c>
      <c r="AJ485" s="17">
        <f ca="1">AO485+AQ485+(IFERROR(OFFSET(ITEM_RES!$S$1,MATCH(AU485,ITEM_RES!$A:$A,0)-1,0),0)*AW485+IFERROR(OFFSET(ITEM_RES!$S$1,MATCH(AZ485,ITEM_RES!$A:$A,0)-1,0),0)*BB485+IFERROR(OFFSET(ITEM_RES!$S$1,MATCH(BE485,ITEM_RES!$A:$A,0)-1,0),0)*BG485+IFERROR(OFFSET(ITEM_RES!$S$1,MATCH(BJ485,ITEM_RES!$A:$A,0)-1,0),0)*BL485+IFERROR(OFFSET(ITEM_RES!$S$1,MATCH(BO485,ITEM_RES!$A:$A,0)-1,0),0)*BQ485)/1000</f>
        <v>210.1</v>
      </c>
      <c r="AK485" s="185">
        <f ca="1">AI485</f>
        <v>210</v>
      </c>
      <c r="AL485" s="79"/>
      <c r="AM485" s="18">
        <f t="shared" si="137"/>
        <v>5</v>
      </c>
      <c r="AN485" s="17">
        <v>5</v>
      </c>
      <c r="AO485" s="18">
        <f t="shared" si="144"/>
        <v>5</v>
      </c>
      <c r="AP485" s="17">
        <v>5</v>
      </c>
      <c r="AQ485" s="18">
        <f t="shared" si="144"/>
        <v>5</v>
      </c>
      <c r="AR485" s="17">
        <v>5</v>
      </c>
      <c r="AS485" s="57">
        <f t="shared" si="139"/>
        <v>3</v>
      </c>
      <c r="AT485" s="18"/>
      <c r="AU485" s="18">
        <f ca="1">IFERROR(OFFSET(ITEM_RES!$A$1,MATCH(AV485,ITEM_RES!$J:$J,0)-1,0),0)</f>
        <v>211020801</v>
      </c>
      <c r="AV485" s="17" t="s">
        <v>437</v>
      </c>
      <c r="AW485" s="18">
        <v>1</v>
      </c>
      <c r="AX485" s="17"/>
      <c r="AY485" s="18"/>
      <c r="AZ485" s="18">
        <f ca="1">IFERROR(OFFSET(ITEM_RES!$A$1,MATCH(BA485,ITEM_RES!$J:$J,0)-1,0),0)</f>
        <v>0</v>
      </c>
      <c r="BA485" s="17"/>
      <c r="BB485" s="18"/>
      <c r="BC485" s="17"/>
      <c r="BD485" s="18"/>
      <c r="BE485" s="18">
        <f ca="1">IFERROR(OFFSET(ITEM_RES!$A$1,MATCH(BF485,ITEM_RES!$J:$J,0)-1,0),0)</f>
        <v>213010101</v>
      </c>
      <c r="BF485" s="17" t="s">
        <v>452</v>
      </c>
      <c r="BG485" s="18">
        <v>1</v>
      </c>
      <c r="BH485" s="17"/>
      <c r="BI485" s="18"/>
      <c r="BJ485" s="18">
        <f ca="1">IFERROR(OFFSET(ITEM_RES!$A$1,MATCH(BK485,ITEM_RES!$J:$J,0)-1,0),0)</f>
        <v>213010201</v>
      </c>
      <c r="BK485" s="17" t="s">
        <v>474</v>
      </c>
      <c r="BL485" s="18">
        <v>1</v>
      </c>
      <c r="BM485" s="17"/>
      <c r="BN485" s="18"/>
      <c r="BO485" s="18">
        <f ca="1">IFERROR(OFFSET(ITEM_RES!$A$1,MATCH(BP485,ITEM_RES!$J:$J,0)-1,0),0)</f>
        <v>0</v>
      </c>
      <c r="BP485" s="17"/>
      <c r="BQ485" s="18"/>
      <c r="BR485" s="17"/>
    </row>
    <row r="486" spans="1:70" x14ac:dyDescent="0.3">
      <c r="A486" s="14">
        <f t="shared" si="141"/>
        <v>115010002</v>
      </c>
      <c r="B486" s="13">
        <v>11</v>
      </c>
      <c r="C486" s="12">
        <f t="shared" si="142"/>
        <v>5</v>
      </c>
      <c r="D486" s="13">
        <v>1</v>
      </c>
      <c r="E486" s="13">
        <v>0</v>
      </c>
      <c r="F486" s="12">
        <f t="shared" si="143"/>
        <v>2</v>
      </c>
      <c r="H486" s="9">
        <v>5</v>
      </c>
      <c r="I486" s="9">
        <v>2</v>
      </c>
      <c r="K486" s="9" t="s">
        <v>1143</v>
      </c>
      <c r="O486" s="9">
        <v>1</v>
      </c>
      <c r="P486" s="9">
        <v>15</v>
      </c>
      <c r="Q486" s="9" t="s">
        <v>1166</v>
      </c>
      <c r="U486" s="9">
        <v>2222</v>
      </c>
      <c r="X486" s="9">
        <f ca="1">IFERROR(OFFSET(ITEM_RES!$A$5,MATCH(BUILDING!W486,ITEM_RES!$J$5:$J$226,0)-1,0),0)</f>
        <v>0</v>
      </c>
      <c r="AA486" s="9">
        <f ca="1">IFERROR(OFFSET(ITEM_RES!$A$5,MATCH(BUILDING!Z486,ITEM_RES!$J$5:$J$226,0)-1,0),0)</f>
        <v>0</v>
      </c>
      <c r="AC486" s="9" t="s">
        <v>530</v>
      </c>
      <c r="AD486" s="9">
        <v>2</v>
      </c>
      <c r="AF486" s="11">
        <f ca="1">IFERROR(OFFSET(MANOR_LEVEL!$B$1,MATCH(AG486-1,MANOR_LEVEL!$A:$A,0)-1,0),0)</f>
        <v>0</v>
      </c>
      <c r="AG486" s="56">
        <v>1</v>
      </c>
      <c r="AI486" s="56">
        <f t="shared" ca="1" si="138"/>
        <v>20</v>
      </c>
      <c r="AJ486" s="10">
        <f ca="1">AO486+AQ486+(IFERROR(OFFSET(ITEM_RES!$S$1,MATCH(AU486,ITEM_RES!$A:$A,0)-1,0),0)*AW486+IFERROR(OFFSET(ITEM_RES!$S$1,MATCH(AZ486,ITEM_RES!$A:$A,0)-1,0),0)*BB486+IFERROR(OFFSET(ITEM_RES!$S$1,MATCH(BE486,ITEM_RES!$A:$A,0)-1,0),0)*BG486+IFERROR(OFFSET(ITEM_RES!$S$1,MATCH(BJ486,ITEM_RES!$A:$A,0)-1,0),0)*BL486+IFERROR(OFFSET(ITEM_RES!$S$1,MATCH(BO486,ITEM_RES!$A:$A,0)-1,0),0)*BQ486)/1000</f>
        <v>20.100000000000001</v>
      </c>
      <c r="AK486" s="183">
        <f ca="1">AI485+AI486</f>
        <v>230</v>
      </c>
      <c r="AM486" s="11">
        <f t="shared" si="137"/>
        <v>10</v>
      </c>
      <c r="AN486" s="10">
        <v>10</v>
      </c>
      <c r="AO486" s="11">
        <f t="shared" si="144"/>
        <v>10</v>
      </c>
      <c r="AP486" s="10">
        <v>10</v>
      </c>
      <c r="AQ486" s="11">
        <f t="shared" si="144"/>
        <v>10</v>
      </c>
      <c r="AR486" s="10">
        <v>10</v>
      </c>
      <c r="AS486" s="56">
        <f t="shared" si="139"/>
        <v>1</v>
      </c>
      <c r="AU486" s="11">
        <f ca="1">IFERROR(OFFSET(ITEM_RES!$A$1,MATCH(AV486,ITEM_RES!$J:$J,0)-1,0),0)</f>
        <v>211020801</v>
      </c>
      <c r="AV486" s="10" t="s">
        <v>437</v>
      </c>
      <c r="AW486" s="11">
        <v>1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  <c r="BO486" s="11">
        <f ca="1">IFERROR(OFFSET(ITEM_RES!$A$1,MATCH(BP486,ITEM_RES!$J:$J,0)-1,0),0)</f>
        <v>0</v>
      </c>
    </row>
    <row r="487" spans="1:70" x14ac:dyDescent="0.3">
      <c r="A487" s="14">
        <f t="shared" si="141"/>
        <v>115010003</v>
      </c>
      <c r="B487" s="13">
        <v>11</v>
      </c>
      <c r="C487" s="12">
        <f t="shared" si="142"/>
        <v>5</v>
      </c>
      <c r="D487" s="13">
        <v>1</v>
      </c>
      <c r="E487" s="13">
        <v>0</v>
      </c>
      <c r="F487" s="12">
        <f t="shared" si="143"/>
        <v>3</v>
      </c>
      <c r="H487" s="9">
        <v>5</v>
      </c>
      <c r="I487" s="9">
        <v>3</v>
      </c>
      <c r="K487" s="9" t="s">
        <v>365</v>
      </c>
      <c r="O487" s="9">
        <v>1</v>
      </c>
      <c r="P487" s="9">
        <v>15</v>
      </c>
      <c r="Q487" s="9" t="s">
        <v>1166</v>
      </c>
      <c r="U487" s="9">
        <v>2222</v>
      </c>
      <c r="X487" s="9">
        <f ca="1">IFERROR(OFFSET(ITEM_RES!$A$5,MATCH(BUILDING!W487,ITEM_RES!$J$5:$J$226,0)-1,0),0)</f>
        <v>0</v>
      </c>
      <c r="AA487" s="9">
        <f ca="1">IFERROR(OFFSET(ITEM_RES!$A$5,MATCH(BUILDING!Z487,ITEM_RES!$J$5:$J$226,0)-1,0),0)</f>
        <v>0</v>
      </c>
      <c r="AC487" s="9" t="s">
        <v>530</v>
      </c>
      <c r="AD487" s="9">
        <v>3</v>
      </c>
      <c r="AF487" s="11">
        <f ca="1">IFERROR(OFFSET(MANOR_LEVEL!$B$1,MATCH(AG487-1,MANOR_LEVEL!$A:$A,0)-1,0),0)</f>
        <v>0</v>
      </c>
      <c r="AG487" s="56">
        <v>1</v>
      </c>
      <c r="AI487" s="56">
        <f t="shared" ca="1" si="138"/>
        <v>30</v>
      </c>
      <c r="AJ487" s="10">
        <f ca="1">AO487+AQ487+(IFERROR(OFFSET(ITEM_RES!$S$1,MATCH(AU487,ITEM_RES!$A:$A,0)-1,0),0)*AW487+IFERROR(OFFSET(ITEM_RES!$S$1,MATCH(AZ487,ITEM_RES!$A:$A,0)-1,0),0)*BB487+IFERROR(OFFSET(ITEM_RES!$S$1,MATCH(BE487,ITEM_RES!$A:$A,0)-1,0),0)*BG487+IFERROR(OFFSET(ITEM_RES!$S$1,MATCH(BJ487,ITEM_RES!$A:$A,0)-1,0),0)*BL487+IFERROR(OFFSET(ITEM_RES!$S$1,MATCH(BO487,ITEM_RES!$A:$A,0)-1,0),0)*BQ487)/1000</f>
        <v>30.1</v>
      </c>
      <c r="AK487" s="183">
        <f t="shared" ref="AK487:AK504" ca="1" si="146">AI486+AI487</f>
        <v>50</v>
      </c>
      <c r="AM487" s="11">
        <f t="shared" si="137"/>
        <v>15</v>
      </c>
      <c r="AN487" s="10">
        <v>15</v>
      </c>
      <c r="AO487" s="11">
        <f t="shared" si="144"/>
        <v>15</v>
      </c>
      <c r="AP487" s="10">
        <v>15</v>
      </c>
      <c r="AQ487" s="11">
        <f t="shared" si="144"/>
        <v>15</v>
      </c>
      <c r="AR487" s="10">
        <v>15</v>
      </c>
      <c r="AS487" s="56">
        <f t="shared" si="139"/>
        <v>1</v>
      </c>
      <c r="AU487" s="11">
        <f ca="1">IFERROR(OFFSET(ITEM_RES!$A$1,MATCH(AV487,ITEM_RES!$J:$J,0)-1,0),0)</f>
        <v>211020801</v>
      </c>
      <c r="AV487" s="10" t="s">
        <v>437</v>
      </c>
      <c r="AW487" s="11">
        <v>1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  <c r="BO487" s="11">
        <f ca="1">IFERROR(OFFSET(ITEM_RES!$A$1,MATCH(BP487,ITEM_RES!$J:$J,0)-1,0),0)</f>
        <v>0</v>
      </c>
    </row>
    <row r="488" spans="1:70" x14ac:dyDescent="0.3">
      <c r="A488" s="14">
        <f t="shared" si="141"/>
        <v>115010004</v>
      </c>
      <c r="B488" s="13">
        <v>11</v>
      </c>
      <c r="C488" s="12">
        <f t="shared" si="142"/>
        <v>5</v>
      </c>
      <c r="D488" s="13">
        <v>1</v>
      </c>
      <c r="E488" s="13">
        <v>0</v>
      </c>
      <c r="F488" s="12">
        <f t="shared" si="143"/>
        <v>4</v>
      </c>
      <c r="H488" s="9">
        <v>5</v>
      </c>
      <c r="I488" s="9">
        <v>4</v>
      </c>
      <c r="K488" s="9" t="s">
        <v>365</v>
      </c>
      <c r="O488" s="9">
        <v>1</v>
      </c>
      <c r="P488" s="9">
        <v>15</v>
      </c>
      <c r="Q488" s="9" t="s">
        <v>1166</v>
      </c>
      <c r="U488" s="9">
        <v>2222</v>
      </c>
      <c r="X488" s="9">
        <f ca="1">IFERROR(OFFSET(ITEM_RES!$A$5,MATCH(BUILDING!W488,ITEM_RES!$J$5:$J$226,0)-1,0),0)</f>
        <v>0</v>
      </c>
      <c r="AA488" s="9">
        <f ca="1">IFERROR(OFFSET(ITEM_RES!$A$5,MATCH(BUILDING!Z488,ITEM_RES!$J$5:$J$226,0)-1,0),0)</f>
        <v>0</v>
      </c>
      <c r="AC488" s="9" t="s">
        <v>530</v>
      </c>
      <c r="AD488" s="9">
        <v>4</v>
      </c>
      <c r="AF488" s="11">
        <f ca="1">IFERROR(OFFSET(MANOR_LEVEL!$B$1,MATCH(AG488-1,MANOR_LEVEL!$A:$A,0)-1,0),0)</f>
        <v>0</v>
      </c>
      <c r="AG488" s="56">
        <v>1</v>
      </c>
      <c r="AI488" s="56">
        <f t="shared" ca="1" si="138"/>
        <v>50</v>
      </c>
      <c r="AJ488" s="10">
        <f ca="1">AO488+AQ488+(IFERROR(OFFSET(ITEM_RES!$S$1,MATCH(AU488,ITEM_RES!$A:$A,0)-1,0),0)*AW488+IFERROR(OFFSET(ITEM_RES!$S$1,MATCH(AZ488,ITEM_RES!$A:$A,0)-1,0),0)*BB488+IFERROR(OFFSET(ITEM_RES!$S$1,MATCH(BE488,ITEM_RES!$A:$A,0)-1,0),0)*BG488+IFERROR(OFFSET(ITEM_RES!$S$1,MATCH(BJ488,ITEM_RES!$A:$A,0)-1,0),0)*BL488+IFERROR(OFFSET(ITEM_RES!$S$1,MATCH(BO488,ITEM_RES!$A:$A,0)-1,0),0)*BQ488)/1000</f>
        <v>50.1</v>
      </c>
      <c r="AK488" s="183">
        <f t="shared" ca="1" si="146"/>
        <v>80</v>
      </c>
      <c r="AM488" s="11">
        <f t="shared" si="137"/>
        <v>20</v>
      </c>
      <c r="AN488" s="10">
        <v>20</v>
      </c>
      <c r="AO488" s="11">
        <f t="shared" si="144"/>
        <v>25</v>
      </c>
      <c r="AP488" s="10">
        <v>25</v>
      </c>
      <c r="AQ488" s="11">
        <f t="shared" si="144"/>
        <v>25</v>
      </c>
      <c r="AR488" s="10">
        <v>25</v>
      </c>
      <c r="AS488" s="56">
        <f t="shared" si="139"/>
        <v>1</v>
      </c>
      <c r="AU488" s="11">
        <f ca="1">IFERROR(OFFSET(ITEM_RES!$A$1,MATCH(AV488,ITEM_RES!$J:$J,0)-1,0),0)</f>
        <v>211020801</v>
      </c>
      <c r="AV488" s="10" t="s">
        <v>437</v>
      </c>
      <c r="AW488" s="11">
        <v>1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  <c r="BO488" s="11">
        <f ca="1">IFERROR(OFFSET(ITEM_RES!$A$1,MATCH(BP488,ITEM_RES!$J:$J,0)-1,0),0)</f>
        <v>0</v>
      </c>
    </row>
    <row r="489" spans="1:70" x14ac:dyDescent="0.3">
      <c r="A489" s="14">
        <f t="shared" si="141"/>
        <v>115010005</v>
      </c>
      <c r="B489" s="13">
        <v>11</v>
      </c>
      <c r="C489" s="12">
        <f t="shared" si="142"/>
        <v>5</v>
      </c>
      <c r="D489" s="13">
        <v>1</v>
      </c>
      <c r="E489" s="13">
        <v>0</v>
      </c>
      <c r="F489" s="12">
        <f t="shared" si="143"/>
        <v>5</v>
      </c>
      <c r="H489" s="9">
        <v>5</v>
      </c>
      <c r="I489" s="9">
        <v>5</v>
      </c>
      <c r="K489" s="9" t="s">
        <v>365</v>
      </c>
      <c r="O489" s="9">
        <v>1</v>
      </c>
      <c r="P489" s="9">
        <v>15</v>
      </c>
      <c r="Q489" s="9" t="s">
        <v>1166</v>
      </c>
      <c r="U489" s="9">
        <v>2222</v>
      </c>
      <c r="X489" s="9">
        <f ca="1">IFERROR(OFFSET(ITEM_RES!$A$5,MATCH(BUILDING!W489,ITEM_RES!$J$5:$J$226,0)-1,0),0)</f>
        <v>0</v>
      </c>
      <c r="AA489" s="9">
        <f ca="1">IFERROR(OFFSET(ITEM_RES!$A$5,MATCH(BUILDING!Z489,ITEM_RES!$J$5:$J$226,0)-1,0),0)</f>
        <v>0</v>
      </c>
      <c r="AC489" s="9" t="s">
        <v>530</v>
      </c>
      <c r="AD489" s="9">
        <v>5</v>
      </c>
      <c r="AF489" s="11">
        <f ca="1">IFERROR(OFFSET(MANOR_LEVEL!$B$1,MATCH(AG489-1,MANOR_LEVEL!$A:$A,0)-1,0),0)</f>
        <v>0</v>
      </c>
      <c r="AG489" s="56">
        <v>1</v>
      </c>
      <c r="AI489" s="56">
        <f t="shared" ca="1" si="138"/>
        <v>80</v>
      </c>
      <c r="AJ489" s="10">
        <f ca="1">AO489+AQ489+(IFERROR(OFFSET(ITEM_RES!$S$1,MATCH(AU489,ITEM_RES!$A:$A,0)-1,0),0)*AW489+IFERROR(OFFSET(ITEM_RES!$S$1,MATCH(AZ489,ITEM_RES!$A:$A,0)-1,0),0)*BB489+IFERROR(OFFSET(ITEM_RES!$S$1,MATCH(BE489,ITEM_RES!$A:$A,0)-1,0),0)*BG489+IFERROR(OFFSET(ITEM_RES!$S$1,MATCH(BJ489,ITEM_RES!$A:$A,0)-1,0),0)*BL489+IFERROR(OFFSET(ITEM_RES!$S$1,MATCH(BO489,ITEM_RES!$A:$A,0)-1,0),0)*BQ489)/1000</f>
        <v>80.099999999999994</v>
      </c>
      <c r="AK489" s="183">
        <f t="shared" ca="1" si="146"/>
        <v>130</v>
      </c>
      <c r="AM489" s="11">
        <f t="shared" si="137"/>
        <v>25</v>
      </c>
      <c r="AN489" s="10">
        <v>25</v>
      </c>
      <c r="AO489" s="11">
        <f t="shared" si="144"/>
        <v>40</v>
      </c>
      <c r="AP489" s="10">
        <v>40</v>
      </c>
      <c r="AQ489" s="11">
        <f t="shared" si="144"/>
        <v>40</v>
      </c>
      <c r="AR489" s="10">
        <v>40</v>
      </c>
      <c r="AS489" s="56">
        <f t="shared" si="139"/>
        <v>1</v>
      </c>
      <c r="AU489" s="11">
        <f ca="1">IFERROR(OFFSET(ITEM_RES!$A$1,MATCH(AV489,ITEM_RES!$J:$J,0)-1,0),0)</f>
        <v>211020801</v>
      </c>
      <c r="AV489" s="10" t="s">
        <v>437</v>
      </c>
      <c r="AW489" s="11">
        <v>1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  <c r="BO489" s="11">
        <f ca="1">IFERROR(OFFSET(ITEM_RES!$A$1,MATCH(BP489,ITEM_RES!$J:$J,0)-1,0),0)</f>
        <v>0</v>
      </c>
    </row>
    <row r="490" spans="1:70" x14ac:dyDescent="0.3">
      <c r="A490" s="14">
        <f t="shared" si="141"/>
        <v>115010006</v>
      </c>
      <c r="B490" s="13">
        <v>11</v>
      </c>
      <c r="C490" s="12">
        <f t="shared" si="142"/>
        <v>5</v>
      </c>
      <c r="D490" s="13">
        <v>1</v>
      </c>
      <c r="E490" s="13">
        <v>0</v>
      </c>
      <c r="F490" s="12">
        <f t="shared" si="143"/>
        <v>6</v>
      </c>
      <c r="H490" s="9">
        <v>5</v>
      </c>
      <c r="I490" s="9">
        <v>6</v>
      </c>
      <c r="K490" s="9" t="s">
        <v>365</v>
      </c>
      <c r="O490" s="9">
        <v>1</v>
      </c>
      <c r="P490" s="9">
        <v>15</v>
      </c>
      <c r="Q490" s="9" t="s">
        <v>1166</v>
      </c>
      <c r="U490" s="9">
        <v>2222</v>
      </c>
      <c r="X490" s="9">
        <f ca="1">IFERROR(OFFSET(ITEM_RES!$A$5,MATCH(BUILDING!W490,ITEM_RES!$J$5:$J$226,0)-1,0),0)</f>
        <v>0</v>
      </c>
      <c r="AA490" s="9">
        <f ca="1">IFERROR(OFFSET(ITEM_RES!$A$5,MATCH(BUILDING!Z490,ITEM_RES!$J$5:$J$226,0)-1,0),0)</f>
        <v>0</v>
      </c>
      <c r="AC490" s="9" t="s">
        <v>530</v>
      </c>
      <c r="AD490" s="9">
        <v>6</v>
      </c>
      <c r="AF490" s="11">
        <f ca="1">IFERROR(OFFSET(MANOR_LEVEL!$B$1,MATCH(AG490-1,MANOR_LEVEL!$A:$A,0)-1,0),0)</f>
        <v>528</v>
      </c>
      <c r="AG490" s="56">
        <v>3</v>
      </c>
      <c r="AI490" s="56">
        <f t="shared" ca="1" si="138"/>
        <v>100</v>
      </c>
      <c r="AJ490" s="10">
        <f ca="1">AO490+AQ490+(IFERROR(OFFSET(ITEM_RES!$S$1,MATCH(AU490,ITEM_RES!$A:$A,0)-1,0),0)*AW490+IFERROR(OFFSET(ITEM_RES!$S$1,MATCH(AZ490,ITEM_RES!$A:$A,0)-1,0),0)*BB490+IFERROR(OFFSET(ITEM_RES!$S$1,MATCH(BE490,ITEM_RES!$A:$A,0)-1,0),0)*BG490+IFERROR(OFFSET(ITEM_RES!$S$1,MATCH(BJ490,ITEM_RES!$A:$A,0)-1,0),0)*BL490+IFERROR(OFFSET(ITEM_RES!$S$1,MATCH(BO490,ITEM_RES!$A:$A,0)-1,0),0)*BQ490)/1000</f>
        <v>100.1</v>
      </c>
      <c r="AK490" s="183">
        <f t="shared" ca="1" si="146"/>
        <v>180</v>
      </c>
      <c r="AM490" s="11">
        <f t="shared" si="137"/>
        <v>30</v>
      </c>
      <c r="AN490" s="10">
        <v>30</v>
      </c>
      <c r="AO490" s="11">
        <f t="shared" si="144"/>
        <v>50</v>
      </c>
      <c r="AP490" s="10">
        <v>50</v>
      </c>
      <c r="AQ490" s="11">
        <f t="shared" si="144"/>
        <v>50</v>
      </c>
      <c r="AR490" s="10">
        <v>50</v>
      </c>
      <c r="AS490" s="56">
        <f t="shared" si="139"/>
        <v>1</v>
      </c>
      <c r="AU490" s="11">
        <f ca="1">IFERROR(OFFSET(ITEM_RES!$A$1,MATCH(AV490,ITEM_RES!$J:$J,0)-1,0),0)</f>
        <v>211020801</v>
      </c>
      <c r="AV490" s="10" t="s">
        <v>437</v>
      </c>
      <c r="AW490" s="11">
        <v>1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  <c r="BO490" s="11">
        <f ca="1">IFERROR(OFFSET(ITEM_RES!$A$1,MATCH(BP490,ITEM_RES!$J:$J,0)-1,0),0)</f>
        <v>0</v>
      </c>
    </row>
    <row r="491" spans="1:70" x14ac:dyDescent="0.3">
      <c r="A491" s="14">
        <f t="shared" si="141"/>
        <v>115010007</v>
      </c>
      <c r="B491" s="13">
        <v>11</v>
      </c>
      <c r="C491" s="12">
        <f t="shared" si="142"/>
        <v>5</v>
      </c>
      <c r="D491" s="13">
        <v>1</v>
      </c>
      <c r="E491" s="13">
        <v>0</v>
      </c>
      <c r="F491" s="12">
        <f t="shared" si="143"/>
        <v>7</v>
      </c>
      <c r="H491" s="9">
        <v>5</v>
      </c>
      <c r="I491" s="9">
        <v>7</v>
      </c>
      <c r="K491" s="9" t="s">
        <v>365</v>
      </c>
      <c r="O491" s="9">
        <v>1</v>
      </c>
      <c r="P491" s="9">
        <v>15</v>
      </c>
      <c r="Q491" s="9" t="s">
        <v>1166</v>
      </c>
      <c r="U491" s="9">
        <v>2222</v>
      </c>
      <c r="X491" s="9">
        <f ca="1">IFERROR(OFFSET(ITEM_RES!$A$5,MATCH(BUILDING!W491,ITEM_RES!$J$5:$J$226,0)-1,0),0)</f>
        <v>0</v>
      </c>
      <c r="AA491" s="9">
        <f ca="1">IFERROR(OFFSET(ITEM_RES!$A$5,MATCH(BUILDING!Z491,ITEM_RES!$J$5:$J$226,0)-1,0),0)</f>
        <v>0</v>
      </c>
      <c r="AC491" s="9" t="s">
        <v>530</v>
      </c>
      <c r="AD491" s="9">
        <v>7</v>
      </c>
      <c r="AF491" s="11">
        <f ca="1">IFERROR(OFFSET(MANOR_LEVEL!$B$1,MATCH(AG491-1,MANOR_LEVEL!$A:$A,0)-1,0),0)</f>
        <v>800</v>
      </c>
      <c r="AG491" s="56">
        <v>4</v>
      </c>
      <c r="AI491" s="56">
        <f t="shared" ca="1" si="138"/>
        <v>200</v>
      </c>
      <c r="AJ491" s="10">
        <f ca="1">AO491+AQ491+(IFERROR(OFFSET(ITEM_RES!$S$1,MATCH(AU491,ITEM_RES!$A:$A,0)-1,0),0)*AW491+IFERROR(OFFSET(ITEM_RES!$S$1,MATCH(AZ491,ITEM_RES!$A:$A,0)-1,0),0)*BB491+IFERROR(OFFSET(ITEM_RES!$S$1,MATCH(BE491,ITEM_RES!$A:$A,0)-1,0),0)*BG491+IFERROR(OFFSET(ITEM_RES!$S$1,MATCH(BJ491,ITEM_RES!$A:$A,0)-1,0),0)*BL491+IFERROR(OFFSET(ITEM_RES!$S$1,MATCH(BO491,ITEM_RES!$A:$A,0)-1,0),0)*BQ491)/1000</f>
        <v>200.1</v>
      </c>
      <c r="AK491" s="183">
        <f t="shared" ca="1" si="146"/>
        <v>300</v>
      </c>
      <c r="AM491" s="11">
        <f t="shared" si="137"/>
        <v>35</v>
      </c>
      <c r="AN491" s="10">
        <v>35</v>
      </c>
      <c r="AO491" s="11">
        <f t="shared" si="144"/>
        <v>100</v>
      </c>
      <c r="AP491" s="10">
        <v>100</v>
      </c>
      <c r="AQ491" s="11">
        <f t="shared" si="144"/>
        <v>100</v>
      </c>
      <c r="AR491" s="10">
        <v>100</v>
      </c>
      <c r="AS491" s="56">
        <f t="shared" si="139"/>
        <v>1</v>
      </c>
      <c r="AU491" s="11">
        <f ca="1">IFERROR(OFFSET(ITEM_RES!$A$1,MATCH(AV491,ITEM_RES!$J:$J,0)-1,0),0)</f>
        <v>211020801</v>
      </c>
      <c r="AV491" s="10" t="s">
        <v>437</v>
      </c>
      <c r="AW491" s="11">
        <v>1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  <c r="BO491" s="11">
        <f ca="1">IFERROR(OFFSET(ITEM_RES!$A$1,MATCH(BP491,ITEM_RES!$J:$J,0)-1,0),0)</f>
        <v>0</v>
      </c>
    </row>
    <row r="492" spans="1:70" x14ac:dyDescent="0.3">
      <c r="A492" s="14">
        <f t="shared" si="141"/>
        <v>115010008</v>
      </c>
      <c r="B492" s="13">
        <v>11</v>
      </c>
      <c r="C492" s="12">
        <f t="shared" si="142"/>
        <v>5</v>
      </c>
      <c r="D492" s="13">
        <v>1</v>
      </c>
      <c r="E492" s="13">
        <v>0</v>
      </c>
      <c r="F492" s="12">
        <f t="shared" si="143"/>
        <v>8</v>
      </c>
      <c r="H492" s="9">
        <v>5</v>
      </c>
      <c r="I492" s="9">
        <v>8</v>
      </c>
      <c r="K492" s="9" t="s">
        <v>365</v>
      </c>
      <c r="O492" s="9">
        <v>1</v>
      </c>
      <c r="P492" s="9">
        <v>15</v>
      </c>
      <c r="Q492" s="9" t="s">
        <v>1166</v>
      </c>
      <c r="U492" s="9">
        <v>2222</v>
      </c>
      <c r="X492" s="9">
        <f ca="1">IFERROR(OFFSET(ITEM_RES!$A$5,MATCH(BUILDING!W492,ITEM_RES!$J$5:$J$226,0)-1,0),0)</f>
        <v>0</v>
      </c>
      <c r="AA492" s="9">
        <f ca="1">IFERROR(OFFSET(ITEM_RES!$A$5,MATCH(BUILDING!Z492,ITEM_RES!$J$5:$J$226,0)-1,0),0)</f>
        <v>0</v>
      </c>
      <c r="AC492" s="9" t="s">
        <v>530</v>
      </c>
      <c r="AD492" s="9">
        <v>8</v>
      </c>
      <c r="AF492" s="11">
        <f ca="1">IFERROR(OFFSET(MANOR_LEVEL!$B$1,MATCH(AG492-1,MANOR_LEVEL!$A:$A,0)-1,0),0)</f>
        <v>1500</v>
      </c>
      <c r="AG492" s="56">
        <v>5</v>
      </c>
      <c r="AI492" s="56">
        <f t="shared" ca="1" si="138"/>
        <v>200</v>
      </c>
      <c r="AJ492" s="10">
        <f ca="1">AO492+AQ492+(IFERROR(OFFSET(ITEM_RES!$S$1,MATCH(AU492,ITEM_RES!$A:$A,0)-1,0),0)*AW492+IFERROR(OFFSET(ITEM_RES!$S$1,MATCH(AZ492,ITEM_RES!$A:$A,0)-1,0),0)*BB492+IFERROR(OFFSET(ITEM_RES!$S$1,MATCH(BE492,ITEM_RES!$A:$A,0)-1,0),0)*BG492+IFERROR(OFFSET(ITEM_RES!$S$1,MATCH(BJ492,ITEM_RES!$A:$A,0)-1,0),0)*BL492+IFERROR(OFFSET(ITEM_RES!$S$1,MATCH(BO492,ITEM_RES!$A:$A,0)-1,0),0)*BQ492)/1000</f>
        <v>200.1</v>
      </c>
      <c r="AK492" s="183">
        <f t="shared" ca="1" si="146"/>
        <v>400</v>
      </c>
      <c r="AM492" s="11">
        <f t="shared" si="137"/>
        <v>40</v>
      </c>
      <c r="AN492" s="10">
        <v>40</v>
      </c>
      <c r="AO492" s="11">
        <f t="shared" si="144"/>
        <v>100</v>
      </c>
      <c r="AP492" s="10">
        <v>100</v>
      </c>
      <c r="AQ492" s="11">
        <f t="shared" si="144"/>
        <v>100</v>
      </c>
      <c r="AR492" s="10">
        <v>100</v>
      </c>
      <c r="AS492" s="56">
        <f t="shared" si="139"/>
        <v>1</v>
      </c>
      <c r="AU492" s="11">
        <f ca="1">IFERROR(OFFSET(ITEM_RES!$A$1,MATCH(AV492,ITEM_RES!$J:$J,0)-1,0),0)</f>
        <v>211020801</v>
      </c>
      <c r="AV492" s="10" t="s">
        <v>437</v>
      </c>
      <c r="AW492" s="11">
        <v>1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0</v>
      </c>
      <c r="BJ492" s="11">
        <f ca="1">IFERROR(OFFSET(ITEM_RES!$A$1,MATCH(BK492,ITEM_RES!$J:$J,0)-1,0),0)</f>
        <v>0</v>
      </c>
      <c r="BO492" s="11">
        <f ca="1">IFERROR(OFFSET(ITEM_RES!$A$1,MATCH(BP492,ITEM_RES!$J:$J,0)-1,0),0)</f>
        <v>0</v>
      </c>
    </row>
    <row r="493" spans="1:70" x14ac:dyDescent="0.3">
      <c r="A493" s="14">
        <f t="shared" si="141"/>
        <v>115010009</v>
      </c>
      <c r="B493" s="13">
        <v>11</v>
      </c>
      <c r="C493" s="12">
        <f t="shared" si="142"/>
        <v>5</v>
      </c>
      <c r="D493" s="13">
        <v>1</v>
      </c>
      <c r="E493" s="13">
        <v>0</v>
      </c>
      <c r="F493" s="12">
        <f t="shared" si="143"/>
        <v>9</v>
      </c>
      <c r="H493" s="9">
        <v>5</v>
      </c>
      <c r="I493" s="9">
        <v>9</v>
      </c>
      <c r="K493" s="9" t="s">
        <v>365</v>
      </c>
      <c r="O493" s="9">
        <v>1</v>
      </c>
      <c r="P493" s="9">
        <v>15</v>
      </c>
      <c r="Q493" s="9" t="s">
        <v>1166</v>
      </c>
      <c r="U493" s="9">
        <v>2222</v>
      </c>
      <c r="X493" s="9">
        <f ca="1">IFERROR(OFFSET(ITEM_RES!$A$5,MATCH(BUILDING!W493,ITEM_RES!$J$5:$J$226,0)-1,0),0)</f>
        <v>0</v>
      </c>
      <c r="AA493" s="9">
        <f ca="1">IFERROR(OFFSET(ITEM_RES!$A$5,MATCH(BUILDING!Z493,ITEM_RES!$J$5:$J$226,0)-1,0),0)</f>
        <v>0</v>
      </c>
      <c r="AC493" s="9" t="s">
        <v>530</v>
      </c>
      <c r="AD493" s="9">
        <v>9</v>
      </c>
      <c r="AF493" s="11">
        <f ca="1">IFERROR(OFFSET(MANOR_LEVEL!$B$1,MATCH(AG493-1,MANOR_LEVEL!$A:$A,0)-1,0),0)</f>
        <v>3872</v>
      </c>
      <c r="AG493" s="56">
        <v>6</v>
      </c>
      <c r="AI493" s="56">
        <f t="shared" ca="1" si="138"/>
        <v>300</v>
      </c>
      <c r="AJ493" s="10">
        <f ca="1">AO493+AQ493+(IFERROR(OFFSET(ITEM_RES!$S$1,MATCH(AU493,ITEM_RES!$A:$A,0)-1,0),0)*AW493+IFERROR(OFFSET(ITEM_RES!$S$1,MATCH(AZ493,ITEM_RES!$A:$A,0)-1,0),0)*BB493+IFERROR(OFFSET(ITEM_RES!$S$1,MATCH(BE493,ITEM_RES!$A:$A,0)-1,0),0)*BG493+IFERROR(OFFSET(ITEM_RES!$S$1,MATCH(BJ493,ITEM_RES!$A:$A,0)-1,0),0)*BL493+IFERROR(OFFSET(ITEM_RES!$S$1,MATCH(BO493,ITEM_RES!$A:$A,0)-1,0),0)*BQ493)/1000</f>
        <v>300.10000000000002</v>
      </c>
      <c r="AK493" s="183">
        <f t="shared" ca="1" si="146"/>
        <v>500</v>
      </c>
      <c r="AM493" s="11">
        <f t="shared" ref="AM493:AM556" si="147">ROUND(AN493,0)</f>
        <v>45</v>
      </c>
      <c r="AN493" s="10">
        <v>45</v>
      </c>
      <c r="AO493" s="11">
        <f t="shared" si="144"/>
        <v>150</v>
      </c>
      <c r="AP493" s="10">
        <v>150</v>
      </c>
      <c r="AQ493" s="11">
        <f t="shared" si="144"/>
        <v>150</v>
      </c>
      <c r="AR493" s="10">
        <v>150</v>
      </c>
      <c r="AS493" s="56">
        <f t="shared" si="139"/>
        <v>1</v>
      </c>
      <c r="AU493" s="11">
        <f ca="1">IFERROR(OFFSET(ITEM_RES!$A$1,MATCH(AV493,ITEM_RES!$J:$J,0)-1,0),0)</f>
        <v>211020801</v>
      </c>
      <c r="AV493" s="10" t="s">
        <v>437</v>
      </c>
      <c r="AW493" s="11">
        <v>1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  <c r="BO493" s="11">
        <f ca="1">IFERROR(OFFSET(ITEM_RES!$A$1,MATCH(BP493,ITEM_RES!$J:$J,0)-1,0),0)</f>
        <v>0</v>
      </c>
    </row>
    <row r="494" spans="1:70" x14ac:dyDescent="0.3">
      <c r="A494" s="14">
        <f t="shared" si="141"/>
        <v>115010010</v>
      </c>
      <c r="B494" s="13">
        <v>11</v>
      </c>
      <c r="C494" s="12">
        <f t="shared" si="142"/>
        <v>5</v>
      </c>
      <c r="D494" s="13">
        <v>1</v>
      </c>
      <c r="E494" s="13">
        <v>0</v>
      </c>
      <c r="F494" s="12">
        <f t="shared" si="143"/>
        <v>10</v>
      </c>
      <c r="H494" s="9">
        <v>5</v>
      </c>
      <c r="I494" s="9">
        <v>10</v>
      </c>
      <c r="K494" s="9" t="s">
        <v>365</v>
      </c>
      <c r="O494" s="9">
        <v>1</v>
      </c>
      <c r="P494" s="9">
        <v>15</v>
      </c>
      <c r="Q494" s="9" t="s">
        <v>1166</v>
      </c>
      <c r="U494" s="9">
        <v>2222</v>
      </c>
      <c r="X494" s="9">
        <f ca="1">IFERROR(OFFSET(ITEM_RES!$A$5,MATCH(BUILDING!W494,ITEM_RES!$J$5:$J$226,0)-1,0),0)</f>
        <v>0</v>
      </c>
      <c r="AA494" s="9">
        <f ca="1">IFERROR(OFFSET(ITEM_RES!$A$5,MATCH(BUILDING!Z494,ITEM_RES!$J$5:$J$226,0)-1,0),0)</f>
        <v>0</v>
      </c>
      <c r="AC494" s="9" t="s">
        <v>530</v>
      </c>
      <c r="AD494" s="9">
        <v>10</v>
      </c>
      <c r="AF494" s="11">
        <f ca="1">IFERROR(OFFSET(MANOR_LEVEL!$B$1,MATCH(AG494-1,MANOR_LEVEL!$A:$A,0)-1,0),0)</f>
        <v>32640</v>
      </c>
      <c r="AG494" s="56">
        <v>7</v>
      </c>
      <c r="AI494" s="56">
        <f t="shared" ref="AI494:AI557" ca="1" si="148">ROUND(AJ494,0)</f>
        <v>500</v>
      </c>
      <c r="AJ494" s="10">
        <f ca="1">AO494+AQ494+(IFERROR(OFFSET(ITEM_RES!$S$1,MATCH(AU494,ITEM_RES!$A:$A,0)-1,0),0)*AW494+IFERROR(OFFSET(ITEM_RES!$S$1,MATCH(AZ494,ITEM_RES!$A:$A,0)-1,0),0)*BB494+IFERROR(OFFSET(ITEM_RES!$S$1,MATCH(BE494,ITEM_RES!$A:$A,0)-1,0),0)*BG494+IFERROR(OFFSET(ITEM_RES!$S$1,MATCH(BJ494,ITEM_RES!$A:$A,0)-1,0),0)*BL494+IFERROR(OFFSET(ITEM_RES!$S$1,MATCH(BO494,ITEM_RES!$A:$A,0)-1,0),0)*BQ494)/1000</f>
        <v>500.1</v>
      </c>
      <c r="AK494" s="183">
        <f t="shared" ca="1" si="146"/>
        <v>800</v>
      </c>
      <c r="AM494" s="11">
        <f t="shared" si="147"/>
        <v>50</v>
      </c>
      <c r="AN494" s="10">
        <v>50</v>
      </c>
      <c r="AO494" s="11">
        <f t="shared" si="144"/>
        <v>200</v>
      </c>
      <c r="AP494" s="10">
        <v>200</v>
      </c>
      <c r="AQ494" s="11">
        <f t="shared" si="144"/>
        <v>200</v>
      </c>
      <c r="AR494" s="10">
        <v>200</v>
      </c>
      <c r="AS494" s="56">
        <f t="shared" ref="AS494:AS557" si="149">(AW494&gt;0)*1+(BB494&gt;0)*1+(BG494&gt;0)*1+(BL494&gt;0)*1+(BQ494&gt;0)*1</f>
        <v>2</v>
      </c>
      <c r="AU494" s="11">
        <f ca="1">IFERROR(OFFSET(ITEM_RES!$A$1,MATCH(AV494,ITEM_RES!$J:$J,0)-1,0),0)</f>
        <v>211020801</v>
      </c>
      <c r="AV494" s="10" t="s">
        <v>437</v>
      </c>
      <c r="AW494" s="11">
        <v>1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0</v>
      </c>
      <c r="BJ494" s="11">
        <f ca="1">IFERROR(OFFSET(ITEM_RES!$A$1,MATCH(BK494,ITEM_RES!$J:$J,0)-1,0),0)</f>
        <v>213011501</v>
      </c>
      <c r="BK494" s="10" t="s">
        <v>476</v>
      </c>
      <c r="BL494" s="11">
        <v>1</v>
      </c>
      <c r="BO494" s="11">
        <f ca="1">IFERROR(OFFSET(ITEM_RES!$A$1,MATCH(BP494,ITEM_RES!$J:$J,0)-1,0),0)</f>
        <v>0</v>
      </c>
    </row>
    <row r="495" spans="1:70" x14ac:dyDescent="0.3">
      <c r="A495" s="14">
        <f t="shared" si="141"/>
        <v>115010011</v>
      </c>
      <c r="B495" s="13">
        <v>11</v>
      </c>
      <c r="C495" s="12">
        <f t="shared" si="142"/>
        <v>5</v>
      </c>
      <c r="D495" s="13">
        <v>1</v>
      </c>
      <c r="E495" s="13">
        <v>0</v>
      </c>
      <c r="F495" s="12">
        <f t="shared" si="143"/>
        <v>11</v>
      </c>
      <c r="H495" s="9">
        <v>5</v>
      </c>
      <c r="I495" s="9">
        <v>11</v>
      </c>
      <c r="K495" s="9" t="s">
        <v>365</v>
      </c>
      <c r="O495" s="9">
        <v>1</v>
      </c>
      <c r="P495" s="9">
        <v>15</v>
      </c>
      <c r="Q495" s="9" t="s">
        <v>1166</v>
      </c>
      <c r="U495" s="9">
        <v>2222</v>
      </c>
      <c r="X495" s="9">
        <f ca="1">IFERROR(OFFSET(ITEM_RES!$A$5,MATCH(BUILDING!W495,ITEM_RES!$J$5:$J$226,0)-1,0),0)</f>
        <v>0</v>
      </c>
      <c r="AA495" s="9">
        <f ca="1">IFERROR(OFFSET(ITEM_RES!$A$5,MATCH(BUILDING!Z495,ITEM_RES!$J$5:$J$226,0)-1,0),0)</f>
        <v>0</v>
      </c>
      <c r="AC495" s="9" t="s">
        <v>530</v>
      </c>
      <c r="AD495" s="9">
        <v>11</v>
      </c>
      <c r="AF495" s="11">
        <f ca="1">IFERROR(OFFSET(MANOR_LEVEL!$B$1,MATCH(AG495-1,MANOR_LEVEL!$A:$A,0)-1,0),0)</f>
        <v>94800</v>
      </c>
      <c r="AG495" s="56">
        <v>8</v>
      </c>
      <c r="AI495" s="56">
        <f t="shared" ca="1" si="148"/>
        <v>500</v>
      </c>
      <c r="AJ495" s="10">
        <f ca="1">AO495+AQ495+(IFERROR(OFFSET(ITEM_RES!$S$1,MATCH(AU495,ITEM_RES!$A:$A,0)-1,0),0)*AW495+IFERROR(OFFSET(ITEM_RES!$S$1,MATCH(AZ495,ITEM_RES!$A:$A,0)-1,0),0)*BB495+IFERROR(OFFSET(ITEM_RES!$S$1,MATCH(BE495,ITEM_RES!$A:$A,0)-1,0),0)*BG495+IFERROR(OFFSET(ITEM_RES!$S$1,MATCH(BJ495,ITEM_RES!$A:$A,0)-1,0),0)*BL495+IFERROR(OFFSET(ITEM_RES!$S$1,MATCH(BO495,ITEM_RES!$A:$A,0)-1,0),0)*BQ495)/1000</f>
        <v>500.1</v>
      </c>
      <c r="AK495" s="183">
        <f t="shared" ca="1" si="146"/>
        <v>1000</v>
      </c>
      <c r="AM495" s="11">
        <f t="shared" si="147"/>
        <v>55</v>
      </c>
      <c r="AN495" s="10">
        <v>55</v>
      </c>
      <c r="AO495" s="11">
        <f t="shared" si="144"/>
        <v>250</v>
      </c>
      <c r="AP495" s="10">
        <v>250</v>
      </c>
      <c r="AQ495" s="11">
        <f t="shared" si="144"/>
        <v>250</v>
      </c>
      <c r="AR495" s="10">
        <v>250</v>
      </c>
      <c r="AS495" s="56">
        <f t="shared" si="149"/>
        <v>1</v>
      </c>
      <c r="AU495" s="11">
        <f ca="1">IFERROR(OFFSET(ITEM_RES!$A$1,MATCH(AV495,ITEM_RES!$J:$J,0)-1,0),0)</f>
        <v>211020801</v>
      </c>
      <c r="AV495" s="10" t="s">
        <v>437</v>
      </c>
      <c r="AW495" s="11">
        <v>1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  <c r="BO495" s="11">
        <f ca="1">IFERROR(OFFSET(ITEM_RES!$A$1,MATCH(BP495,ITEM_RES!$J:$J,0)-1,0),0)</f>
        <v>0</v>
      </c>
    </row>
    <row r="496" spans="1:70" x14ac:dyDescent="0.3">
      <c r="A496" s="14">
        <f t="shared" si="141"/>
        <v>115010012</v>
      </c>
      <c r="B496" s="13">
        <v>11</v>
      </c>
      <c r="C496" s="12">
        <f t="shared" si="142"/>
        <v>5</v>
      </c>
      <c r="D496" s="13">
        <v>1</v>
      </c>
      <c r="E496" s="13">
        <v>0</v>
      </c>
      <c r="F496" s="12">
        <f t="shared" si="143"/>
        <v>12</v>
      </c>
      <c r="H496" s="9">
        <v>5</v>
      </c>
      <c r="I496" s="9">
        <v>12</v>
      </c>
      <c r="K496" s="9" t="s">
        <v>365</v>
      </c>
      <c r="O496" s="9">
        <v>1</v>
      </c>
      <c r="P496" s="9">
        <v>15</v>
      </c>
      <c r="Q496" s="9" t="s">
        <v>1166</v>
      </c>
      <c r="U496" s="9">
        <v>2222</v>
      </c>
      <c r="X496" s="9">
        <f ca="1">IFERROR(OFFSET(ITEM_RES!$A$5,MATCH(BUILDING!W496,ITEM_RES!$J$5:$J$226,0)-1,0),0)</f>
        <v>0</v>
      </c>
      <c r="AA496" s="9">
        <f ca="1">IFERROR(OFFSET(ITEM_RES!$A$5,MATCH(BUILDING!Z496,ITEM_RES!$J$5:$J$226,0)-1,0),0)</f>
        <v>0</v>
      </c>
      <c r="AC496" s="9" t="s">
        <v>530</v>
      </c>
      <c r="AD496" s="9">
        <v>12</v>
      </c>
      <c r="AF496" s="11">
        <f ca="1">IFERROR(OFFSET(MANOR_LEVEL!$B$1,MATCH(AG496-1,MANOR_LEVEL!$A:$A,0)-1,0),0)</f>
        <v>186400</v>
      </c>
      <c r="AG496" s="56">
        <v>9</v>
      </c>
      <c r="AI496" s="56">
        <f t="shared" ca="1" si="148"/>
        <v>600</v>
      </c>
      <c r="AJ496" s="10">
        <f ca="1">AO496+AQ496+(IFERROR(OFFSET(ITEM_RES!$S$1,MATCH(AU496,ITEM_RES!$A:$A,0)-1,0),0)*AW496+IFERROR(OFFSET(ITEM_RES!$S$1,MATCH(AZ496,ITEM_RES!$A:$A,0)-1,0),0)*BB496+IFERROR(OFFSET(ITEM_RES!$S$1,MATCH(BE496,ITEM_RES!$A:$A,0)-1,0),0)*BG496+IFERROR(OFFSET(ITEM_RES!$S$1,MATCH(BJ496,ITEM_RES!$A:$A,0)-1,0),0)*BL496+IFERROR(OFFSET(ITEM_RES!$S$1,MATCH(BO496,ITEM_RES!$A:$A,0)-1,0),0)*BQ496)/1000</f>
        <v>600.1</v>
      </c>
      <c r="AK496" s="183">
        <f t="shared" ca="1" si="146"/>
        <v>1100</v>
      </c>
      <c r="AM496" s="11">
        <f t="shared" si="147"/>
        <v>60</v>
      </c>
      <c r="AN496" s="10">
        <v>60</v>
      </c>
      <c r="AO496" s="11">
        <f t="shared" si="144"/>
        <v>300</v>
      </c>
      <c r="AP496" s="10">
        <v>300</v>
      </c>
      <c r="AQ496" s="11">
        <f t="shared" si="144"/>
        <v>300</v>
      </c>
      <c r="AR496" s="10">
        <v>300</v>
      </c>
      <c r="AS496" s="56">
        <f t="shared" si="149"/>
        <v>1</v>
      </c>
      <c r="AU496" s="11">
        <f ca="1">IFERROR(OFFSET(ITEM_RES!$A$1,MATCH(AV496,ITEM_RES!$J:$J,0)-1,0),0)</f>
        <v>211020801</v>
      </c>
      <c r="AV496" s="10" t="s">
        <v>437</v>
      </c>
      <c r="AW496" s="11">
        <v>1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  <c r="BO496" s="11">
        <f ca="1">IFERROR(OFFSET(ITEM_RES!$A$1,MATCH(BP496,ITEM_RES!$J:$J,0)-1,0),0)</f>
        <v>0</v>
      </c>
    </row>
    <row r="497" spans="1:70" x14ac:dyDescent="0.3">
      <c r="A497" s="14">
        <f t="shared" si="141"/>
        <v>115010013</v>
      </c>
      <c r="B497" s="13">
        <v>11</v>
      </c>
      <c r="C497" s="12">
        <f t="shared" si="142"/>
        <v>5</v>
      </c>
      <c r="D497" s="13">
        <v>1</v>
      </c>
      <c r="E497" s="13">
        <v>0</v>
      </c>
      <c r="F497" s="12">
        <f t="shared" si="143"/>
        <v>13</v>
      </c>
      <c r="H497" s="9">
        <v>5</v>
      </c>
      <c r="I497" s="9">
        <v>13</v>
      </c>
      <c r="K497" s="9" t="s">
        <v>365</v>
      </c>
      <c r="O497" s="9">
        <v>1</v>
      </c>
      <c r="P497" s="9">
        <v>15</v>
      </c>
      <c r="Q497" s="9" t="s">
        <v>1166</v>
      </c>
      <c r="U497" s="9">
        <v>2222</v>
      </c>
      <c r="X497" s="9">
        <f ca="1">IFERROR(OFFSET(ITEM_RES!$A$5,MATCH(BUILDING!W497,ITEM_RES!$J$5:$J$226,0)-1,0),0)</f>
        <v>0</v>
      </c>
      <c r="AA497" s="9">
        <f ca="1">IFERROR(OFFSET(ITEM_RES!$A$5,MATCH(BUILDING!Z497,ITEM_RES!$J$5:$J$226,0)-1,0),0)</f>
        <v>0</v>
      </c>
      <c r="AC497" s="9" t="s">
        <v>530</v>
      </c>
      <c r="AD497" s="9">
        <v>13</v>
      </c>
      <c r="AF497" s="11">
        <f ca="1">IFERROR(OFFSET(MANOR_LEVEL!$B$1,MATCH(AG497-1,MANOR_LEVEL!$A:$A,0)-1,0),0)</f>
        <v>311600</v>
      </c>
      <c r="AG497" s="56">
        <v>10</v>
      </c>
      <c r="AI497" s="56">
        <f t="shared" ca="1" si="148"/>
        <v>700</v>
      </c>
      <c r="AJ497" s="10">
        <f ca="1">AO497+AQ497+(IFERROR(OFFSET(ITEM_RES!$S$1,MATCH(AU497,ITEM_RES!$A:$A,0)-1,0),0)*AW497+IFERROR(OFFSET(ITEM_RES!$S$1,MATCH(AZ497,ITEM_RES!$A:$A,0)-1,0),0)*BB497+IFERROR(OFFSET(ITEM_RES!$S$1,MATCH(BE497,ITEM_RES!$A:$A,0)-1,0),0)*BG497+IFERROR(OFFSET(ITEM_RES!$S$1,MATCH(BJ497,ITEM_RES!$A:$A,0)-1,0),0)*BL497+IFERROR(OFFSET(ITEM_RES!$S$1,MATCH(BO497,ITEM_RES!$A:$A,0)-1,0),0)*BQ497)/1000</f>
        <v>700.1</v>
      </c>
      <c r="AK497" s="183">
        <f t="shared" ca="1" si="146"/>
        <v>1300</v>
      </c>
      <c r="AM497" s="11">
        <f t="shared" si="147"/>
        <v>65</v>
      </c>
      <c r="AN497" s="10">
        <v>65</v>
      </c>
      <c r="AO497" s="11">
        <f t="shared" si="144"/>
        <v>350</v>
      </c>
      <c r="AP497" s="10">
        <v>350</v>
      </c>
      <c r="AQ497" s="11">
        <f t="shared" si="144"/>
        <v>350</v>
      </c>
      <c r="AR497" s="10">
        <v>350</v>
      </c>
      <c r="AS497" s="56">
        <f t="shared" si="149"/>
        <v>1</v>
      </c>
      <c r="AU497" s="11">
        <f ca="1">IFERROR(OFFSET(ITEM_RES!$A$1,MATCH(AV497,ITEM_RES!$J:$J,0)-1,0),0)</f>
        <v>211020801</v>
      </c>
      <c r="AV497" s="10" t="s">
        <v>437</v>
      </c>
      <c r="AW497" s="11">
        <v>1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  <c r="BO497" s="11">
        <f ca="1">IFERROR(OFFSET(ITEM_RES!$A$1,MATCH(BP497,ITEM_RES!$J:$J,0)-1,0),0)</f>
        <v>0</v>
      </c>
    </row>
    <row r="498" spans="1:70" x14ac:dyDescent="0.3">
      <c r="A498" s="14">
        <f t="shared" si="141"/>
        <v>115010014</v>
      </c>
      <c r="B498" s="13">
        <v>11</v>
      </c>
      <c r="C498" s="12">
        <f t="shared" si="142"/>
        <v>5</v>
      </c>
      <c r="D498" s="13">
        <v>1</v>
      </c>
      <c r="E498" s="13">
        <v>0</v>
      </c>
      <c r="F498" s="12">
        <f t="shared" si="143"/>
        <v>14</v>
      </c>
      <c r="H498" s="9">
        <v>5</v>
      </c>
      <c r="I498" s="9">
        <v>14</v>
      </c>
      <c r="K498" s="9" t="s">
        <v>365</v>
      </c>
      <c r="O498" s="9">
        <v>1</v>
      </c>
      <c r="P498" s="9">
        <v>15</v>
      </c>
      <c r="Q498" s="9" t="s">
        <v>1166</v>
      </c>
      <c r="U498" s="9">
        <v>2222</v>
      </c>
      <c r="X498" s="9">
        <f ca="1">IFERROR(OFFSET(ITEM_RES!$A$5,MATCH(BUILDING!W498,ITEM_RES!$J$5:$J$226,0)-1,0),0)</f>
        <v>0</v>
      </c>
      <c r="AA498" s="9">
        <f ca="1">IFERROR(OFFSET(ITEM_RES!$A$5,MATCH(BUILDING!Z498,ITEM_RES!$J$5:$J$226,0)-1,0),0)</f>
        <v>0</v>
      </c>
      <c r="AC498" s="9" t="s">
        <v>530</v>
      </c>
      <c r="AD498" s="9">
        <v>14</v>
      </c>
      <c r="AF498" s="11">
        <f ca="1">IFERROR(OFFSET(MANOR_LEVEL!$B$1,MATCH(AG498-1,MANOR_LEVEL!$A:$A,0)-1,0),0)</f>
        <v>456800</v>
      </c>
      <c r="AG498" s="56">
        <v>11</v>
      </c>
      <c r="AI498" s="56">
        <f t="shared" ca="1" si="148"/>
        <v>900</v>
      </c>
      <c r="AJ498" s="10">
        <f ca="1">AO498+AQ498+(IFERROR(OFFSET(ITEM_RES!$S$1,MATCH(AU498,ITEM_RES!$A:$A,0)-1,0),0)*AW498+IFERROR(OFFSET(ITEM_RES!$S$1,MATCH(AZ498,ITEM_RES!$A:$A,0)-1,0),0)*BB498+IFERROR(OFFSET(ITEM_RES!$S$1,MATCH(BE498,ITEM_RES!$A:$A,0)-1,0),0)*BG498+IFERROR(OFFSET(ITEM_RES!$S$1,MATCH(BJ498,ITEM_RES!$A:$A,0)-1,0),0)*BL498+IFERROR(OFFSET(ITEM_RES!$S$1,MATCH(BO498,ITEM_RES!$A:$A,0)-1,0),0)*BQ498)/1000</f>
        <v>900.1</v>
      </c>
      <c r="AK498" s="183">
        <f t="shared" ca="1" si="146"/>
        <v>1600</v>
      </c>
      <c r="AM498" s="11">
        <f t="shared" si="147"/>
        <v>70</v>
      </c>
      <c r="AN498" s="10">
        <v>70</v>
      </c>
      <c r="AO498" s="11">
        <f t="shared" si="144"/>
        <v>450</v>
      </c>
      <c r="AP498" s="10">
        <v>450</v>
      </c>
      <c r="AQ498" s="11">
        <f t="shared" si="144"/>
        <v>450</v>
      </c>
      <c r="AR498" s="10">
        <v>450</v>
      </c>
      <c r="AS498" s="56">
        <f t="shared" si="149"/>
        <v>1</v>
      </c>
      <c r="AU498" s="11">
        <f ca="1">IFERROR(OFFSET(ITEM_RES!$A$1,MATCH(AV498,ITEM_RES!$J:$J,0)-1,0),0)</f>
        <v>211020801</v>
      </c>
      <c r="AV498" s="10" t="s">
        <v>437</v>
      </c>
      <c r="AW498" s="11">
        <v>1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  <c r="BO498" s="11">
        <f ca="1">IFERROR(OFFSET(ITEM_RES!$A$1,MATCH(BP498,ITEM_RES!$J:$J,0)-1,0),0)</f>
        <v>0</v>
      </c>
    </row>
    <row r="499" spans="1:70" x14ac:dyDescent="0.3">
      <c r="A499" s="14">
        <f t="shared" si="141"/>
        <v>115010015</v>
      </c>
      <c r="B499" s="13">
        <v>11</v>
      </c>
      <c r="C499" s="12">
        <f t="shared" si="142"/>
        <v>5</v>
      </c>
      <c r="D499" s="13">
        <v>1</v>
      </c>
      <c r="E499" s="13">
        <v>0</v>
      </c>
      <c r="F499" s="12">
        <f t="shared" si="143"/>
        <v>15</v>
      </c>
      <c r="H499" s="9">
        <v>5</v>
      </c>
      <c r="I499" s="9">
        <v>15</v>
      </c>
      <c r="K499" s="9" t="s">
        <v>365</v>
      </c>
      <c r="O499" s="9">
        <v>1</v>
      </c>
      <c r="P499" s="9">
        <v>15</v>
      </c>
      <c r="Q499" s="9" t="s">
        <v>1166</v>
      </c>
      <c r="U499" s="9">
        <v>2222</v>
      </c>
      <c r="X499" s="9">
        <f ca="1">IFERROR(OFFSET(ITEM_RES!$A$5,MATCH(BUILDING!W499,ITEM_RES!$J$5:$J$226,0)-1,0),0)</f>
        <v>0</v>
      </c>
      <c r="AA499" s="9">
        <f ca="1">IFERROR(OFFSET(ITEM_RES!$A$5,MATCH(BUILDING!Z499,ITEM_RES!$J$5:$J$226,0)-1,0),0)</f>
        <v>0</v>
      </c>
      <c r="AC499" s="9" t="s">
        <v>530</v>
      </c>
      <c r="AD499" s="9">
        <v>15</v>
      </c>
      <c r="AF499" s="11">
        <f ca="1">IFERROR(OFFSET(MANOR_LEVEL!$B$1,MATCH(AG499-1,MANOR_LEVEL!$A:$A,0)-1,0),0)</f>
        <v>796000</v>
      </c>
      <c r="AG499" s="56">
        <v>12</v>
      </c>
      <c r="AI499" s="56">
        <f t="shared" ca="1" si="148"/>
        <v>1100</v>
      </c>
      <c r="AJ499" s="10">
        <f ca="1">AO499+AQ499+(IFERROR(OFFSET(ITEM_RES!$S$1,MATCH(AU499,ITEM_RES!$A:$A,0)-1,0),0)*AW499+IFERROR(OFFSET(ITEM_RES!$S$1,MATCH(AZ499,ITEM_RES!$A:$A,0)-1,0),0)*BB499+IFERROR(OFFSET(ITEM_RES!$S$1,MATCH(BE499,ITEM_RES!$A:$A,0)-1,0),0)*BG499+IFERROR(OFFSET(ITEM_RES!$S$1,MATCH(BJ499,ITEM_RES!$A:$A,0)-1,0),0)*BL499+IFERROR(OFFSET(ITEM_RES!$S$1,MATCH(BO499,ITEM_RES!$A:$A,0)-1,0),0)*BQ499)/1000</f>
        <v>1100.0999999999999</v>
      </c>
      <c r="AK499" s="183">
        <f t="shared" ca="1" si="146"/>
        <v>2000</v>
      </c>
      <c r="AM499" s="11">
        <f t="shared" si="147"/>
        <v>75</v>
      </c>
      <c r="AN499" s="10">
        <v>75</v>
      </c>
      <c r="AO499" s="11">
        <f t="shared" si="144"/>
        <v>550</v>
      </c>
      <c r="AP499" s="10">
        <v>550</v>
      </c>
      <c r="AQ499" s="11">
        <f t="shared" si="144"/>
        <v>550</v>
      </c>
      <c r="AR499" s="10">
        <v>550</v>
      </c>
      <c r="AS499" s="56">
        <f t="shared" si="149"/>
        <v>1</v>
      </c>
      <c r="AU499" s="11">
        <f ca="1">IFERROR(OFFSET(ITEM_RES!$A$1,MATCH(AV499,ITEM_RES!$J:$J,0)-1,0),0)</f>
        <v>211020801</v>
      </c>
      <c r="AV499" s="10" t="s">
        <v>437</v>
      </c>
      <c r="AW499" s="11">
        <v>1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  <c r="BO499" s="11">
        <f ca="1">IFERROR(OFFSET(ITEM_RES!$A$1,MATCH(BP499,ITEM_RES!$J:$J,0)-1,0),0)</f>
        <v>0</v>
      </c>
    </row>
    <row r="500" spans="1:70" x14ac:dyDescent="0.3">
      <c r="A500" s="14">
        <f t="shared" si="141"/>
        <v>115010016</v>
      </c>
      <c r="B500" s="13">
        <v>11</v>
      </c>
      <c r="C500" s="12">
        <f t="shared" si="142"/>
        <v>5</v>
      </c>
      <c r="D500" s="13">
        <v>1</v>
      </c>
      <c r="E500" s="13">
        <v>0</v>
      </c>
      <c r="F500" s="12">
        <f t="shared" si="143"/>
        <v>16</v>
      </c>
      <c r="H500" s="9">
        <v>5</v>
      </c>
      <c r="I500" s="9">
        <v>16</v>
      </c>
      <c r="K500" s="9" t="s">
        <v>365</v>
      </c>
      <c r="O500" s="9">
        <v>0</v>
      </c>
      <c r="P500" s="9">
        <v>15</v>
      </c>
      <c r="Q500" s="9" t="s">
        <v>1166</v>
      </c>
      <c r="U500" s="9">
        <v>2222</v>
      </c>
      <c r="X500" s="9">
        <f ca="1">IFERROR(OFFSET(ITEM_RES!$A$5,MATCH(BUILDING!W500,ITEM_RES!$J$5:$J$226,0)-1,0),0)</f>
        <v>0</v>
      </c>
      <c r="AA500" s="9">
        <f ca="1">IFERROR(OFFSET(ITEM_RES!$A$5,MATCH(BUILDING!Z500,ITEM_RES!$J$5:$J$226,0)-1,0),0)</f>
        <v>0</v>
      </c>
      <c r="AC500" s="9" t="s">
        <v>530</v>
      </c>
      <c r="AD500" s="9">
        <v>16</v>
      </c>
      <c r="AF500" s="11">
        <f ca="1">IFERROR(OFFSET(MANOR_LEVEL!$B$1,MATCH(AG500-1,MANOR_LEVEL!$A:$A,0)-1,0),0)</f>
        <v>1156400</v>
      </c>
      <c r="AG500" s="56">
        <v>13</v>
      </c>
      <c r="AI500" s="56">
        <f t="shared" ca="1" si="148"/>
        <v>1400</v>
      </c>
      <c r="AJ500" s="10">
        <f ca="1">AO500+AQ500+(IFERROR(OFFSET(ITEM_RES!$S$1,MATCH(AU500,ITEM_RES!$A:$A,0)-1,0),0)*AW500+IFERROR(OFFSET(ITEM_RES!$S$1,MATCH(AZ500,ITEM_RES!$A:$A,0)-1,0),0)*BB500+IFERROR(OFFSET(ITEM_RES!$S$1,MATCH(BE500,ITEM_RES!$A:$A,0)-1,0),0)*BG500+IFERROR(OFFSET(ITEM_RES!$S$1,MATCH(BJ500,ITEM_RES!$A:$A,0)-1,0),0)*BL500+IFERROR(OFFSET(ITEM_RES!$S$1,MATCH(BO500,ITEM_RES!$A:$A,0)-1,0),0)*BQ500)/1000</f>
        <v>1400.2</v>
      </c>
      <c r="AK500" s="183">
        <f t="shared" ca="1" si="146"/>
        <v>2500</v>
      </c>
      <c r="AM500" s="11">
        <f t="shared" si="147"/>
        <v>80</v>
      </c>
      <c r="AN500" s="10">
        <v>80</v>
      </c>
      <c r="AO500" s="11">
        <f t="shared" si="144"/>
        <v>700</v>
      </c>
      <c r="AP500" s="10">
        <v>700</v>
      </c>
      <c r="AQ500" s="11">
        <f t="shared" si="144"/>
        <v>700</v>
      </c>
      <c r="AR500" s="10">
        <v>700</v>
      </c>
      <c r="AS500" s="56">
        <f t="shared" si="149"/>
        <v>1</v>
      </c>
      <c r="AU500" s="11">
        <f ca="1">IFERROR(OFFSET(ITEM_RES!$A$1,MATCH(AV500,ITEM_RES!$J:$J,0)-1,0),0)</f>
        <v>211020901</v>
      </c>
      <c r="AV500" s="10" t="s">
        <v>444</v>
      </c>
      <c r="AW500" s="11">
        <v>1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  <c r="BO500" s="11">
        <f ca="1">IFERROR(OFFSET(ITEM_RES!$A$1,MATCH(BP500,ITEM_RES!$J:$J,0)-1,0),0)</f>
        <v>0</v>
      </c>
    </row>
    <row r="501" spans="1:70" x14ac:dyDescent="0.3">
      <c r="A501" s="14">
        <f t="shared" si="141"/>
        <v>115010017</v>
      </c>
      <c r="B501" s="13">
        <v>11</v>
      </c>
      <c r="C501" s="12">
        <f t="shared" si="142"/>
        <v>5</v>
      </c>
      <c r="D501" s="13">
        <v>1</v>
      </c>
      <c r="E501" s="13">
        <v>0</v>
      </c>
      <c r="F501" s="12">
        <f t="shared" si="143"/>
        <v>17</v>
      </c>
      <c r="H501" s="9">
        <v>5</v>
      </c>
      <c r="I501" s="9">
        <v>17</v>
      </c>
      <c r="K501" s="9" t="s">
        <v>365</v>
      </c>
      <c r="O501" s="9">
        <v>0</v>
      </c>
      <c r="P501" s="9">
        <v>15</v>
      </c>
      <c r="Q501" s="9" t="s">
        <v>1166</v>
      </c>
      <c r="U501" s="9">
        <v>2222</v>
      </c>
      <c r="X501" s="9">
        <f ca="1">IFERROR(OFFSET(ITEM_RES!$A$5,MATCH(BUILDING!W501,ITEM_RES!$J$5:$J$226,0)-1,0),0)</f>
        <v>0</v>
      </c>
      <c r="AA501" s="9">
        <f ca="1">IFERROR(OFFSET(ITEM_RES!$A$5,MATCH(BUILDING!Z501,ITEM_RES!$J$5:$J$226,0)-1,0),0)</f>
        <v>0</v>
      </c>
      <c r="AC501" s="9" t="s">
        <v>530</v>
      </c>
      <c r="AD501" s="9">
        <v>17</v>
      </c>
      <c r="AF501" s="11">
        <f ca="1">IFERROR(OFFSET(MANOR_LEVEL!$B$1,MATCH(AG501-1,MANOR_LEVEL!$A:$A,0)-1,0),0)</f>
        <v>1661200</v>
      </c>
      <c r="AG501" s="56">
        <v>14</v>
      </c>
      <c r="AI501" s="56">
        <f t="shared" ca="1" si="148"/>
        <v>1700</v>
      </c>
      <c r="AJ501" s="10">
        <f ca="1">AO501+AQ501+(IFERROR(OFFSET(ITEM_RES!$S$1,MATCH(AU501,ITEM_RES!$A:$A,0)-1,0),0)*AW501+IFERROR(OFFSET(ITEM_RES!$S$1,MATCH(AZ501,ITEM_RES!$A:$A,0)-1,0),0)*BB501+IFERROR(OFFSET(ITEM_RES!$S$1,MATCH(BE501,ITEM_RES!$A:$A,0)-1,0),0)*BG501+IFERROR(OFFSET(ITEM_RES!$S$1,MATCH(BJ501,ITEM_RES!$A:$A,0)-1,0),0)*BL501+IFERROR(OFFSET(ITEM_RES!$S$1,MATCH(BO501,ITEM_RES!$A:$A,0)-1,0),0)*BQ501)/1000</f>
        <v>1700.2</v>
      </c>
      <c r="AK501" s="183">
        <f t="shared" ca="1" si="146"/>
        <v>3100</v>
      </c>
      <c r="AM501" s="11">
        <f t="shared" si="147"/>
        <v>85</v>
      </c>
      <c r="AN501" s="10">
        <v>85</v>
      </c>
      <c r="AO501" s="11">
        <f t="shared" si="144"/>
        <v>850</v>
      </c>
      <c r="AP501" s="10">
        <v>850</v>
      </c>
      <c r="AQ501" s="11">
        <f t="shared" si="144"/>
        <v>850</v>
      </c>
      <c r="AR501" s="10">
        <v>850</v>
      </c>
      <c r="AS501" s="56">
        <f t="shared" si="149"/>
        <v>1</v>
      </c>
      <c r="AU501" s="11">
        <f ca="1">IFERROR(OFFSET(ITEM_RES!$A$1,MATCH(AV501,ITEM_RES!$J:$J,0)-1,0),0)</f>
        <v>211020901</v>
      </c>
      <c r="AV501" s="10" t="s">
        <v>444</v>
      </c>
      <c r="AW501" s="11">
        <v>1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  <c r="BO501" s="11">
        <f ca="1">IFERROR(OFFSET(ITEM_RES!$A$1,MATCH(BP501,ITEM_RES!$J:$J,0)-1,0),0)</f>
        <v>0</v>
      </c>
    </row>
    <row r="502" spans="1:70" x14ac:dyDescent="0.3">
      <c r="A502" s="14">
        <f t="shared" si="141"/>
        <v>115010018</v>
      </c>
      <c r="B502" s="13">
        <v>11</v>
      </c>
      <c r="C502" s="12">
        <f t="shared" si="142"/>
        <v>5</v>
      </c>
      <c r="D502" s="13">
        <v>1</v>
      </c>
      <c r="E502" s="13">
        <v>0</v>
      </c>
      <c r="F502" s="12">
        <f t="shared" si="143"/>
        <v>18</v>
      </c>
      <c r="H502" s="9">
        <v>5</v>
      </c>
      <c r="I502" s="9">
        <v>18</v>
      </c>
      <c r="K502" s="9" t="s">
        <v>365</v>
      </c>
      <c r="O502" s="9">
        <v>0</v>
      </c>
      <c r="P502" s="9">
        <v>15</v>
      </c>
      <c r="Q502" s="9" t="s">
        <v>1166</v>
      </c>
      <c r="U502" s="9">
        <v>2222</v>
      </c>
      <c r="X502" s="9">
        <f ca="1">IFERROR(OFFSET(ITEM_RES!$A$5,MATCH(BUILDING!W502,ITEM_RES!$J$5:$J$226,0)-1,0),0)</f>
        <v>0</v>
      </c>
      <c r="AA502" s="9">
        <f ca="1">IFERROR(OFFSET(ITEM_RES!$A$5,MATCH(BUILDING!Z502,ITEM_RES!$J$5:$J$226,0)-1,0),0)</f>
        <v>0</v>
      </c>
      <c r="AC502" s="9" t="s">
        <v>530</v>
      </c>
      <c r="AD502" s="9">
        <v>18</v>
      </c>
      <c r="AF502" s="11">
        <f ca="1">IFERROR(OFFSET(MANOR_LEVEL!$B$1,MATCH(AG502-1,MANOR_LEVEL!$A:$A,0)-1,0),0)</f>
        <v>2622400</v>
      </c>
      <c r="AG502" s="56">
        <v>15</v>
      </c>
      <c r="AI502" s="56">
        <f t="shared" ca="1" si="148"/>
        <v>2100</v>
      </c>
      <c r="AJ502" s="10">
        <f ca="1">AO502+AQ502+(IFERROR(OFFSET(ITEM_RES!$S$1,MATCH(AU502,ITEM_RES!$A:$A,0)-1,0),0)*AW502+IFERROR(OFFSET(ITEM_RES!$S$1,MATCH(AZ502,ITEM_RES!$A:$A,0)-1,0),0)*BB502+IFERROR(OFFSET(ITEM_RES!$S$1,MATCH(BE502,ITEM_RES!$A:$A,0)-1,0),0)*BG502+IFERROR(OFFSET(ITEM_RES!$S$1,MATCH(BJ502,ITEM_RES!$A:$A,0)-1,0),0)*BL502+IFERROR(OFFSET(ITEM_RES!$S$1,MATCH(BO502,ITEM_RES!$A:$A,0)-1,0),0)*BQ502)/1000</f>
        <v>2100.1999999999998</v>
      </c>
      <c r="AK502" s="183">
        <f t="shared" ca="1" si="146"/>
        <v>3800</v>
      </c>
      <c r="AM502" s="11">
        <f t="shared" si="147"/>
        <v>90</v>
      </c>
      <c r="AN502" s="10">
        <v>90</v>
      </c>
      <c r="AO502" s="11">
        <f t="shared" si="144"/>
        <v>1050</v>
      </c>
      <c r="AP502" s="10">
        <v>1050</v>
      </c>
      <c r="AQ502" s="11">
        <f t="shared" si="144"/>
        <v>1050</v>
      </c>
      <c r="AR502" s="10">
        <v>1050</v>
      </c>
      <c r="AS502" s="56">
        <f t="shared" si="149"/>
        <v>1</v>
      </c>
      <c r="AU502" s="11">
        <f ca="1">IFERROR(OFFSET(ITEM_RES!$A$1,MATCH(AV502,ITEM_RES!$J:$J,0)-1,0),0)</f>
        <v>211020901</v>
      </c>
      <c r="AV502" s="10" t="s">
        <v>444</v>
      </c>
      <c r="AW502" s="11">
        <v>1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  <c r="BO502" s="11">
        <f ca="1">IFERROR(OFFSET(ITEM_RES!$A$1,MATCH(BP502,ITEM_RES!$J:$J,0)-1,0),0)</f>
        <v>0</v>
      </c>
    </row>
    <row r="503" spans="1:70" x14ac:dyDescent="0.3">
      <c r="A503" s="14">
        <f t="shared" si="141"/>
        <v>115010019</v>
      </c>
      <c r="B503" s="13">
        <v>11</v>
      </c>
      <c r="C503" s="12">
        <f t="shared" si="142"/>
        <v>5</v>
      </c>
      <c r="D503" s="13">
        <v>1</v>
      </c>
      <c r="E503" s="13">
        <v>0</v>
      </c>
      <c r="F503" s="12">
        <f t="shared" si="143"/>
        <v>19</v>
      </c>
      <c r="H503" s="9">
        <v>5</v>
      </c>
      <c r="I503" s="9">
        <v>19</v>
      </c>
      <c r="K503" s="9" t="s">
        <v>365</v>
      </c>
      <c r="O503" s="9">
        <v>0</v>
      </c>
      <c r="P503" s="9">
        <v>15</v>
      </c>
      <c r="Q503" s="9" t="s">
        <v>1166</v>
      </c>
      <c r="U503" s="9">
        <v>2222</v>
      </c>
      <c r="X503" s="9">
        <f ca="1">IFERROR(OFFSET(ITEM_RES!$A$5,MATCH(BUILDING!W503,ITEM_RES!$J$5:$J$226,0)-1,0),0)</f>
        <v>0</v>
      </c>
      <c r="AA503" s="9">
        <f ca="1">IFERROR(OFFSET(ITEM_RES!$A$5,MATCH(BUILDING!Z503,ITEM_RES!$J$5:$J$226,0)-1,0),0)</f>
        <v>0</v>
      </c>
      <c r="AC503" s="9" t="s">
        <v>530</v>
      </c>
      <c r="AD503" s="9">
        <v>19</v>
      </c>
      <c r="AF503" s="11">
        <f ca="1">IFERROR(OFFSET(MANOR_LEVEL!$B$1,MATCH(AG503-1,MANOR_LEVEL!$A:$A,0)-1,0),0)</f>
        <v>4232000</v>
      </c>
      <c r="AG503" s="56">
        <v>16</v>
      </c>
      <c r="AI503" s="56">
        <f t="shared" ca="1" si="148"/>
        <v>2500</v>
      </c>
      <c r="AJ503" s="10">
        <f ca="1">AO503+AQ503+(IFERROR(OFFSET(ITEM_RES!$S$1,MATCH(AU503,ITEM_RES!$A:$A,0)-1,0),0)*AW503+IFERROR(OFFSET(ITEM_RES!$S$1,MATCH(AZ503,ITEM_RES!$A:$A,0)-1,0),0)*BB503+IFERROR(OFFSET(ITEM_RES!$S$1,MATCH(BE503,ITEM_RES!$A:$A,0)-1,0),0)*BG503+IFERROR(OFFSET(ITEM_RES!$S$1,MATCH(BJ503,ITEM_RES!$A:$A,0)-1,0),0)*BL503+IFERROR(OFFSET(ITEM_RES!$S$1,MATCH(BO503,ITEM_RES!$A:$A,0)-1,0),0)*BQ503)/1000</f>
        <v>2500.1999999999998</v>
      </c>
      <c r="AK503" s="183">
        <f t="shared" ca="1" si="146"/>
        <v>4600</v>
      </c>
      <c r="AM503" s="11">
        <f t="shared" si="147"/>
        <v>95</v>
      </c>
      <c r="AN503" s="10">
        <v>95</v>
      </c>
      <c r="AO503" s="11">
        <f t="shared" si="144"/>
        <v>1250</v>
      </c>
      <c r="AP503" s="10">
        <v>1250</v>
      </c>
      <c r="AQ503" s="11">
        <f t="shared" si="144"/>
        <v>1250</v>
      </c>
      <c r="AR503" s="10">
        <v>1250</v>
      </c>
      <c r="AS503" s="56">
        <f t="shared" si="149"/>
        <v>1</v>
      </c>
      <c r="AU503" s="11">
        <f ca="1">IFERROR(OFFSET(ITEM_RES!$A$1,MATCH(AV503,ITEM_RES!$J:$J,0)-1,0),0)</f>
        <v>211020901</v>
      </c>
      <c r="AV503" s="10" t="s">
        <v>444</v>
      </c>
      <c r="AW503" s="11">
        <v>1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  <c r="BO503" s="11">
        <f ca="1">IFERROR(OFFSET(ITEM_RES!$A$1,MATCH(BP503,ITEM_RES!$J:$J,0)-1,0),0)</f>
        <v>0</v>
      </c>
    </row>
    <row r="504" spans="1:70" ht="17.25" thickBot="1" x14ac:dyDescent="0.35">
      <c r="A504" s="14">
        <f t="shared" si="141"/>
        <v>115010020</v>
      </c>
      <c r="B504" s="13">
        <v>11</v>
      </c>
      <c r="C504" s="12">
        <f t="shared" si="142"/>
        <v>5</v>
      </c>
      <c r="D504" s="13">
        <v>1</v>
      </c>
      <c r="E504" s="13">
        <v>0</v>
      </c>
      <c r="F504" s="12">
        <f t="shared" si="143"/>
        <v>20</v>
      </c>
      <c r="H504" s="9">
        <v>5</v>
      </c>
      <c r="I504" s="9">
        <v>20</v>
      </c>
      <c r="K504" s="9" t="s">
        <v>365</v>
      </c>
      <c r="O504" s="9">
        <v>0</v>
      </c>
      <c r="P504" s="9">
        <v>15</v>
      </c>
      <c r="Q504" s="9" t="s">
        <v>1166</v>
      </c>
      <c r="U504" s="9">
        <v>2222</v>
      </c>
      <c r="X504" s="9">
        <f ca="1">IFERROR(OFFSET(ITEM_RES!$A$5,MATCH(BUILDING!W504,ITEM_RES!$J$5:$J$226,0)-1,0),0)</f>
        <v>0</v>
      </c>
      <c r="AA504" s="9">
        <f ca="1">IFERROR(OFFSET(ITEM_RES!$A$5,MATCH(BUILDING!Z504,ITEM_RES!$J$5:$J$226,0)-1,0),0)</f>
        <v>0</v>
      </c>
      <c r="AC504" s="9" t="s">
        <v>530</v>
      </c>
      <c r="AD504" s="9">
        <v>20</v>
      </c>
      <c r="AF504" s="11">
        <f ca="1">IFERROR(OFFSET(MANOR_LEVEL!$B$1,MATCH(AG504-1,MANOR_LEVEL!$A:$A,0)-1,0),0)</f>
        <v>7450000</v>
      </c>
      <c r="AG504" s="56">
        <v>17</v>
      </c>
      <c r="AI504" s="56">
        <f t="shared" ca="1" si="148"/>
        <v>3000</v>
      </c>
      <c r="AJ504" s="10">
        <f ca="1">AO504+AQ504+(IFERROR(OFFSET(ITEM_RES!$S$1,MATCH(AU504,ITEM_RES!$A:$A,0)-1,0),0)*AW504+IFERROR(OFFSET(ITEM_RES!$S$1,MATCH(AZ504,ITEM_RES!$A:$A,0)-1,0),0)*BB504+IFERROR(OFFSET(ITEM_RES!$S$1,MATCH(BE504,ITEM_RES!$A:$A,0)-1,0),0)*BG504+IFERROR(OFFSET(ITEM_RES!$S$1,MATCH(BJ504,ITEM_RES!$A:$A,0)-1,0),0)*BL504+IFERROR(OFFSET(ITEM_RES!$S$1,MATCH(BO504,ITEM_RES!$A:$A,0)-1,0),0)*BQ504)/1000</f>
        <v>3000.2</v>
      </c>
      <c r="AK504" s="183">
        <f t="shared" ca="1" si="146"/>
        <v>5500</v>
      </c>
      <c r="AM504" s="11">
        <f t="shared" si="147"/>
        <v>100</v>
      </c>
      <c r="AN504" s="10">
        <v>100</v>
      </c>
      <c r="AO504" s="11">
        <f t="shared" si="144"/>
        <v>1500</v>
      </c>
      <c r="AP504" s="10">
        <v>1500</v>
      </c>
      <c r="AQ504" s="11">
        <f t="shared" si="144"/>
        <v>1500</v>
      </c>
      <c r="AR504" s="10">
        <v>1500</v>
      </c>
      <c r="AS504" s="56">
        <f t="shared" si="149"/>
        <v>1</v>
      </c>
      <c r="AU504" s="11">
        <f ca="1">IFERROR(OFFSET(ITEM_RES!$A$1,MATCH(AV504,ITEM_RES!$J:$J,0)-1,0),0)</f>
        <v>211020901</v>
      </c>
      <c r="AV504" s="10" t="s">
        <v>444</v>
      </c>
      <c r="AW504" s="11">
        <v>1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  <c r="BO504" s="11">
        <f ca="1">IFERROR(OFFSET(ITEM_RES!$A$1,MATCH(BP504,ITEM_RES!$J:$J,0)-1,0),0)</f>
        <v>0</v>
      </c>
    </row>
    <row r="505" spans="1:70" s="15" customFormat="1" x14ac:dyDescent="0.3">
      <c r="A505" s="21">
        <f t="shared" si="141"/>
        <v>115020001</v>
      </c>
      <c r="B505" s="20">
        <v>11</v>
      </c>
      <c r="C505" s="19">
        <f t="shared" si="142"/>
        <v>5</v>
      </c>
      <c r="D505" s="20">
        <v>2</v>
      </c>
      <c r="E505" s="20">
        <v>0</v>
      </c>
      <c r="F505" s="19">
        <f t="shared" si="143"/>
        <v>1</v>
      </c>
      <c r="G505" s="79"/>
      <c r="H505" s="16">
        <v>5</v>
      </c>
      <c r="I505" s="16">
        <v>1</v>
      </c>
      <c r="J505" s="79"/>
      <c r="K505" s="16" t="s">
        <v>1144</v>
      </c>
      <c r="L505" s="16">
        <v>1</v>
      </c>
      <c r="M505" s="16"/>
      <c r="N505" s="16"/>
      <c r="O505" s="16">
        <v>1</v>
      </c>
      <c r="P505" s="16">
        <v>15</v>
      </c>
      <c r="Q505" s="16" t="s">
        <v>1171</v>
      </c>
      <c r="R505" s="17"/>
      <c r="S505" s="17"/>
      <c r="T505" s="18"/>
      <c r="U505" s="16">
        <v>3333</v>
      </c>
      <c r="V505" s="79"/>
      <c r="W505" s="87"/>
      <c r="X505" s="16">
        <f ca="1">IFERROR(OFFSET(ITEM_RES!$A$5,MATCH(BUILDING!W505,ITEM_RES!$J$5:$J$226,0)-1,0),0)</f>
        <v>0</v>
      </c>
      <c r="Y505" s="18"/>
      <c r="Z505" s="87"/>
      <c r="AA505" s="16">
        <f ca="1">IFERROR(OFFSET(ITEM_RES!$A$5,MATCH(BUILDING!Z505,ITEM_RES!$J$5:$J$226,0)-1,0),0)</f>
        <v>0</v>
      </c>
      <c r="AB505" s="79"/>
      <c r="AC505" s="16" t="s">
        <v>382</v>
      </c>
      <c r="AD505" s="16">
        <v>1</v>
      </c>
      <c r="AE505" s="79"/>
      <c r="AF505" s="18">
        <f ca="1">IFERROR(OFFSET(MANOR_LEVEL!$B$1,MATCH(AG505-1,MANOR_LEVEL!$A:$A,0)-1,0),0)</f>
        <v>0</v>
      </c>
      <c r="AG505" s="57">
        <v>1</v>
      </c>
      <c r="AH505" s="79"/>
      <c r="AI505" s="57">
        <f t="shared" ca="1" si="148"/>
        <v>210</v>
      </c>
      <c r="AJ505" s="17">
        <f ca="1">AO505+AQ505+(IFERROR(OFFSET(ITEM_RES!$S$1,MATCH(AU505,ITEM_RES!$A:$A,0)-1,0),0)*AW505+IFERROR(OFFSET(ITEM_RES!$S$1,MATCH(AZ505,ITEM_RES!$A:$A,0)-1,0),0)*BB505+IFERROR(OFFSET(ITEM_RES!$S$1,MATCH(BE505,ITEM_RES!$A:$A,0)-1,0),0)*BG505+IFERROR(OFFSET(ITEM_RES!$S$1,MATCH(BJ505,ITEM_RES!$A:$A,0)-1,0),0)*BL505+IFERROR(OFFSET(ITEM_RES!$S$1,MATCH(BO505,ITEM_RES!$A:$A,0)-1,0),0)*BQ505)/1000</f>
        <v>210.1</v>
      </c>
      <c r="AK505" s="185">
        <f ca="1">AI505</f>
        <v>210</v>
      </c>
      <c r="AL505" s="79"/>
      <c r="AM505" s="18">
        <f t="shared" si="147"/>
        <v>5</v>
      </c>
      <c r="AN505" s="17">
        <v>5</v>
      </c>
      <c r="AO505" s="18">
        <f t="shared" si="144"/>
        <v>5</v>
      </c>
      <c r="AP505" s="17">
        <v>5</v>
      </c>
      <c r="AQ505" s="18">
        <f t="shared" si="144"/>
        <v>5</v>
      </c>
      <c r="AR505" s="17">
        <v>5</v>
      </c>
      <c r="AS505" s="57">
        <f t="shared" si="149"/>
        <v>3</v>
      </c>
      <c r="AT505" s="18"/>
      <c r="AU505" s="18">
        <f ca="1">IFERROR(OFFSET(ITEM_RES!$A$1,MATCH(AV505,ITEM_RES!$J:$J,0)-1,0),0)</f>
        <v>211020801</v>
      </c>
      <c r="AV505" s="17" t="s">
        <v>437</v>
      </c>
      <c r="AW505" s="18">
        <v>1</v>
      </c>
      <c r="AX505" s="17"/>
      <c r="AY505" s="18"/>
      <c r="AZ505" s="18">
        <f ca="1">IFERROR(OFFSET(ITEM_RES!$A$1,MATCH(BA505,ITEM_RES!$J:$J,0)-1,0),0)</f>
        <v>0</v>
      </c>
      <c r="BA505" s="17"/>
      <c r="BB505" s="18"/>
      <c r="BC505" s="17"/>
      <c r="BD505" s="18"/>
      <c r="BE505" s="18">
        <f ca="1">IFERROR(OFFSET(ITEM_RES!$A$1,MATCH(BF505,ITEM_RES!$J:$J,0)-1,0),0)</f>
        <v>213010101</v>
      </c>
      <c r="BF505" s="17" t="s">
        <v>452</v>
      </c>
      <c r="BG505" s="18">
        <v>1</v>
      </c>
      <c r="BH505" s="17"/>
      <c r="BI505" s="18"/>
      <c r="BJ505" s="18">
        <f ca="1">IFERROR(OFFSET(ITEM_RES!$A$1,MATCH(BK505,ITEM_RES!$J:$J,0)-1,0),0)</f>
        <v>213010201</v>
      </c>
      <c r="BK505" s="17" t="s">
        <v>474</v>
      </c>
      <c r="BL505" s="18">
        <v>1</v>
      </c>
      <c r="BM505" s="17"/>
      <c r="BN505" s="18"/>
      <c r="BO505" s="18">
        <f ca="1">IFERROR(OFFSET(ITEM_RES!$A$1,MATCH(BP505,ITEM_RES!$J:$J,0)-1,0),0)</f>
        <v>0</v>
      </c>
      <c r="BP505" s="17"/>
      <c r="BQ505" s="18"/>
      <c r="BR505" s="17"/>
    </row>
    <row r="506" spans="1:70" x14ac:dyDescent="0.3">
      <c r="A506" s="14">
        <f t="shared" si="141"/>
        <v>115020002</v>
      </c>
      <c r="B506" s="13">
        <v>11</v>
      </c>
      <c r="C506" s="12">
        <f t="shared" si="142"/>
        <v>5</v>
      </c>
      <c r="D506" s="13">
        <v>2</v>
      </c>
      <c r="E506" s="13">
        <v>0</v>
      </c>
      <c r="F506" s="12">
        <f t="shared" si="143"/>
        <v>2</v>
      </c>
      <c r="H506" s="9">
        <v>5</v>
      </c>
      <c r="I506" s="9">
        <v>2</v>
      </c>
      <c r="K506" s="9" t="s">
        <v>1144</v>
      </c>
      <c r="O506" s="9">
        <v>1</v>
      </c>
      <c r="P506" s="9">
        <v>15</v>
      </c>
      <c r="Q506" s="9" t="s">
        <v>1168</v>
      </c>
      <c r="U506" s="9">
        <v>3333</v>
      </c>
      <c r="X506" s="9">
        <f ca="1">IFERROR(OFFSET(ITEM_RES!$A$5,MATCH(BUILDING!W506,ITEM_RES!$J$5:$J$226,0)-1,0),0)</f>
        <v>0</v>
      </c>
      <c r="AA506" s="9">
        <f ca="1">IFERROR(OFFSET(ITEM_RES!$A$5,MATCH(BUILDING!Z506,ITEM_RES!$J$5:$J$226,0)-1,0),0)</f>
        <v>0</v>
      </c>
      <c r="AC506" s="9" t="s">
        <v>378</v>
      </c>
      <c r="AD506" s="9">
        <v>2</v>
      </c>
      <c r="AF506" s="11">
        <f ca="1">IFERROR(OFFSET(MANOR_LEVEL!$B$1,MATCH(AG506-1,MANOR_LEVEL!$A:$A,0)-1,0),0)</f>
        <v>0</v>
      </c>
      <c r="AG506" s="56">
        <v>1</v>
      </c>
      <c r="AI506" s="56">
        <f t="shared" ca="1" si="148"/>
        <v>20</v>
      </c>
      <c r="AJ506" s="10">
        <f ca="1">AO506+AQ506+(IFERROR(OFFSET(ITEM_RES!$S$1,MATCH(AU506,ITEM_RES!$A:$A,0)-1,0),0)*AW506+IFERROR(OFFSET(ITEM_RES!$S$1,MATCH(AZ506,ITEM_RES!$A:$A,0)-1,0),0)*BB506+IFERROR(OFFSET(ITEM_RES!$S$1,MATCH(BE506,ITEM_RES!$A:$A,0)-1,0),0)*BG506+IFERROR(OFFSET(ITEM_RES!$S$1,MATCH(BJ506,ITEM_RES!$A:$A,0)-1,0),0)*BL506+IFERROR(OFFSET(ITEM_RES!$S$1,MATCH(BO506,ITEM_RES!$A:$A,0)-1,0),0)*BQ506)/1000</f>
        <v>20.100000000000001</v>
      </c>
      <c r="AK506" s="183">
        <f ca="1">AI505+AI506</f>
        <v>230</v>
      </c>
      <c r="AM506" s="11">
        <f t="shared" si="147"/>
        <v>10</v>
      </c>
      <c r="AN506" s="10">
        <v>10</v>
      </c>
      <c r="AO506" s="11">
        <f t="shared" si="144"/>
        <v>10</v>
      </c>
      <c r="AP506" s="10">
        <v>10</v>
      </c>
      <c r="AQ506" s="11">
        <f t="shared" si="144"/>
        <v>10</v>
      </c>
      <c r="AR506" s="10">
        <v>10</v>
      </c>
      <c r="AS506" s="56">
        <f t="shared" si="149"/>
        <v>1</v>
      </c>
      <c r="AU506" s="11">
        <f ca="1">IFERROR(OFFSET(ITEM_RES!$A$1,MATCH(AV506,ITEM_RES!$J:$J,0)-1,0),0)</f>
        <v>211020801</v>
      </c>
      <c r="AV506" s="10" t="s">
        <v>437</v>
      </c>
      <c r="AW506" s="11">
        <v>1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  <c r="BO506" s="11">
        <f ca="1">IFERROR(OFFSET(ITEM_RES!$A$1,MATCH(BP506,ITEM_RES!$J:$J,0)-1,0),0)</f>
        <v>0</v>
      </c>
    </row>
    <row r="507" spans="1:70" x14ac:dyDescent="0.3">
      <c r="A507" s="14">
        <f t="shared" si="141"/>
        <v>115020003</v>
      </c>
      <c r="B507" s="13">
        <v>11</v>
      </c>
      <c r="C507" s="12">
        <f t="shared" si="142"/>
        <v>5</v>
      </c>
      <c r="D507" s="13">
        <v>2</v>
      </c>
      <c r="E507" s="13">
        <v>0</v>
      </c>
      <c r="F507" s="12">
        <f t="shared" si="143"/>
        <v>3</v>
      </c>
      <c r="H507" s="9">
        <v>5</v>
      </c>
      <c r="I507" s="9">
        <v>3</v>
      </c>
      <c r="K507" s="9" t="s">
        <v>1144</v>
      </c>
      <c r="O507" s="9">
        <v>1</v>
      </c>
      <c r="P507" s="9">
        <v>15</v>
      </c>
      <c r="Q507" s="9" t="s">
        <v>1168</v>
      </c>
      <c r="U507" s="9">
        <v>3333</v>
      </c>
      <c r="X507" s="9">
        <f ca="1">IFERROR(OFFSET(ITEM_RES!$A$5,MATCH(BUILDING!W507,ITEM_RES!$J$5:$J$226,0)-1,0),0)</f>
        <v>0</v>
      </c>
      <c r="AA507" s="9">
        <f ca="1">IFERROR(OFFSET(ITEM_RES!$A$5,MATCH(BUILDING!Z507,ITEM_RES!$J$5:$J$226,0)-1,0),0)</f>
        <v>0</v>
      </c>
      <c r="AC507" s="9" t="s">
        <v>377</v>
      </c>
      <c r="AD507" s="9">
        <v>3</v>
      </c>
      <c r="AF507" s="11">
        <f ca="1">IFERROR(OFFSET(MANOR_LEVEL!$B$1,MATCH(AG507-1,MANOR_LEVEL!$A:$A,0)-1,0),0)</f>
        <v>0</v>
      </c>
      <c r="AG507" s="56">
        <v>1</v>
      </c>
      <c r="AI507" s="56">
        <f t="shared" ca="1" si="148"/>
        <v>30</v>
      </c>
      <c r="AJ507" s="10">
        <f ca="1">AO507+AQ507+(IFERROR(OFFSET(ITEM_RES!$S$1,MATCH(AU507,ITEM_RES!$A:$A,0)-1,0),0)*AW507+IFERROR(OFFSET(ITEM_RES!$S$1,MATCH(AZ507,ITEM_RES!$A:$A,0)-1,0),0)*BB507+IFERROR(OFFSET(ITEM_RES!$S$1,MATCH(BE507,ITEM_RES!$A:$A,0)-1,0),0)*BG507+IFERROR(OFFSET(ITEM_RES!$S$1,MATCH(BJ507,ITEM_RES!$A:$A,0)-1,0),0)*BL507+IFERROR(OFFSET(ITEM_RES!$S$1,MATCH(BO507,ITEM_RES!$A:$A,0)-1,0),0)*BQ507)/1000</f>
        <v>30.1</v>
      </c>
      <c r="AK507" s="183">
        <f t="shared" ref="AK507:AK524" ca="1" si="150">AI506+AI507</f>
        <v>50</v>
      </c>
      <c r="AM507" s="11">
        <f t="shared" si="147"/>
        <v>15</v>
      </c>
      <c r="AN507" s="10">
        <v>15</v>
      </c>
      <c r="AO507" s="11">
        <f t="shared" si="144"/>
        <v>15</v>
      </c>
      <c r="AP507" s="10">
        <v>15</v>
      </c>
      <c r="AQ507" s="11">
        <f t="shared" si="144"/>
        <v>15</v>
      </c>
      <c r="AR507" s="10">
        <v>15</v>
      </c>
      <c r="AS507" s="56">
        <f t="shared" si="149"/>
        <v>1</v>
      </c>
      <c r="AU507" s="11">
        <f ca="1">IFERROR(OFFSET(ITEM_RES!$A$1,MATCH(AV507,ITEM_RES!$J:$J,0)-1,0),0)</f>
        <v>211020801</v>
      </c>
      <c r="AV507" s="10" t="s">
        <v>437</v>
      </c>
      <c r="AW507" s="11">
        <v>1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  <c r="BO507" s="11">
        <f ca="1">IFERROR(OFFSET(ITEM_RES!$A$1,MATCH(BP507,ITEM_RES!$J:$J,0)-1,0),0)</f>
        <v>0</v>
      </c>
    </row>
    <row r="508" spans="1:70" x14ac:dyDescent="0.3">
      <c r="A508" s="14">
        <f t="shared" si="141"/>
        <v>115020004</v>
      </c>
      <c r="B508" s="13">
        <v>11</v>
      </c>
      <c r="C508" s="12">
        <f t="shared" si="142"/>
        <v>5</v>
      </c>
      <c r="D508" s="13">
        <v>2</v>
      </c>
      <c r="E508" s="13">
        <v>0</v>
      </c>
      <c r="F508" s="12">
        <f t="shared" si="143"/>
        <v>4</v>
      </c>
      <c r="H508" s="9">
        <v>5</v>
      </c>
      <c r="I508" s="9">
        <v>4</v>
      </c>
      <c r="K508" s="9" t="s">
        <v>1144</v>
      </c>
      <c r="O508" s="9">
        <v>1</v>
      </c>
      <c r="P508" s="9">
        <v>15</v>
      </c>
      <c r="Q508" s="9" t="s">
        <v>1168</v>
      </c>
      <c r="U508" s="9">
        <v>3333</v>
      </c>
      <c r="X508" s="9">
        <f ca="1">IFERROR(OFFSET(ITEM_RES!$A$5,MATCH(BUILDING!W508,ITEM_RES!$J$5:$J$226,0)-1,0),0)</f>
        <v>0</v>
      </c>
      <c r="AA508" s="9">
        <f ca="1">IFERROR(OFFSET(ITEM_RES!$A$5,MATCH(BUILDING!Z508,ITEM_RES!$J$5:$J$226,0)-1,0),0)</f>
        <v>0</v>
      </c>
      <c r="AC508" s="9" t="s">
        <v>377</v>
      </c>
      <c r="AD508" s="9">
        <v>4</v>
      </c>
      <c r="AF508" s="11">
        <f ca="1">IFERROR(OFFSET(MANOR_LEVEL!$B$1,MATCH(AG508-1,MANOR_LEVEL!$A:$A,0)-1,0),0)</f>
        <v>0</v>
      </c>
      <c r="AG508" s="56">
        <v>1</v>
      </c>
      <c r="AI508" s="56">
        <f t="shared" ca="1" si="148"/>
        <v>50</v>
      </c>
      <c r="AJ508" s="10">
        <f ca="1">AO508+AQ508+(IFERROR(OFFSET(ITEM_RES!$S$1,MATCH(AU508,ITEM_RES!$A:$A,0)-1,0),0)*AW508+IFERROR(OFFSET(ITEM_RES!$S$1,MATCH(AZ508,ITEM_RES!$A:$A,0)-1,0),0)*BB508+IFERROR(OFFSET(ITEM_RES!$S$1,MATCH(BE508,ITEM_RES!$A:$A,0)-1,0),0)*BG508+IFERROR(OFFSET(ITEM_RES!$S$1,MATCH(BJ508,ITEM_RES!$A:$A,0)-1,0),0)*BL508+IFERROR(OFFSET(ITEM_RES!$S$1,MATCH(BO508,ITEM_RES!$A:$A,0)-1,0),0)*BQ508)/1000</f>
        <v>50.1</v>
      </c>
      <c r="AK508" s="183">
        <f t="shared" ca="1" si="150"/>
        <v>80</v>
      </c>
      <c r="AM508" s="11">
        <f t="shared" si="147"/>
        <v>20</v>
      </c>
      <c r="AN508" s="10">
        <v>20</v>
      </c>
      <c r="AO508" s="11">
        <f t="shared" si="144"/>
        <v>25</v>
      </c>
      <c r="AP508" s="10">
        <v>25</v>
      </c>
      <c r="AQ508" s="11">
        <f t="shared" si="144"/>
        <v>25</v>
      </c>
      <c r="AR508" s="10">
        <v>25</v>
      </c>
      <c r="AS508" s="56">
        <f t="shared" si="149"/>
        <v>1</v>
      </c>
      <c r="AU508" s="11">
        <f ca="1">IFERROR(OFFSET(ITEM_RES!$A$1,MATCH(AV508,ITEM_RES!$J:$J,0)-1,0),0)</f>
        <v>211020801</v>
      </c>
      <c r="AV508" s="10" t="s">
        <v>437</v>
      </c>
      <c r="AW508" s="11">
        <v>1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  <c r="BO508" s="11">
        <f ca="1">IFERROR(OFFSET(ITEM_RES!$A$1,MATCH(BP508,ITEM_RES!$J:$J,0)-1,0),0)</f>
        <v>0</v>
      </c>
    </row>
    <row r="509" spans="1:70" x14ac:dyDescent="0.3">
      <c r="A509" s="14">
        <f t="shared" si="141"/>
        <v>115020005</v>
      </c>
      <c r="B509" s="13">
        <v>11</v>
      </c>
      <c r="C509" s="12">
        <f t="shared" si="142"/>
        <v>5</v>
      </c>
      <c r="D509" s="13">
        <v>2</v>
      </c>
      <c r="E509" s="13">
        <v>0</v>
      </c>
      <c r="F509" s="12">
        <f t="shared" si="143"/>
        <v>5</v>
      </c>
      <c r="H509" s="9">
        <v>5</v>
      </c>
      <c r="I509" s="9">
        <v>5</v>
      </c>
      <c r="K509" s="9" t="s">
        <v>1144</v>
      </c>
      <c r="O509" s="9">
        <v>1</v>
      </c>
      <c r="P509" s="9">
        <v>15</v>
      </c>
      <c r="Q509" s="9" t="s">
        <v>1168</v>
      </c>
      <c r="U509" s="9">
        <v>3333</v>
      </c>
      <c r="X509" s="9">
        <f ca="1">IFERROR(OFFSET(ITEM_RES!$A$5,MATCH(BUILDING!W509,ITEM_RES!$J$5:$J$226,0)-1,0),0)</f>
        <v>0</v>
      </c>
      <c r="AA509" s="9">
        <f ca="1">IFERROR(OFFSET(ITEM_RES!$A$5,MATCH(BUILDING!Z509,ITEM_RES!$J$5:$J$226,0)-1,0),0)</f>
        <v>0</v>
      </c>
      <c r="AC509" s="9" t="s">
        <v>377</v>
      </c>
      <c r="AD509" s="9">
        <v>5</v>
      </c>
      <c r="AF509" s="11">
        <f ca="1">IFERROR(OFFSET(MANOR_LEVEL!$B$1,MATCH(AG509-1,MANOR_LEVEL!$A:$A,0)-1,0),0)</f>
        <v>0</v>
      </c>
      <c r="AG509" s="56">
        <v>1</v>
      </c>
      <c r="AI509" s="56">
        <f t="shared" ca="1" si="148"/>
        <v>80</v>
      </c>
      <c r="AJ509" s="10">
        <f ca="1">AO509+AQ509+(IFERROR(OFFSET(ITEM_RES!$S$1,MATCH(AU509,ITEM_RES!$A:$A,0)-1,0),0)*AW509+IFERROR(OFFSET(ITEM_RES!$S$1,MATCH(AZ509,ITEM_RES!$A:$A,0)-1,0),0)*BB509+IFERROR(OFFSET(ITEM_RES!$S$1,MATCH(BE509,ITEM_RES!$A:$A,0)-1,0),0)*BG509+IFERROR(OFFSET(ITEM_RES!$S$1,MATCH(BJ509,ITEM_RES!$A:$A,0)-1,0),0)*BL509+IFERROR(OFFSET(ITEM_RES!$S$1,MATCH(BO509,ITEM_RES!$A:$A,0)-1,0),0)*BQ509)/1000</f>
        <v>80.099999999999994</v>
      </c>
      <c r="AK509" s="183">
        <f t="shared" ca="1" si="150"/>
        <v>130</v>
      </c>
      <c r="AM509" s="11">
        <f t="shared" si="147"/>
        <v>25</v>
      </c>
      <c r="AN509" s="10">
        <v>25</v>
      </c>
      <c r="AO509" s="11">
        <f t="shared" si="144"/>
        <v>40</v>
      </c>
      <c r="AP509" s="10">
        <v>40</v>
      </c>
      <c r="AQ509" s="11">
        <f t="shared" si="144"/>
        <v>40</v>
      </c>
      <c r="AR509" s="10">
        <v>40</v>
      </c>
      <c r="AS509" s="56">
        <f t="shared" si="149"/>
        <v>1</v>
      </c>
      <c r="AU509" s="11">
        <f ca="1">IFERROR(OFFSET(ITEM_RES!$A$1,MATCH(AV509,ITEM_RES!$J:$J,0)-1,0),0)</f>
        <v>211020801</v>
      </c>
      <c r="AV509" s="10" t="s">
        <v>437</v>
      </c>
      <c r="AW509" s="11">
        <v>1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  <c r="BO509" s="11">
        <f ca="1">IFERROR(OFFSET(ITEM_RES!$A$1,MATCH(BP509,ITEM_RES!$J:$J,0)-1,0),0)</f>
        <v>0</v>
      </c>
    </row>
    <row r="510" spans="1:70" x14ac:dyDescent="0.3">
      <c r="A510" s="14">
        <f t="shared" si="141"/>
        <v>115020006</v>
      </c>
      <c r="B510" s="13">
        <v>11</v>
      </c>
      <c r="C510" s="12">
        <f t="shared" si="142"/>
        <v>5</v>
      </c>
      <c r="D510" s="13">
        <v>2</v>
      </c>
      <c r="E510" s="13">
        <v>0</v>
      </c>
      <c r="F510" s="12">
        <f t="shared" si="143"/>
        <v>6</v>
      </c>
      <c r="H510" s="9">
        <v>5</v>
      </c>
      <c r="I510" s="9">
        <v>6</v>
      </c>
      <c r="K510" s="9" t="s">
        <v>1144</v>
      </c>
      <c r="O510" s="9">
        <v>1</v>
      </c>
      <c r="P510" s="9">
        <v>15</v>
      </c>
      <c r="Q510" s="9" t="s">
        <v>1168</v>
      </c>
      <c r="U510" s="9">
        <v>3333</v>
      </c>
      <c r="X510" s="9">
        <f ca="1">IFERROR(OFFSET(ITEM_RES!$A$5,MATCH(BUILDING!W510,ITEM_RES!$J$5:$J$226,0)-1,0),0)</f>
        <v>0</v>
      </c>
      <c r="AA510" s="9">
        <f ca="1">IFERROR(OFFSET(ITEM_RES!$A$5,MATCH(BUILDING!Z510,ITEM_RES!$J$5:$J$226,0)-1,0),0)</f>
        <v>0</v>
      </c>
      <c r="AC510" s="9" t="s">
        <v>377</v>
      </c>
      <c r="AD510" s="9">
        <v>6</v>
      </c>
      <c r="AF510" s="11">
        <f ca="1">IFERROR(OFFSET(MANOR_LEVEL!$B$1,MATCH(AG510-1,MANOR_LEVEL!$A:$A,0)-1,0),0)</f>
        <v>528</v>
      </c>
      <c r="AG510" s="56">
        <v>3</v>
      </c>
      <c r="AI510" s="56">
        <f t="shared" ca="1" si="148"/>
        <v>100</v>
      </c>
      <c r="AJ510" s="10">
        <f ca="1">AO510+AQ510+(IFERROR(OFFSET(ITEM_RES!$S$1,MATCH(AU510,ITEM_RES!$A:$A,0)-1,0),0)*AW510+IFERROR(OFFSET(ITEM_RES!$S$1,MATCH(AZ510,ITEM_RES!$A:$A,0)-1,0),0)*BB510+IFERROR(OFFSET(ITEM_RES!$S$1,MATCH(BE510,ITEM_RES!$A:$A,0)-1,0),0)*BG510+IFERROR(OFFSET(ITEM_RES!$S$1,MATCH(BJ510,ITEM_RES!$A:$A,0)-1,0),0)*BL510+IFERROR(OFFSET(ITEM_RES!$S$1,MATCH(BO510,ITEM_RES!$A:$A,0)-1,0),0)*BQ510)/1000</f>
        <v>100.1</v>
      </c>
      <c r="AK510" s="183">
        <f t="shared" ca="1" si="150"/>
        <v>180</v>
      </c>
      <c r="AM510" s="11">
        <f t="shared" si="147"/>
        <v>30</v>
      </c>
      <c r="AN510" s="10">
        <v>30</v>
      </c>
      <c r="AO510" s="11">
        <f t="shared" si="144"/>
        <v>50</v>
      </c>
      <c r="AP510" s="10">
        <v>50</v>
      </c>
      <c r="AQ510" s="11">
        <f t="shared" si="144"/>
        <v>50</v>
      </c>
      <c r="AR510" s="10">
        <v>50</v>
      </c>
      <c r="AS510" s="56">
        <f t="shared" si="149"/>
        <v>1</v>
      </c>
      <c r="AU510" s="11">
        <f ca="1">IFERROR(OFFSET(ITEM_RES!$A$1,MATCH(AV510,ITEM_RES!$J:$J,0)-1,0),0)</f>
        <v>211020801</v>
      </c>
      <c r="AV510" s="10" t="s">
        <v>437</v>
      </c>
      <c r="AW510" s="11">
        <v>1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  <c r="BO510" s="11">
        <f ca="1">IFERROR(OFFSET(ITEM_RES!$A$1,MATCH(BP510,ITEM_RES!$J:$J,0)-1,0),0)</f>
        <v>0</v>
      </c>
    </row>
    <row r="511" spans="1:70" x14ac:dyDescent="0.3">
      <c r="A511" s="14">
        <f t="shared" si="141"/>
        <v>115020007</v>
      </c>
      <c r="B511" s="13">
        <v>11</v>
      </c>
      <c r="C511" s="12">
        <f t="shared" si="142"/>
        <v>5</v>
      </c>
      <c r="D511" s="13">
        <v>2</v>
      </c>
      <c r="E511" s="13">
        <v>0</v>
      </c>
      <c r="F511" s="12">
        <f t="shared" si="143"/>
        <v>7</v>
      </c>
      <c r="H511" s="9">
        <v>5</v>
      </c>
      <c r="I511" s="9">
        <v>7</v>
      </c>
      <c r="K511" s="9" t="s">
        <v>1144</v>
      </c>
      <c r="O511" s="9">
        <v>1</v>
      </c>
      <c r="P511" s="9">
        <v>15</v>
      </c>
      <c r="Q511" s="9" t="s">
        <v>1168</v>
      </c>
      <c r="U511" s="9">
        <v>3333</v>
      </c>
      <c r="X511" s="9">
        <f ca="1">IFERROR(OFFSET(ITEM_RES!$A$5,MATCH(BUILDING!W511,ITEM_RES!$J$5:$J$226,0)-1,0),0)</f>
        <v>0</v>
      </c>
      <c r="AA511" s="9">
        <f ca="1">IFERROR(OFFSET(ITEM_RES!$A$5,MATCH(BUILDING!Z511,ITEM_RES!$J$5:$J$226,0)-1,0),0)</f>
        <v>0</v>
      </c>
      <c r="AC511" s="9" t="s">
        <v>377</v>
      </c>
      <c r="AD511" s="9">
        <v>7</v>
      </c>
      <c r="AF511" s="11">
        <f ca="1">IFERROR(OFFSET(MANOR_LEVEL!$B$1,MATCH(AG511-1,MANOR_LEVEL!$A:$A,0)-1,0),0)</f>
        <v>800</v>
      </c>
      <c r="AG511" s="56">
        <v>4</v>
      </c>
      <c r="AI511" s="56">
        <f t="shared" ca="1" si="148"/>
        <v>200</v>
      </c>
      <c r="AJ511" s="10">
        <f ca="1">AO511+AQ511+(IFERROR(OFFSET(ITEM_RES!$S$1,MATCH(AU511,ITEM_RES!$A:$A,0)-1,0),0)*AW511+IFERROR(OFFSET(ITEM_RES!$S$1,MATCH(AZ511,ITEM_RES!$A:$A,0)-1,0),0)*BB511+IFERROR(OFFSET(ITEM_RES!$S$1,MATCH(BE511,ITEM_RES!$A:$A,0)-1,0),0)*BG511+IFERROR(OFFSET(ITEM_RES!$S$1,MATCH(BJ511,ITEM_RES!$A:$A,0)-1,0),0)*BL511+IFERROR(OFFSET(ITEM_RES!$S$1,MATCH(BO511,ITEM_RES!$A:$A,0)-1,0),0)*BQ511)/1000</f>
        <v>200.1</v>
      </c>
      <c r="AK511" s="183">
        <f t="shared" ca="1" si="150"/>
        <v>300</v>
      </c>
      <c r="AM511" s="11">
        <f t="shared" si="147"/>
        <v>35</v>
      </c>
      <c r="AN511" s="10">
        <v>35</v>
      </c>
      <c r="AO511" s="11">
        <f t="shared" si="144"/>
        <v>100</v>
      </c>
      <c r="AP511" s="10">
        <v>100</v>
      </c>
      <c r="AQ511" s="11">
        <f t="shared" si="144"/>
        <v>100</v>
      </c>
      <c r="AR511" s="10">
        <v>100</v>
      </c>
      <c r="AS511" s="56">
        <f t="shared" si="149"/>
        <v>1</v>
      </c>
      <c r="AU511" s="11">
        <f ca="1">IFERROR(OFFSET(ITEM_RES!$A$1,MATCH(AV511,ITEM_RES!$J:$J,0)-1,0),0)</f>
        <v>211020801</v>
      </c>
      <c r="AV511" s="10" t="s">
        <v>437</v>
      </c>
      <c r="AW511" s="11">
        <v>1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  <c r="BO511" s="11">
        <f ca="1">IFERROR(OFFSET(ITEM_RES!$A$1,MATCH(BP511,ITEM_RES!$J:$J,0)-1,0),0)</f>
        <v>0</v>
      </c>
    </row>
    <row r="512" spans="1:70" x14ac:dyDescent="0.3">
      <c r="A512" s="14">
        <f t="shared" si="141"/>
        <v>115020008</v>
      </c>
      <c r="B512" s="13">
        <v>11</v>
      </c>
      <c r="C512" s="12">
        <f t="shared" si="142"/>
        <v>5</v>
      </c>
      <c r="D512" s="13">
        <v>2</v>
      </c>
      <c r="E512" s="13">
        <v>0</v>
      </c>
      <c r="F512" s="12">
        <f t="shared" si="143"/>
        <v>8</v>
      </c>
      <c r="H512" s="9">
        <v>5</v>
      </c>
      <c r="I512" s="9">
        <v>8</v>
      </c>
      <c r="K512" s="9" t="s">
        <v>1144</v>
      </c>
      <c r="O512" s="9">
        <v>1</v>
      </c>
      <c r="P512" s="9">
        <v>15</v>
      </c>
      <c r="Q512" s="9" t="s">
        <v>1168</v>
      </c>
      <c r="U512" s="9">
        <v>3333</v>
      </c>
      <c r="X512" s="9">
        <f ca="1">IFERROR(OFFSET(ITEM_RES!$A$5,MATCH(BUILDING!W512,ITEM_RES!$J$5:$J$226,0)-1,0),0)</f>
        <v>0</v>
      </c>
      <c r="AA512" s="9">
        <f ca="1">IFERROR(OFFSET(ITEM_RES!$A$5,MATCH(BUILDING!Z512,ITEM_RES!$J$5:$J$226,0)-1,0),0)</f>
        <v>0</v>
      </c>
      <c r="AC512" s="9" t="s">
        <v>377</v>
      </c>
      <c r="AD512" s="9">
        <v>8</v>
      </c>
      <c r="AF512" s="11">
        <f ca="1">IFERROR(OFFSET(MANOR_LEVEL!$B$1,MATCH(AG512-1,MANOR_LEVEL!$A:$A,0)-1,0),0)</f>
        <v>1500</v>
      </c>
      <c r="AG512" s="56">
        <v>5</v>
      </c>
      <c r="AI512" s="56">
        <f t="shared" ca="1" si="148"/>
        <v>200</v>
      </c>
      <c r="AJ512" s="10">
        <f ca="1">AO512+AQ512+(IFERROR(OFFSET(ITEM_RES!$S$1,MATCH(AU512,ITEM_RES!$A:$A,0)-1,0),0)*AW512+IFERROR(OFFSET(ITEM_RES!$S$1,MATCH(AZ512,ITEM_RES!$A:$A,0)-1,0),0)*BB512+IFERROR(OFFSET(ITEM_RES!$S$1,MATCH(BE512,ITEM_RES!$A:$A,0)-1,0),0)*BG512+IFERROR(OFFSET(ITEM_RES!$S$1,MATCH(BJ512,ITEM_RES!$A:$A,0)-1,0),0)*BL512+IFERROR(OFFSET(ITEM_RES!$S$1,MATCH(BO512,ITEM_RES!$A:$A,0)-1,0),0)*BQ512)/1000</f>
        <v>200.1</v>
      </c>
      <c r="AK512" s="183">
        <f t="shared" ca="1" si="150"/>
        <v>400</v>
      </c>
      <c r="AM512" s="11">
        <f t="shared" si="147"/>
        <v>40</v>
      </c>
      <c r="AN512" s="10">
        <v>40</v>
      </c>
      <c r="AO512" s="11">
        <f t="shared" si="144"/>
        <v>100</v>
      </c>
      <c r="AP512" s="10">
        <v>100</v>
      </c>
      <c r="AQ512" s="11">
        <f t="shared" si="144"/>
        <v>100</v>
      </c>
      <c r="AR512" s="10">
        <v>100</v>
      </c>
      <c r="AS512" s="56">
        <f t="shared" si="149"/>
        <v>1</v>
      </c>
      <c r="AU512" s="11">
        <f ca="1">IFERROR(OFFSET(ITEM_RES!$A$1,MATCH(AV512,ITEM_RES!$J:$J,0)-1,0),0)</f>
        <v>211020801</v>
      </c>
      <c r="AV512" s="10" t="s">
        <v>437</v>
      </c>
      <c r="AW512" s="11">
        <v>1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0</v>
      </c>
      <c r="BJ512" s="11">
        <f ca="1">IFERROR(OFFSET(ITEM_RES!$A$1,MATCH(BK512,ITEM_RES!$J:$J,0)-1,0),0)</f>
        <v>0</v>
      </c>
      <c r="BO512" s="11">
        <f ca="1">IFERROR(OFFSET(ITEM_RES!$A$1,MATCH(BP512,ITEM_RES!$J:$J,0)-1,0),0)</f>
        <v>0</v>
      </c>
    </row>
    <row r="513" spans="1:70" x14ac:dyDescent="0.3">
      <c r="A513" s="14">
        <f t="shared" ref="A513:A564" si="151">B513*10000000+C513*1000000+D513*10000+E513*100+F513</f>
        <v>115020009</v>
      </c>
      <c r="B513" s="13">
        <v>11</v>
      </c>
      <c r="C513" s="12">
        <f t="shared" ref="C513:C564" si="152">H513</f>
        <v>5</v>
      </c>
      <c r="D513" s="13">
        <v>2</v>
      </c>
      <c r="E513" s="13">
        <v>0</v>
      </c>
      <c r="F513" s="12">
        <f t="shared" ref="F513:F564" si="153">I513</f>
        <v>9</v>
      </c>
      <c r="H513" s="9">
        <v>5</v>
      </c>
      <c r="I513" s="9">
        <v>9</v>
      </c>
      <c r="K513" s="9" t="s">
        <v>1144</v>
      </c>
      <c r="O513" s="9">
        <v>1</v>
      </c>
      <c r="P513" s="9">
        <v>15</v>
      </c>
      <c r="Q513" s="9" t="s">
        <v>1168</v>
      </c>
      <c r="U513" s="9">
        <v>3333</v>
      </c>
      <c r="X513" s="9">
        <f ca="1">IFERROR(OFFSET(ITEM_RES!$A$5,MATCH(BUILDING!W513,ITEM_RES!$J$5:$J$226,0)-1,0),0)</f>
        <v>0</v>
      </c>
      <c r="AA513" s="9">
        <f ca="1">IFERROR(OFFSET(ITEM_RES!$A$5,MATCH(BUILDING!Z513,ITEM_RES!$J$5:$J$226,0)-1,0),0)</f>
        <v>0</v>
      </c>
      <c r="AC513" s="9" t="s">
        <v>377</v>
      </c>
      <c r="AD513" s="9">
        <v>9</v>
      </c>
      <c r="AF513" s="11">
        <f ca="1">IFERROR(OFFSET(MANOR_LEVEL!$B$1,MATCH(AG513-1,MANOR_LEVEL!$A:$A,0)-1,0),0)</f>
        <v>3872</v>
      </c>
      <c r="AG513" s="56">
        <v>6</v>
      </c>
      <c r="AI513" s="56">
        <f t="shared" ca="1" si="148"/>
        <v>300</v>
      </c>
      <c r="AJ513" s="10">
        <f ca="1">AO513+AQ513+(IFERROR(OFFSET(ITEM_RES!$S$1,MATCH(AU513,ITEM_RES!$A:$A,0)-1,0),0)*AW513+IFERROR(OFFSET(ITEM_RES!$S$1,MATCH(AZ513,ITEM_RES!$A:$A,0)-1,0),0)*BB513+IFERROR(OFFSET(ITEM_RES!$S$1,MATCH(BE513,ITEM_RES!$A:$A,0)-1,0),0)*BG513+IFERROR(OFFSET(ITEM_RES!$S$1,MATCH(BJ513,ITEM_RES!$A:$A,0)-1,0),0)*BL513+IFERROR(OFFSET(ITEM_RES!$S$1,MATCH(BO513,ITEM_RES!$A:$A,0)-1,0),0)*BQ513)/1000</f>
        <v>300.10000000000002</v>
      </c>
      <c r="AK513" s="183">
        <f t="shared" ca="1" si="150"/>
        <v>500</v>
      </c>
      <c r="AM513" s="11">
        <f t="shared" si="147"/>
        <v>45</v>
      </c>
      <c r="AN513" s="10">
        <v>45</v>
      </c>
      <c r="AO513" s="11">
        <f t="shared" si="144"/>
        <v>150</v>
      </c>
      <c r="AP513" s="10">
        <v>150</v>
      </c>
      <c r="AQ513" s="11">
        <f t="shared" si="144"/>
        <v>150</v>
      </c>
      <c r="AR513" s="10">
        <v>150</v>
      </c>
      <c r="AS513" s="56">
        <f t="shared" si="149"/>
        <v>1</v>
      </c>
      <c r="AU513" s="11">
        <f ca="1">IFERROR(OFFSET(ITEM_RES!$A$1,MATCH(AV513,ITEM_RES!$J:$J,0)-1,0),0)</f>
        <v>211020801</v>
      </c>
      <c r="AV513" s="10" t="s">
        <v>437</v>
      </c>
      <c r="AW513" s="11">
        <v>1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  <c r="BO513" s="11">
        <f ca="1">IFERROR(OFFSET(ITEM_RES!$A$1,MATCH(BP513,ITEM_RES!$J:$J,0)-1,0),0)</f>
        <v>0</v>
      </c>
    </row>
    <row r="514" spans="1:70" x14ac:dyDescent="0.3">
      <c r="A514" s="14">
        <f t="shared" si="151"/>
        <v>115020010</v>
      </c>
      <c r="B514" s="13">
        <v>11</v>
      </c>
      <c r="C514" s="12">
        <f t="shared" si="152"/>
        <v>5</v>
      </c>
      <c r="D514" s="13">
        <v>2</v>
      </c>
      <c r="E514" s="13">
        <v>0</v>
      </c>
      <c r="F514" s="12">
        <f t="shared" si="153"/>
        <v>10</v>
      </c>
      <c r="H514" s="9">
        <v>5</v>
      </c>
      <c r="I514" s="9">
        <v>10</v>
      </c>
      <c r="K514" s="9" t="s">
        <v>1144</v>
      </c>
      <c r="O514" s="9">
        <v>1</v>
      </c>
      <c r="P514" s="9">
        <v>15</v>
      </c>
      <c r="Q514" s="9" t="s">
        <v>1168</v>
      </c>
      <c r="U514" s="9">
        <v>3333</v>
      </c>
      <c r="X514" s="9">
        <f ca="1">IFERROR(OFFSET(ITEM_RES!$A$5,MATCH(BUILDING!W514,ITEM_RES!$J$5:$J$226,0)-1,0),0)</f>
        <v>0</v>
      </c>
      <c r="AA514" s="9">
        <f ca="1">IFERROR(OFFSET(ITEM_RES!$A$5,MATCH(BUILDING!Z514,ITEM_RES!$J$5:$J$226,0)-1,0),0)</f>
        <v>0</v>
      </c>
      <c r="AC514" s="9" t="s">
        <v>377</v>
      </c>
      <c r="AD514" s="9">
        <v>10</v>
      </c>
      <c r="AF514" s="11">
        <f ca="1">IFERROR(OFFSET(MANOR_LEVEL!$B$1,MATCH(AG514-1,MANOR_LEVEL!$A:$A,0)-1,0),0)</f>
        <v>32640</v>
      </c>
      <c r="AG514" s="56">
        <v>7</v>
      </c>
      <c r="AI514" s="56">
        <f t="shared" ca="1" si="148"/>
        <v>900</v>
      </c>
      <c r="AJ514" s="10">
        <f ca="1">AO514+AQ514+(IFERROR(OFFSET(ITEM_RES!$S$1,MATCH(AU514,ITEM_RES!$A:$A,0)-1,0),0)*AW514+IFERROR(OFFSET(ITEM_RES!$S$1,MATCH(AZ514,ITEM_RES!$A:$A,0)-1,0),0)*BB514+IFERROR(OFFSET(ITEM_RES!$S$1,MATCH(BE514,ITEM_RES!$A:$A,0)-1,0),0)*BG514+IFERROR(OFFSET(ITEM_RES!$S$1,MATCH(BJ514,ITEM_RES!$A:$A,0)-1,0),0)*BL514+IFERROR(OFFSET(ITEM_RES!$S$1,MATCH(BO514,ITEM_RES!$A:$A,0)-1,0),0)*BQ514)/1000</f>
        <v>900.1</v>
      </c>
      <c r="AK514" s="183">
        <f t="shared" ca="1" si="150"/>
        <v>1200</v>
      </c>
      <c r="AM514" s="11">
        <f t="shared" si="147"/>
        <v>50</v>
      </c>
      <c r="AN514" s="10">
        <v>50</v>
      </c>
      <c r="AO514" s="11">
        <f t="shared" ref="AO514:AQ564" si="154">ROUND(AP514,0)</f>
        <v>200</v>
      </c>
      <c r="AP514" s="10">
        <v>200</v>
      </c>
      <c r="AQ514" s="11">
        <f t="shared" si="154"/>
        <v>200</v>
      </c>
      <c r="AR514" s="10">
        <v>200</v>
      </c>
      <c r="AS514" s="56">
        <f t="shared" si="149"/>
        <v>2</v>
      </c>
      <c r="AU514" s="11">
        <f ca="1">IFERROR(OFFSET(ITEM_RES!$A$1,MATCH(AV514,ITEM_RES!$J:$J,0)-1,0),0)</f>
        <v>211020801</v>
      </c>
      <c r="AV514" s="10" t="s">
        <v>437</v>
      </c>
      <c r="AW514" s="11">
        <v>1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213011601</v>
      </c>
      <c r="BK514" s="10" t="s">
        <v>482</v>
      </c>
      <c r="BL514" s="11">
        <v>1</v>
      </c>
      <c r="BO514" s="11">
        <f ca="1">IFERROR(OFFSET(ITEM_RES!$A$1,MATCH(BP514,ITEM_RES!$J:$J,0)-1,0),0)</f>
        <v>0</v>
      </c>
    </row>
    <row r="515" spans="1:70" x14ac:dyDescent="0.3">
      <c r="A515" s="14">
        <f t="shared" si="151"/>
        <v>115020011</v>
      </c>
      <c r="B515" s="13">
        <v>11</v>
      </c>
      <c r="C515" s="12">
        <f t="shared" si="152"/>
        <v>5</v>
      </c>
      <c r="D515" s="13">
        <v>2</v>
      </c>
      <c r="E515" s="13">
        <v>0</v>
      </c>
      <c r="F515" s="12">
        <f t="shared" si="153"/>
        <v>11</v>
      </c>
      <c r="H515" s="9">
        <v>5</v>
      </c>
      <c r="I515" s="9">
        <v>11</v>
      </c>
      <c r="K515" s="9" t="s">
        <v>1144</v>
      </c>
      <c r="O515" s="9">
        <v>1</v>
      </c>
      <c r="P515" s="9">
        <v>15</v>
      </c>
      <c r="Q515" s="9" t="s">
        <v>1168</v>
      </c>
      <c r="U515" s="9">
        <v>3333</v>
      </c>
      <c r="X515" s="9">
        <f ca="1">IFERROR(OFFSET(ITEM_RES!$A$5,MATCH(BUILDING!W515,ITEM_RES!$J$5:$J$226,0)-1,0),0)</f>
        <v>0</v>
      </c>
      <c r="AA515" s="9">
        <f ca="1">IFERROR(OFFSET(ITEM_RES!$A$5,MATCH(BUILDING!Z515,ITEM_RES!$J$5:$J$226,0)-1,0),0)</f>
        <v>0</v>
      </c>
      <c r="AC515" s="9" t="s">
        <v>377</v>
      </c>
      <c r="AD515" s="9">
        <v>11</v>
      </c>
      <c r="AF515" s="11">
        <f ca="1">IFERROR(OFFSET(MANOR_LEVEL!$B$1,MATCH(AG515-1,MANOR_LEVEL!$A:$A,0)-1,0),0)</f>
        <v>94800</v>
      </c>
      <c r="AG515" s="56">
        <v>8</v>
      </c>
      <c r="AI515" s="56">
        <f t="shared" ca="1" si="148"/>
        <v>500</v>
      </c>
      <c r="AJ515" s="10">
        <f ca="1">AO515+AQ515+(IFERROR(OFFSET(ITEM_RES!$S$1,MATCH(AU515,ITEM_RES!$A:$A,0)-1,0),0)*AW515+IFERROR(OFFSET(ITEM_RES!$S$1,MATCH(AZ515,ITEM_RES!$A:$A,0)-1,0),0)*BB515+IFERROR(OFFSET(ITEM_RES!$S$1,MATCH(BE515,ITEM_RES!$A:$A,0)-1,0),0)*BG515+IFERROR(OFFSET(ITEM_RES!$S$1,MATCH(BJ515,ITEM_RES!$A:$A,0)-1,0),0)*BL515+IFERROR(OFFSET(ITEM_RES!$S$1,MATCH(BO515,ITEM_RES!$A:$A,0)-1,0),0)*BQ515)/1000</f>
        <v>500.1</v>
      </c>
      <c r="AK515" s="183">
        <f t="shared" ca="1" si="150"/>
        <v>1400</v>
      </c>
      <c r="AM515" s="11">
        <f t="shared" si="147"/>
        <v>55</v>
      </c>
      <c r="AN515" s="10">
        <v>55</v>
      </c>
      <c r="AO515" s="11">
        <f t="shared" si="154"/>
        <v>250</v>
      </c>
      <c r="AP515" s="10">
        <v>250</v>
      </c>
      <c r="AQ515" s="11">
        <f t="shared" si="154"/>
        <v>250</v>
      </c>
      <c r="AR515" s="10">
        <v>250</v>
      </c>
      <c r="AS515" s="56">
        <f t="shared" si="149"/>
        <v>1</v>
      </c>
      <c r="AU515" s="11">
        <f ca="1">IFERROR(OFFSET(ITEM_RES!$A$1,MATCH(AV515,ITEM_RES!$J:$J,0)-1,0),0)</f>
        <v>211020801</v>
      </c>
      <c r="AV515" s="10" t="s">
        <v>437</v>
      </c>
      <c r="AW515" s="11">
        <v>1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  <c r="BO515" s="11">
        <f ca="1">IFERROR(OFFSET(ITEM_RES!$A$1,MATCH(BP515,ITEM_RES!$J:$J,0)-1,0),0)</f>
        <v>0</v>
      </c>
    </row>
    <row r="516" spans="1:70" x14ac:dyDescent="0.3">
      <c r="A516" s="14">
        <f t="shared" si="151"/>
        <v>115020012</v>
      </c>
      <c r="B516" s="13">
        <v>11</v>
      </c>
      <c r="C516" s="12">
        <f t="shared" si="152"/>
        <v>5</v>
      </c>
      <c r="D516" s="13">
        <v>2</v>
      </c>
      <c r="E516" s="13">
        <v>0</v>
      </c>
      <c r="F516" s="12">
        <f t="shared" si="153"/>
        <v>12</v>
      </c>
      <c r="H516" s="9">
        <v>5</v>
      </c>
      <c r="I516" s="9">
        <v>12</v>
      </c>
      <c r="K516" s="9" t="s">
        <v>1144</v>
      </c>
      <c r="O516" s="9">
        <v>1</v>
      </c>
      <c r="P516" s="9">
        <v>15</v>
      </c>
      <c r="Q516" s="9" t="s">
        <v>1168</v>
      </c>
      <c r="U516" s="9">
        <v>3333</v>
      </c>
      <c r="X516" s="9">
        <f ca="1">IFERROR(OFFSET(ITEM_RES!$A$5,MATCH(BUILDING!W516,ITEM_RES!$J$5:$J$226,0)-1,0),0)</f>
        <v>0</v>
      </c>
      <c r="AA516" s="9">
        <f ca="1">IFERROR(OFFSET(ITEM_RES!$A$5,MATCH(BUILDING!Z516,ITEM_RES!$J$5:$J$226,0)-1,0),0)</f>
        <v>0</v>
      </c>
      <c r="AC516" s="9" t="s">
        <v>377</v>
      </c>
      <c r="AD516" s="9">
        <v>12</v>
      </c>
      <c r="AF516" s="11">
        <f ca="1">IFERROR(OFFSET(MANOR_LEVEL!$B$1,MATCH(AG516-1,MANOR_LEVEL!$A:$A,0)-1,0),0)</f>
        <v>186400</v>
      </c>
      <c r="AG516" s="56">
        <v>9</v>
      </c>
      <c r="AI516" s="56">
        <f t="shared" ca="1" si="148"/>
        <v>600</v>
      </c>
      <c r="AJ516" s="10">
        <f ca="1">AO516+AQ516+(IFERROR(OFFSET(ITEM_RES!$S$1,MATCH(AU516,ITEM_RES!$A:$A,0)-1,0),0)*AW516+IFERROR(OFFSET(ITEM_RES!$S$1,MATCH(AZ516,ITEM_RES!$A:$A,0)-1,0),0)*BB516+IFERROR(OFFSET(ITEM_RES!$S$1,MATCH(BE516,ITEM_RES!$A:$A,0)-1,0),0)*BG516+IFERROR(OFFSET(ITEM_RES!$S$1,MATCH(BJ516,ITEM_RES!$A:$A,0)-1,0),0)*BL516+IFERROR(OFFSET(ITEM_RES!$S$1,MATCH(BO516,ITEM_RES!$A:$A,0)-1,0),0)*BQ516)/1000</f>
        <v>600.1</v>
      </c>
      <c r="AK516" s="183">
        <f t="shared" ca="1" si="150"/>
        <v>1100</v>
      </c>
      <c r="AM516" s="11">
        <f t="shared" si="147"/>
        <v>60</v>
      </c>
      <c r="AN516" s="10">
        <v>60</v>
      </c>
      <c r="AO516" s="11">
        <f t="shared" si="154"/>
        <v>300</v>
      </c>
      <c r="AP516" s="10">
        <v>300</v>
      </c>
      <c r="AQ516" s="11">
        <f t="shared" si="154"/>
        <v>300</v>
      </c>
      <c r="AR516" s="10">
        <v>300</v>
      </c>
      <c r="AS516" s="56">
        <f t="shared" si="149"/>
        <v>1</v>
      </c>
      <c r="AU516" s="11">
        <f ca="1">IFERROR(OFFSET(ITEM_RES!$A$1,MATCH(AV516,ITEM_RES!$J:$J,0)-1,0),0)</f>
        <v>211020801</v>
      </c>
      <c r="AV516" s="10" t="s">
        <v>437</v>
      </c>
      <c r="AW516" s="11">
        <v>1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0</v>
      </c>
      <c r="BJ516" s="11">
        <f ca="1">IFERROR(OFFSET(ITEM_RES!$A$1,MATCH(BK516,ITEM_RES!$J:$J,0)-1,0),0)</f>
        <v>0</v>
      </c>
      <c r="BO516" s="11">
        <f ca="1">IFERROR(OFFSET(ITEM_RES!$A$1,MATCH(BP516,ITEM_RES!$J:$J,0)-1,0),0)</f>
        <v>0</v>
      </c>
    </row>
    <row r="517" spans="1:70" x14ac:dyDescent="0.3">
      <c r="A517" s="14">
        <f t="shared" si="151"/>
        <v>115020013</v>
      </c>
      <c r="B517" s="13">
        <v>11</v>
      </c>
      <c r="C517" s="12">
        <f t="shared" si="152"/>
        <v>5</v>
      </c>
      <c r="D517" s="13">
        <v>2</v>
      </c>
      <c r="E517" s="13">
        <v>0</v>
      </c>
      <c r="F517" s="12">
        <f t="shared" si="153"/>
        <v>13</v>
      </c>
      <c r="H517" s="9">
        <v>5</v>
      </c>
      <c r="I517" s="9">
        <v>13</v>
      </c>
      <c r="K517" s="9" t="s">
        <v>1144</v>
      </c>
      <c r="O517" s="9">
        <v>1</v>
      </c>
      <c r="P517" s="9">
        <v>15</v>
      </c>
      <c r="Q517" s="9" t="s">
        <v>1168</v>
      </c>
      <c r="U517" s="9">
        <v>3333</v>
      </c>
      <c r="X517" s="9">
        <f ca="1">IFERROR(OFFSET(ITEM_RES!$A$5,MATCH(BUILDING!W517,ITEM_RES!$J$5:$J$226,0)-1,0),0)</f>
        <v>0</v>
      </c>
      <c r="AA517" s="9">
        <f ca="1">IFERROR(OFFSET(ITEM_RES!$A$5,MATCH(BUILDING!Z517,ITEM_RES!$J$5:$J$226,0)-1,0),0)</f>
        <v>0</v>
      </c>
      <c r="AC517" s="9" t="s">
        <v>377</v>
      </c>
      <c r="AD517" s="9">
        <v>13</v>
      </c>
      <c r="AF517" s="11">
        <f ca="1">IFERROR(OFFSET(MANOR_LEVEL!$B$1,MATCH(AG517-1,MANOR_LEVEL!$A:$A,0)-1,0),0)</f>
        <v>311600</v>
      </c>
      <c r="AG517" s="56">
        <v>10</v>
      </c>
      <c r="AI517" s="56">
        <f t="shared" ca="1" si="148"/>
        <v>700</v>
      </c>
      <c r="AJ517" s="10">
        <f ca="1">AO517+AQ517+(IFERROR(OFFSET(ITEM_RES!$S$1,MATCH(AU517,ITEM_RES!$A:$A,0)-1,0),0)*AW517+IFERROR(OFFSET(ITEM_RES!$S$1,MATCH(AZ517,ITEM_RES!$A:$A,0)-1,0),0)*BB517+IFERROR(OFFSET(ITEM_RES!$S$1,MATCH(BE517,ITEM_RES!$A:$A,0)-1,0),0)*BG517+IFERROR(OFFSET(ITEM_RES!$S$1,MATCH(BJ517,ITEM_RES!$A:$A,0)-1,0),0)*BL517+IFERROR(OFFSET(ITEM_RES!$S$1,MATCH(BO517,ITEM_RES!$A:$A,0)-1,0),0)*BQ517)/1000</f>
        <v>700.1</v>
      </c>
      <c r="AK517" s="183">
        <f t="shared" ca="1" si="150"/>
        <v>1300</v>
      </c>
      <c r="AM517" s="11">
        <f t="shared" si="147"/>
        <v>65</v>
      </c>
      <c r="AN517" s="10">
        <v>65</v>
      </c>
      <c r="AO517" s="11">
        <f t="shared" si="154"/>
        <v>350</v>
      </c>
      <c r="AP517" s="10">
        <v>350</v>
      </c>
      <c r="AQ517" s="11">
        <f t="shared" si="154"/>
        <v>350</v>
      </c>
      <c r="AR517" s="10">
        <v>350</v>
      </c>
      <c r="AS517" s="56">
        <f t="shared" si="149"/>
        <v>1</v>
      </c>
      <c r="AU517" s="11">
        <f ca="1">IFERROR(OFFSET(ITEM_RES!$A$1,MATCH(AV517,ITEM_RES!$J:$J,0)-1,0),0)</f>
        <v>211020801</v>
      </c>
      <c r="AV517" s="10" t="s">
        <v>437</v>
      </c>
      <c r="AW517" s="11">
        <v>1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  <c r="BO517" s="11">
        <f ca="1">IFERROR(OFFSET(ITEM_RES!$A$1,MATCH(BP517,ITEM_RES!$J:$J,0)-1,0),0)</f>
        <v>0</v>
      </c>
    </row>
    <row r="518" spans="1:70" x14ac:dyDescent="0.3">
      <c r="A518" s="14">
        <f t="shared" si="151"/>
        <v>115020014</v>
      </c>
      <c r="B518" s="13">
        <v>11</v>
      </c>
      <c r="C518" s="12">
        <f t="shared" si="152"/>
        <v>5</v>
      </c>
      <c r="D518" s="13">
        <v>2</v>
      </c>
      <c r="E518" s="13">
        <v>0</v>
      </c>
      <c r="F518" s="12">
        <f t="shared" si="153"/>
        <v>14</v>
      </c>
      <c r="H518" s="9">
        <v>5</v>
      </c>
      <c r="I518" s="9">
        <v>14</v>
      </c>
      <c r="K518" s="9" t="s">
        <v>1144</v>
      </c>
      <c r="O518" s="9">
        <v>1</v>
      </c>
      <c r="P518" s="9">
        <v>15</v>
      </c>
      <c r="Q518" s="9" t="s">
        <v>1168</v>
      </c>
      <c r="U518" s="9">
        <v>3333</v>
      </c>
      <c r="X518" s="9">
        <f ca="1">IFERROR(OFFSET(ITEM_RES!$A$5,MATCH(BUILDING!W518,ITEM_RES!$J$5:$J$226,0)-1,0),0)</f>
        <v>0</v>
      </c>
      <c r="AA518" s="9">
        <f ca="1">IFERROR(OFFSET(ITEM_RES!$A$5,MATCH(BUILDING!Z518,ITEM_RES!$J$5:$J$226,0)-1,0),0)</f>
        <v>0</v>
      </c>
      <c r="AC518" s="9" t="s">
        <v>377</v>
      </c>
      <c r="AD518" s="9">
        <v>14</v>
      </c>
      <c r="AF518" s="11">
        <f ca="1">IFERROR(OFFSET(MANOR_LEVEL!$B$1,MATCH(AG518-1,MANOR_LEVEL!$A:$A,0)-1,0),0)</f>
        <v>456800</v>
      </c>
      <c r="AG518" s="56">
        <v>11</v>
      </c>
      <c r="AI518" s="56">
        <f t="shared" ca="1" si="148"/>
        <v>900</v>
      </c>
      <c r="AJ518" s="10">
        <f ca="1">AO518+AQ518+(IFERROR(OFFSET(ITEM_RES!$S$1,MATCH(AU518,ITEM_RES!$A:$A,0)-1,0),0)*AW518+IFERROR(OFFSET(ITEM_RES!$S$1,MATCH(AZ518,ITEM_RES!$A:$A,0)-1,0),0)*BB518+IFERROR(OFFSET(ITEM_RES!$S$1,MATCH(BE518,ITEM_RES!$A:$A,0)-1,0),0)*BG518+IFERROR(OFFSET(ITEM_RES!$S$1,MATCH(BJ518,ITEM_RES!$A:$A,0)-1,0),0)*BL518+IFERROR(OFFSET(ITEM_RES!$S$1,MATCH(BO518,ITEM_RES!$A:$A,0)-1,0),0)*BQ518)/1000</f>
        <v>900.1</v>
      </c>
      <c r="AK518" s="183">
        <f t="shared" ca="1" si="150"/>
        <v>1600</v>
      </c>
      <c r="AM518" s="11">
        <f t="shared" si="147"/>
        <v>70</v>
      </c>
      <c r="AN518" s="10">
        <v>70</v>
      </c>
      <c r="AO518" s="11">
        <f t="shared" si="154"/>
        <v>450</v>
      </c>
      <c r="AP518" s="10">
        <v>450</v>
      </c>
      <c r="AQ518" s="11">
        <f t="shared" si="154"/>
        <v>450</v>
      </c>
      <c r="AR518" s="10">
        <v>450</v>
      </c>
      <c r="AS518" s="56">
        <f t="shared" si="149"/>
        <v>1</v>
      </c>
      <c r="AU518" s="11">
        <f ca="1">IFERROR(OFFSET(ITEM_RES!$A$1,MATCH(AV518,ITEM_RES!$J:$J,0)-1,0),0)</f>
        <v>211020801</v>
      </c>
      <c r="AV518" s="10" t="s">
        <v>437</v>
      </c>
      <c r="AW518" s="11">
        <v>1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  <c r="BO518" s="11">
        <f ca="1">IFERROR(OFFSET(ITEM_RES!$A$1,MATCH(BP518,ITEM_RES!$J:$J,0)-1,0),0)</f>
        <v>0</v>
      </c>
    </row>
    <row r="519" spans="1:70" x14ac:dyDescent="0.3">
      <c r="A519" s="14">
        <f t="shared" si="151"/>
        <v>115020015</v>
      </c>
      <c r="B519" s="13">
        <v>11</v>
      </c>
      <c r="C519" s="12">
        <f t="shared" si="152"/>
        <v>5</v>
      </c>
      <c r="D519" s="13">
        <v>2</v>
      </c>
      <c r="E519" s="13">
        <v>0</v>
      </c>
      <c r="F519" s="12">
        <f t="shared" si="153"/>
        <v>15</v>
      </c>
      <c r="H519" s="9">
        <v>5</v>
      </c>
      <c r="I519" s="9">
        <v>15</v>
      </c>
      <c r="K519" s="9" t="s">
        <v>1144</v>
      </c>
      <c r="O519" s="9">
        <v>1</v>
      </c>
      <c r="P519" s="9">
        <v>15</v>
      </c>
      <c r="Q519" s="9" t="s">
        <v>1168</v>
      </c>
      <c r="U519" s="9">
        <v>3333</v>
      </c>
      <c r="X519" s="9">
        <f ca="1">IFERROR(OFFSET(ITEM_RES!$A$5,MATCH(BUILDING!W519,ITEM_RES!$J$5:$J$226,0)-1,0),0)</f>
        <v>0</v>
      </c>
      <c r="AA519" s="9">
        <f ca="1">IFERROR(OFFSET(ITEM_RES!$A$5,MATCH(BUILDING!Z519,ITEM_RES!$J$5:$J$226,0)-1,0),0)</f>
        <v>0</v>
      </c>
      <c r="AC519" s="9" t="s">
        <v>377</v>
      </c>
      <c r="AD519" s="9">
        <v>15</v>
      </c>
      <c r="AF519" s="11">
        <f ca="1">IFERROR(OFFSET(MANOR_LEVEL!$B$1,MATCH(AG519-1,MANOR_LEVEL!$A:$A,0)-1,0),0)</f>
        <v>796000</v>
      </c>
      <c r="AG519" s="56">
        <v>12</v>
      </c>
      <c r="AI519" s="56">
        <f t="shared" ca="1" si="148"/>
        <v>1100</v>
      </c>
      <c r="AJ519" s="10">
        <f ca="1">AO519+AQ519+(IFERROR(OFFSET(ITEM_RES!$S$1,MATCH(AU519,ITEM_RES!$A:$A,0)-1,0),0)*AW519+IFERROR(OFFSET(ITEM_RES!$S$1,MATCH(AZ519,ITEM_RES!$A:$A,0)-1,0),0)*BB519+IFERROR(OFFSET(ITEM_RES!$S$1,MATCH(BE519,ITEM_RES!$A:$A,0)-1,0),0)*BG519+IFERROR(OFFSET(ITEM_RES!$S$1,MATCH(BJ519,ITEM_RES!$A:$A,0)-1,0),0)*BL519+IFERROR(OFFSET(ITEM_RES!$S$1,MATCH(BO519,ITEM_RES!$A:$A,0)-1,0),0)*BQ519)/1000</f>
        <v>1100.2</v>
      </c>
      <c r="AK519" s="183">
        <f t="shared" ca="1" si="150"/>
        <v>2000</v>
      </c>
      <c r="AM519" s="11">
        <f t="shared" si="147"/>
        <v>75</v>
      </c>
      <c r="AN519" s="10">
        <v>75</v>
      </c>
      <c r="AO519" s="11">
        <f t="shared" si="154"/>
        <v>550</v>
      </c>
      <c r="AP519" s="10">
        <v>550</v>
      </c>
      <c r="AQ519" s="11">
        <f t="shared" si="154"/>
        <v>550</v>
      </c>
      <c r="AR519" s="10">
        <v>550</v>
      </c>
      <c r="AS519" s="56">
        <f t="shared" si="149"/>
        <v>1</v>
      </c>
      <c r="AU519" s="11">
        <f ca="1">IFERROR(OFFSET(ITEM_RES!$A$1,MATCH(AV519,ITEM_RES!$J:$J,0)-1,0),0)</f>
        <v>211020901</v>
      </c>
      <c r="AV519" s="10" t="s">
        <v>444</v>
      </c>
      <c r="AW519" s="11">
        <v>1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  <c r="BO519" s="11">
        <f ca="1">IFERROR(OFFSET(ITEM_RES!$A$1,MATCH(BP519,ITEM_RES!$J:$J,0)-1,0),0)</f>
        <v>0</v>
      </c>
    </row>
    <row r="520" spans="1:70" x14ac:dyDescent="0.3">
      <c r="A520" s="14">
        <f t="shared" si="151"/>
        <v>115020016</v>
      </c>
      <c r="B520" s="13">
        <v>11</v>
      </c>
      <c r="C520" s="12">
        <f t="shared" si="152"/>
        <v>5</v>
      </c>
      <c r="D520" s="13">
        <v>2</v>
      </c>
      <c r="E520" s="13">
        <v>0</v>
      </c>
      <c r="F520" s="12">
        <f t="shared" si="153"/>
        <v>16</v>
      </c>
      <c r="H520" s="9">
        <v>5</v>
      </c>
      <c r="I520" s="9">
        <v>16</v>
      </c>
      <c r="K520" s="9" t="s">
        <v>1144</v>
      </c>
      <c r="O520" s="9">
        <v>0</v>
      </c>
      <c r="P520" s="9">
        <v>15</v>
      </c>
      <c r="Q520" s="9" t="s">
        <v>1168</v>
      </c>
      <c r="U520" s="9">
        <v>3333</v>
      </c>
      <c r="X520" s="9">
        <f ca="1">IFERROR(OFFSET(ITEM_RES!$A$5,MATCH(BUILDING!W520,ITEM_RES!$J$5:$J$226,0)-1,0),0)</f>
        <v>0</v>
      </c>
      <c r="AA520" s="9">
        <f ca="1">IFERROR(OFFSET(ITEM_RES!$A$5,MATCH(BUILDING!Z520,ITEM_RES!$J$5:$J$226,0)-1,0),0)</f>
        <v>0</v>
      </c>
      <c r="AC520" s="9" t="s">
        <v>377</v>
      </c>
      <c r="AD520" s="9">
        <v>16</v>
      </c>
      <c r="AF520" s="11">
        <f ca="1">IFERROR(OFFSET(MANOR_LEVEL!$B$1,MATCH(AG520-1,MANOR_LEVEL!$A:$A,0)-1,0),0)</f>
        <v>1156400</v>
      </c>
      <c r="AG520" s="56">
        <v>13</v>
      </c>
      <c r="AI520" s="56">
        <f t="shared" ca="1" si="148"/>
        <v>1400</v>
      </c>
      <c r="AJ520" s="10">
        <f ca="1">AO520+AQ520+(IFERROR(OFFSET(ITEM_RES!$S$1,MATCH(AU520,ITEM_RES!$A:$A,0)-1,0),0)*AW520+IFERROR(OFFSET(ITEM_RES!$S$1,MATCH(AZ520,ITEM_RES!$A:$A,0)-1,0),0)*BB520+IFERROR(OFFSET(ITEM_RES!$S$1,MATCH(BE520,ITEM_RES!$A:$A,0)-1,0),0)*BG520+IFERROR(OFFSET(ITEM_RES!$S$1,MATCH(BJ520,ITEM_RES!$A:$A,0)-1,0),0)*BL520+IFERROR(OFFSET(ITEM_RES!$S$1,MATCH(BO520,ITEM_RES!$A:$A,0)-1,0),0)*BQ520)/1000</f>
        <v>1400.2</v>
      </c>
      <c r="AK520" s="183">
        <f t="shared" ca="1" si="150"/>
        <v>2500</v>
      </c>
      <c r="AM520" s="11">
        <f t="shared" si="147"/>
        <v>80</v>
      </c>
      <c r="AN520" s="10">
        <v>80</v>
      </c>
      <c r="AO520" s="11">
        <f t="shared" si="154"/>
        <v>700</v>
      </c>
      <c r="AP520" s="10">
        <v>700</v>
      </c>
      <c r="AQ520" s="11">
        <f t="shared" si="154"/>
        <v>700</v>
      </c>
      <c r="AR520" s="10">
        <v>700</v>
      </c>
      <c r="AS520" s="56">
        <f t="shared" si="149"/>
        <v>1</v>
      </c>
      <c r="AU520" s="11">
        <f ca="1">IFERROR(OFFSET(ITEM_RES!$A$1,MATCH(AV520,ITEM_RES!$J:$J,0)-1,0),0)</f>
        <v>211020901</v>
      </c>
      <c r="AV520" s="10" t="s">
        <v>444</v>
      </c>
      <c r="AW520" s="11">
        <v>1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  <c r="BO520" s="11">
        <f ca="1">IFERROR(OFFSET(ITEM_RES!$A$1,MATCH(BP520,ITEM_RES!$J:$J,0)-1,0),0)</f>
        <v>0</v>
      </c>
    </row>
    <row r="521" spans="1:70" x14ac:dyDescent="0.3">
      <c r="A521" s="14">
        <f t="shared" si="151"/>
        <v>115020017</v>
      </c>
      <c r="B521" s="13">
        <v>11</v>
      </c>
      <c r="C521" s="12">
        <f t="shared" si="152"/>
        <v>5</v>
      </c>
      <c r="D521" s="13">
        <v>2</v>
      </c>
      <c r="E521" s="13">
        <v>0</v>
      </c>
      <c r="F521" s="12">
        <f t="shared" si="153"/>
        <v>17</v>
      </c>
      <c r="H521" s="9">
        <v>5</v>
      </c>
      <c r="I521" s="9">
        <v>17</v>
      </c>
      <c r="K521" s="9" t="s">
        <v>1144</v>
      </c>
      <c r="O521" s="9">
        <v>0</v>
      </c>
      <c r="P521" s="9">
        <v>15</v>
      </c>
      <c r="Q521" s="9" t="s">
        <v>1168</v>
      </c>
      <c r="U521" s="9">
        <v>3333</v>
      </c>
      <c r="X521" s="9">
        <f ca="1">IFERROR(OFFSET(ITEM_RES!$A$5,MATCH(BUILDING!W521,ITEM_RES!$J$5:$J$226,0)-1,0),0)</f>
        <v>0</v>
      </c>
      <c r="AA521" s="9">
        <f ca="1">IFERROR(OFFSET(ITEM_RES!$A$5,MATCH(BUILDING!Z521,ITEM_RES!$J$5:$J$226,0)-1,0),0)</f>
        <v>0</v>
      </c>
      <c r="AC521" s="9" t="s">
        <v>377</v>
      </c>
      <c r="AD521" s="9">
        <v>17</v>
      </c>
      <c r="AF521" s="11">
        <f ca="1">IFERROR(OFFSET(MANOR_LEVEL!$B$1,MATCH(AG521-1,MANOR_LEVEL!$A:$A,0)-1,0),0)</f>
        <v>1661200</v>
      </c>
      <c r="AG521" s="56">
        <v>14</v>
      </c>
      <c r="AI521" s="56">
        <f t="shared" ca="1" si="148"/>
        <v>1700</v>
      </c>
      <c r="AJ521" s="10">
        <f ca="1">AO521+AQ521+(IFERROR(OFFSET(ITEM_RES!$S$1,MATCH(AU521,ITEM_RES!$A:$A,0)-1,0),0)*AW521+IFERROR(OFFSET(ITEM_RES!$S$1,MATCH(AZ521,ITEM_RES!$A:$A,0)-1,0),0)*BB521+IFERROR(OFFSET(ITEM_RES!$S$1,MATCH(BE521,ITEM_RES!$A:$A,0)-1,0),0)*BG521+IFERROR(OFFSET(ITEM_RES!$S$1,MATCH(BJ521,ITEM_RES!$A:$A,0)-1,0),0)*BL521+IFERROR(OFFSET(ITEM_RES!$S$1,MATCH(BO521,ITEM_RES!$A:$A,0)-1,0),0)*BQ521)/1000</f>
        <v>1700.2</v>
      </c>
      <c r="AK521" s="183">
        <f t="shared" ca="1" si="150"/>
        <v>3100</v>
      </c>
      <c r="AM521" s="11">
        <f t="shared" si="147"/>
        <v>85</v>
      </c>
      <c r="AN521" s="10">
        <v>85</v>
      </c>
      <c r="AO521" s="11">
        <f t="shared" si="154"/>
        <v>850</v>
      </c>
      <c r="AP521" s="10">
        <v>850</v>
      </c>
      <c r="AQ521" s="11">
        <f t="shared" si="154"/>
        <v>850</v>
      </c>
      <c r="AR521" s="10">
        <v>850</v>
      </c>
      <c r="AS521" s="56">
        <f t="shared" si="149"/>
        <v>1</v>
      </c>
      <c r="AU521" s="11">
        <f ca="1">IFERROR(OFFSET(ITEM_RES!$A$1,MATCH(AV521,ITEM_RES!$J:$J,0)-1,0),0)</f>
        <v>211020901</v>
      </c>
      <c r="AV521" s="10" t="s">
        <v>444</v>
      </c>
      <c r="AW521" s="11">
        <v>1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  <c r="BO521" s="11">
        <f ca="1">IFERROR(OFFSET(ITEM_RES!$A$1,MATCH(BP521,ITEM_RES!$J:$J,0)-1,0),0)</f>
        <v>0</v>
      </c>
    </row>
    <row r="522" spans="1:70" x14ac:dyDescent="0.3">
      <c r="A522" s="14">
        <f t="shared" si="151"/>
        <v>115020018</v>
      </c>
      <c r="B522" s="13">
        <v>11</v>
      </c>
      <c r="C522" s="12">
        <f t="shared" si="152"/>
        <v>5</v>
      </c>
      <c r="D522" s="13">
        <v>2</v>
      </c>
      <c r="E522" s="13">
        <v>0</v>
      </c>
      <c r="F522" s="12">
        <f t="shared" si="153"/>
        <v>18</v>
      </c>
      <c r="H522" s="9">
        <v>5</v>
      </c>
      <c r="I522" s="9">
        <v>18</v>
      </c>
      <c r="K522" s="9" t="s">
        <v>1144</v>
      </c>
      <c r="O522" s="9">
        <v>0</v>
      </c>
      <c r="P522" s="9">
        <v>15</v>
      </c>
      <c r="Q522" s="9" t="s">
        <v>1168</v>
      </c>
      <c r="U522" s="9">
        <v>3333</v>
      </c>
      <c r="X522" s="9">
        <f ca="1">IFERROR(OFFSET(ITEM_RES!$A$5,MATCH(BUILDING!W522,ITEM_RES!$J$5:$J$226,0)-1,0),0)</f>
        <v>0</v>
      </c>
      <c r="AA522" s="9">
        <f ca="1">IFERROR(OFFSET(ITEM_RES!$A$5,MATCH(BUILDING!Z522,ITEM_RES!$J$5:$J$226,0)-1,0),0)</f>
        <v>0</v>
      </c>
      <c r="AC522" s="9" t="s">
        <v>377</v>
      </c>
      <c r="AD522" s="9">
        <v>18</v>
      </c>
      <c r="AF522" s="11">
        <f ca="1">IFERROR(OFFSET(MANOR_LEVEL!$B$1,MATCH(AG522-1,MANOR_LEVEL!$A:$A,0)-1,0),0)</f>
        <v>2622400</v>
      </c>
      <c r="AG522" s="56">
        <v>15</v>
      </c>
      <c r="AI522" s="56">
        <f t="shared" ca="1" si="148"/>
        <v>2100</v>
      </c>
      <c r="AJ522" s="10">
        <f ca="1">AO522+AQ522+(IFERROR(OFFSET(ITEM_RES!$S$1,MATCH(AU522,ITEM_RES!$A:$A,0)-1,0),0)*AW522+IFERROR(OFFSET(ITEM_RES!$S$1,MATCH(AZ522,ITEM_RES!$A:$A,0)-1,0),0)*BB522+IFERROR(OFFSET(ITEM_RES!$S$1,MATCH(BE522,ITEM_RES!$A:$A,0)-1,0),0)*BG522+IFERROR(OFFSET(ITEM_RES!$S$1,MATCH(BJ522,ITEM_RES!$A:$A,0)-1,0),0)*BL522+IFERROR(OFFSET(ITEM_RES!$S$1,MATCH(BO522,ITEM_RES!$A:$A,0)-1,0),0)*BQ522)/1000</f>
        <v>2100.1999999999998</v>
      </c>
      <c r="AK522" s="183">
        <f t="shared" ca="1" si="150"/>
        <v>3800</v>
      </c>
      <c r="AM522" s="11">
        <f t="shared" si="147"/>
        <v>90</v>
      </c>
      <c r="AN522" s="10">
        <v>90</v>
      </c>
      <c r="AO522" s="11">
        <f t="shared" si="154"/>
        <v>1050</v>
      </c>
      <c r="AP522" s="10">
        <v>1050</v>
      </c>
      <c r="AQ522" s="11">
        <f t="shared" si="154"/>
        <v>1050</v>
      </c>
      <c r="AR522" s="10">
        <v>1050</v>
      </c>
      <c r="AS522" s="56">
        <f t="shared" si="149"/>
        <v>1</v>
      </c>
      <c r="AU522" s="11">
        <f ca="1">IFERROR(OFFSET(ITEM_RES!$A$1,MATCH(AV522,ITEM_RES!$J:$J,0)-1,0),0)</f>
        <v>211020901</v>
      </c>
      <c r="AV522" s="10" t="s">
        <v>444</v>
      </c>
      <c r="AW522" s="11">
        <v>1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  <c r="BO522" s="11">
        <f ca="1">IFERROR(OFFSET(ITEM_RES!$A$1,MATCH(BP522,ITEM_RES!$J:$J,0)-1,0),0)</f>
        <v>0</v>
      </c>
    </row>
    <row r="523" spans="1:70" x14ac:dyDescent="0.3">
      <c r="A523" s="14">
        <f t="shared" si="151"/>
        <v>115020019</v>
      </c>
      <c r="B523" s="13">
        <v>11</v>
      </c>
      <c r="C523" s="12">
        <f t="shared" si="152"/>
        <v>5</v>
      </c>
      <c r="D523" s="13">
        <v>2</v>
      </c>
      <c r="E523" s="13">
        <v>0</v>
      </c>
      <c r="F523" s="12">
        <f t="shared" si="153"/>
        <v>19</v>
      </c>
      <c r="H523" s="9">
        <v>5</v>
      </c>
      <c r="I523" s="9">
        <v>19</v>
      </c>
      <c r="K523" s="9" t="s">
        <v>1144</v>
      </c>
      <c r="O523" s="9">
        <v>0</v>
      </c>
      <c r="P523" s="9">
        <v>15</v>
      </c>
      <c r="Q523" s="9" t="s">
        <v>1168</v>
      </c>
      <c r="U523" s="9">
        <v>3333</v>
      </c>
      <c r="X523" s="9">
        <f ca="1">IFERROR(OFFSET(ITEM_RES!$A$5,MATCH(BUILDING!W523,ITEM_RES!$J$5:$J$226,0)-1,0),0)</f>
        <v>0</v>
      </c>
      <c r="AA523" s="9">
        <f ca="1">IFERROR(OFFSET(ITEM_RES!$A$5,MATCH(BUILDING!Z523,ITEM_RES!$J$5:$J$226,0)-1,0),0)</f>
        <v>0</v>
      </c>
      <c r="AC523" s="9" t="s">
        <v>377</v>
      </c>
      <c r="AD523" s="9">
        <v>19</v>
      </c>
      <c r="AF523" s="11">
        <f ca="1">IFERROR(OFFSET(MANOR_LEVEL!$B$1,MATCH(AG523-1,MANOR_LEVEL!$A:$A,0)-1,0),0)</f>
        <v>4232000</v>
      </c>
      <c r="AG523" s="56">
        <v>16</v>
      </c>
      <c r="AI523" s="56">
        <f t="shared" ca="1" si="148"/>
        <v>2500</v>
      </c>
      <c r="AJ523" s="10">
        <f ca="1">AO523+AQ523+(IFERROR(OFFSET(ITEM_RES!$S$1,MATCH(AU523,ITEM_RES!$A:$A,0)-1,0),0)*AW523+IFERROR(OFFSET(ITEM_RES!$S$1,MATCH(AZ523,ITEM_RES!$A:$A,0)-1,0),0)*BB523+IFERROR(OFFSET(ITEM_RES!$S$1,MATCH(BE523,ITEM_RES!$A:$A,0)-1,0),0)*BG523+IFERROR(OFFSET(ITEM_RES!$S$1,MATCH(BJ523,ITEM_RES!$A:$A,0)-1,0),0)*BL523+IFERROR(OFFSET(ITEM_RES!$S$1,MATCH(BO523,ITEM_RES!$A:$A,0)-1,0),0)*BQ523)/1000</f>
        <v>2500.1999999999998</v>
      </c>
      <c r="AK523" s="183">
        <f t="shared" ca="1" si="150"/>
        <v>4600</v>
      </c>
      <c r="AM523" s="11">
        <f t="shared" si="147"/>
        <v>95</v>
      </c>
      <c r="AN523" s="10">
        <v>95</v>
      </c>
      <c r="AO523" s="11">
        <f t="shared" si="154"/>
        <v>1250</v>
      </c>
      <c r="AP523" s="10">
        <v>1250</v>
      </c>
      <c r="AQ523" s="11">
        <f t="shared" si="154"/>
        <v>1250</v>
      </c>
      <c r="AR523" s="10">
        <v>1250</v>
      </c>
      <c r="AS523" s="56">
        <f t="shared" si="149"/>
        <v>1</v>
      </c>
      <c r="AU523" s="11">
        <f ca="1">IFERROR(OFFSET(ITEM_RES!$A$1,MATCH(AV523,ITEM_RES!$J:$J,0)-1,0),0)</f>
        <v>211020901</v>
      </c>
      <c r="AV523" s="10" t="s">
        <v>444</v>
      </c>
      <c r="AW523" s="11">
        <v>1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  <c r="BO523" s="11">
        <f ca="1">IFERROR(OFFSET(ITEM_RES!$A$1,MATCH(BP523,ITEM_RES!$J:$J,0)-1,0),0)</f>
        <v>0</v>
      </c>
    </row>
    <row r="524" spans="1:70" ht="17.25" thickBot="1" x14ac:dyDescent="0.35">
      <c r="A524" s="14">
        <f t="shared" si="151"/>
        <v>115020020</v>
      </c>
      <c r="B524" s="13">
        <v>11</v>
      </c>
      <c r="C524" s="12">
        <f t="shared" si="152"/>
        <v>5</v>
      </c>
      <c r="D524" s="13">
        <v>2</v>
      </c>
      <c r="E524" s="13">
        <v>0</v>
      </c>
      <c r="F524" s="12">
        <f t="shared" si="153"/>
        <v>20</v>
      </c>
      <c r="H524" s="9">
        <v>5</v>
      </c>
      <c r="I524" s="9">
        <v>20</v>
      </c>
      <c r="K524" s="9" t="s">
        <v>1144</v>
      </c>
      <c r="O524" s="9">
        <v>0</v>
      </c>
      <c r="P524" s="9">
        <v>15</v>
      </c>
      <c r="Q524" s="9" t="s">
        <v>1168</v>
      </c>
      <c r="U524" s="9">
        <v>3333</v>
      </c>
      <c r="X524" s="9">
        <f ca="1">IFERROR(OFFSET(ITEM_RES!$A$5,MATCH(BUILDING!W524,ITEM_RES!$J$5:$J$226,0)-1,0),0)</f>
        <v>0</v>
      </c>
      <c r="AA524" s="9">
        <f ca="1">IFERROR(OFFSET(ITEM_RES!$A$5,MATCH(BUILDING!Z524,ITEM_RES!$J$5:$J$226,0)-1,0),0)</f>
        <v>0</v>
      </c>
      <c r="AC524" s="9" t="s">
        <v>377</v>
      </c>
      <c r="AD524" s="9">
        <v>20</v>
      </c>
      <c r="AF524" s="11">
        <f ca="1">IFERROR(OFFSET(MANOR_LEVEL!$B$1,MATCH(AG524-1,MANOR_LEVEL!$A:$A,0)-1,0),0)</f>
        <v>7450000</v>
      </c>
      <c r="AG524" s="56">
        <v>17</v>
      </c>
      <c r="AI524" s="56">
        <f t="shared" ca="1" si="148"/>
        <v>3000</v>
      </c>
      <c r="AJ524" s="10">
        <f ca="1">AO524+AQ524+(IFERROR(OFFSET(ITEM_RES!$S$1,MATCH(AU524,ITEM_RES!$A:$A,0)-1,0),0)*AW524+IFERROR(OFFSET(ITEM_RES!$S$1,MATCH(AZ524,ITEM_RES!$A:$A,0)-1,0),0)*BB524+IFERROR(OFFSET(ITEM_RES!$S$1,MATCH(BE524,ITEM_RES!$A:$A,0)-1,0),0)*BG524+IFERROR(OFFSET(ITEM_RES!$S$1,MATCH(BJ524,ITEM_RES!$A:$A,0)-1,0),0)*BL524+IFERROR(OFFSET(ITEM_RES!$S$1,MATCH(BO524,ITEM_RES!$A:$A,0)-1,0),0)*BQ524)/1000</f>
        <v>3000.2</v>
      </c>
      <c r="AK524" s="183">
        <f t="shared" ca="1" si="150"/>
        <v>5500</v>
      </c>
      <c r="AM524" s="11">
        <f t="shared" si="147"/>
        <v>100</v>
      </c>
      <c r="AN524" s="10">
        <v>100</v>
      </c>
      <c r="AO524" s="11">
        <f t="shared" si="154"/>
        <v>1500</v>
      </c>
      <c r="AP524" s="10">
        <v>1500</v>
      </c>
      <c r="AQ524" s="11">
        <f t="shared" si="154"/>
        <v>1500</v>
      </c>
      <c r="AR524" s="10">
        <v>1500</v>
      </c>
      <c r="AS524" s="56">
        <f t="shared" si="149"/>
        <v>1</v>
      </c>
      <c r="AU524" s="11">
        <f ca="1">IFERROR(OFFSET(ITEM_RES!$A$1,MATCH(AV524,ITEM_RES!$J:$J,0)-1,0),0)</f>
        <v>211020901</v>
      </c>
      <c r="AV524" s="10" t="s">
        <v>444</v>
      </c>
      <c r="AW524" s="11">
        <v>1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  <c r="BO524" s="11">
        <f ca="1">IFERROR(OFFSET(ITEM_RES!$A$1,MATCH(BP524,ITEM_RES!$J:$J,0)-1,0),0)</f>
        <v>0</v>
      </c>
    </row>
    <row r="525" spans="1:70" s="15" customFormat="1" x14ac:dyDescent="0.3">
      <c r="A525" s="21">
        <f t="shared" si="151"/>
        <v>115030001</v>
      </c>
      <c r="B525" s="20">
        <v>11</v>
      </c>
      <c r="C525" s="19">
        <f t="shared" si="152"/>
        <v>5</v>
      </c>
      <c r="D525" s="20">
        <v>3</v>
      </c>
      <c r="E525" s="20">
        <v>0</v>
      </c>
      <c r="F525" s="19">
        <f t="shared" si="153"/>
        <v>1</v>
      </c>
      <c r="G525" s="79"/>
      <c r="H525" s="16">
        <v>5</v>
      </c>
      <c r="I525" s="16">
        <v>1</v>
      </c>
      <c r="J525" s="79"/>
      <c r="K525" s="16" t="s">
        <v>1146</v>
      </c>
      <c r="L525" s="16">
        <v>10</v>
      </c>
      <c r="M525" s="16"/>
      <c r="N525" s="16"/>
      <c r="O525" s="16">
        <v>1</v>
      </c>
      <c r="P525" s="16">
        <v>15</v>
      </c>
      <c r="Q525" s="16" t="s">
        <v>1172</v>
      </c>
      <c r="R525" s="17"/>
      <c r="S525" s="17"/>
      <c r="T525" s="18"/>
      <c r="U525" s="16">
        <v>4444</v>
      </c>
      <c r="V525" s="79"/>
      <c r="W525" s="87"/>
      <c r="X525" s="16">
        <f ca="1">IFERROR(OFFSET(ITEM_RES!$A$5,MATCH(BUILDING!W525,ITEM_RES!$J$5:$J$226,0)-1,0),0)</f>
        <v>0</v>
      </c>
      <c r="Y525" s="18"/>
      <c r="Z525" s="87"/>
      <c r="AA525" s="16">
        <f ca="1">IFERROR(OFFSET(ITEM_RES!$A$5,MATCH(BUILDING!Z525,ITEM_RES!$J$5:$J$226,0)-1,0),0)</f>
        <v>0</v>
      </c>
      <c r="AB525" s="79"/>
      <c r="AC525" s="16" t="s">
        <v>380</v>
      </c>
      <c r="AD525" s="16">
        <v>1</v>
      </c>
      <c r="AE525" s="79"/>
      <c r="AF525" s="18">
        <f ca="1">IFERROR(OFFSET(MANOR_LEVEL!$B$1,MATCH(AG525-1,MANOR_LEVEL!$A:$A,0)-1,0),0)</f>
        <v>0</v>
      </c>
      <c r="AG525" s="57">
        <v>1</v>
      </c>
      <c r="AH525" s="79"/>
      <c r="AI525" s="57">
        <f t="shared" ca="1" si="148"/>
        <v>210</v>
      </c>
      <c r="AJ525" s="17">
        <f ca="1">AO525+AQ525+(IFERROR(OFFSET(ITEM_RES!$S$1,MATCH(AU525,ITEM_RES!$A:$A,0)-1,0),0)*AW525+IFERROR(OFFSET(ITEM_RES!$S$1,MATCH(AZ525,ITEM_RES!$A:$A,0)-1,0),0)*BB525+IFERROR(OFFSET(ITEM_RES!$S$1,MATCH(BE525,ITEM_RES!$A:$A,0)-1,0),0)*BG525+IFERROR(OFFSET(ITEM_RES!$S$1,MATCH(BJ525,ITEM_RES!$A:$A,0)-1,0),0)*BL525+IFERROR(OFFSET(ITEM_RES!$S$1,MATCH(BO525,ITEM_RES!$A:$A,0)-1,0),0)*BQ525)/1000</f>
        <v>210.1</v>
      </c>
      <c r="AK525" s="185">
        <f ca="1">AI525</f>
        <v>210</v>
      </c>
      <c r="AL525" s="79"/>
      <c r="AM525" s="18">
        <f t="shared" si="147"/>
        <v>5</v>
      </c>
      <c r="AN525" s="17">
        <v>5</v>
      </c>
      <c r="AO525" s="18">
        <f t="shared" si="154"/>
        <v>5</v>
      </c>
      <c r="AP525" s="17">
        <v>5</v>
      </c>
      <c r="AQ525" s="18">
        <f t="shared" si="154"/>
        <v>5</v>
      </c>
      <c r="AR525" s="17">
        <v>5</v>
      </c>
      <c r="AS525" s="57">
        <f t="shared" si="149"/>
        <v>3</v>
      </c>
      <c r="AT525" s="18"/>
      <c r="AU525" s="18">
        <f ca="1">IFERROR(OFFSET(ITEM_RES!$A$1,MATCH(AV525,ITEM_RES!$J:$J,0)-1,0),0)</f>
        <v>211020801</v>
      </c>
      <c r="AV525" s="17" t="s">
        <v>434</v>
      </c>
      <c r="AW525" s="18">
        <v>1</v>
      </c>
      <c r="AX525" s="17"/>
      <c r="AY525" s="18"/>
      <c r="AZ525" s="18">
        <f ca="1">IFERROR(OFFSET(ITEM_RES!$A$1,MATCH(BA525,ITEM_RES!$J:$J,0)-1,0),0)</f>
        <v>0</v>
      </c>
      <c r="BA525" s="17"/>
      <c r="BB525" s="18"/>
      <c r="BC525" s="17"/>
      <c r="BD525" s="18"/>
      <c r="BE525" s="18">
        <f ca="1">IFERROR(OFFSET(ITEM_RES!$A$1,MATCH(BF525,ITEM_RES!$J:$J,0)-1,0),0)</f>
        <v>213010101</v>
      </c>
      <c r="BF525" s="17" t="s">
        <v>452</v>
      </c>
      <c r="BG525" s="18">
        <v>1</v>
      </c>
      <c r="BH525" s="17"/>
      <c r="BI525" s="18"/>
      <c r="BJ525" s="18">
        <f ca="1">IFERROR(OFFSET(ITEM_RES!$A$1,MATCH(BK525,ITEM_RES!$J:$J,0)-1,0),0)</f>
        <v>213010201</v>
      </c>
      <c r="BK525" s="17" t="s">
        <v>474</v>
      </c>
      <c r="BL525" s="18">
        <v>1</v>
      </c>
      <c r="BM525" s="17"/>
      <c r="BN525" s="18"/>
      <c r="BO525" s="18">
        <f ca="1">IFERROR(OFFSET(ITEM_RES!$A$1,MATCH(BP525,ITEM_RES!$J:$J,0)-1,0),0)</f>
        <v>0</v>
      </c>
      <c r="BP525" s="17"/>
      <c r="BQ525" s="18"/>
      <c r="BR525" s="17"/>
    </row>
    <row r="526" spans="1:70" x14ac:dyDescent="0.3">
      <c r="A526" s="14">
        <f t="shared" si="151"/>
        <v>115030002</v>
      </c>
      <c r="B526" s="13">
        <v>11</v>
      </c>
      <c r="C526" s="12">
        <f t="shared" si="152"/>
        <v>5</v>
      </c>
      <c r="D526" s="13">
        <v>3</v>
      </c>
      <c r="E526" s="13">
        <v>0</v>
      </c>
      <c r="F526" s="12">
        <f t="shared" si="153"/>
        <v>2</v>
      </c>
      <c r="H526" s="9">
        <v>5</v>
      </c>
      <c r="I526" s="9">
        <v>2</v>
      </c>
      <c r="K526" s="9" t="s">
        <v>1146</v>
      </c>
      <c r="O526" s="9">
        <v>1</v>
      </c>
      <c r="P526" s="9">
        <v>15</v>
      </c>
      <c r="Q526" s="9" t="s">
        <v>1169</v>
      </c>
      <c r="U526" s="9">
        <v>4444</v>
      </c>
      <c r="X526" s="9">
        <f ca="1">IFERROR(OFFSET(ITEM_RES!$A$5,MATCH(BUILDING!W526,ITEM_RES!$J$5:$J$226,0)-1,0),0)</f>
        <v>0</v>
      </c>
      <c r="AA526" s="9">
        <f ca="1">IFERROR(OFFSET(ITEM_RES!$A$5,MATCH(BUILDING!Z526,ITEM_RES!$J$5:$J$226,0)-1,0),0)</f>
        <v>0</v>
      </c>
      <c r="AC526" s="9" t="s">
        <v>379</v>
      </c>
      <c r="AD526" s="9">
        <v>2</v>
      </c>
      <c r="AF526" s="11">
        <f ca="1">IFERROR(OFFSET(MANOR_LEVEL!$B$1,MATCH(AG526-1,MANOR_LEVEL!$A:$A,0)-1,0),0)</f>
        <v>0</v>
      </c>
      <c r="AG526" s="56">
        <v>1</v>
      </c>
      <c r="AI526" s="56">
        <f t="shared" ca="1" si="148"/>
        <v>20</v>
      </c>
      <c r="AJ526" s="10">
        <f ca="1">AO526+AQ526+(IFERROR(OFFSET(ITEM_RES!$S$1,MATCH(AU526,ITEM_RES!$A:$A,0)-1,0),0)*AW526+IFERROR(OFFSET(ITEM_RES!$S$1,MATCH(AZ526,ITEM_RES!$A:$A,0)-1,0),0)*BB526+IFERROR(OFFSET(ITEM_RES!$S$1,MATCH(BE526,ITEM_RES!$A:$A,0)-1,0),0)*BG526+IFERROR(OFFSET(ITEM_RES!$S$1,MATCH(BJ526,ITEM_RES!$A:$A,0)-1,0),0)*BL526+IFERROR(OFFSET(ITEM_RES!$S$1,MATCH(BO526,ITEM_RES!$A:$A,0)-1,0),0)*BQ526)/1000</f>
        <v>20.100000000000001</v>
      </c>
      <c r="AK526" s="183">
        <f ca="1">AI525+AI526</f>
        <v>230</v>
      </c>
      <c r="AM526" s="11">
        <f t="shared" si="147"/>
        <v>10</v>
      </c>
      <c r="AN526" s="10">
        <v>10</v>
      </c>
      <c r="AO526" s="11">
        <f t="shared" si="154"/>
        <v>10</v>
      </c>
      <c r="AP526" s="10">
        <v>10</v>
      </c>
      <c r="AQ526" s="11">
        <f t="shared" si="154"/>
        <v>10</v>
      </c>
      <c r="AR526" s="10">
        <v>10</v>
      </c>
      <c r="AS526" s="56">
        <f t="shared" si="149"/>
        <v>1</v>
      </c>
      <c r="AU526" s="11">
        <f ca="1">IFERROR(OFFSET(ITEM_RES!$A$1,MATCH(AV526,ITEM_RES!$J:$J,0)-1,0),0)</f>
        <v>211020801</v>
      </c>
      <c r="AV526" s="10" t="s">
        <v>434</v>
      </c>
      <c r="AW526" s="11">
        <v>1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  <c r="BO526" s="11">
        <f ca="1">IFERROR(OFFSET(ITEM_RES!$A$1,MATCH(BP526,ITEM_RES!$J:$J,0)-1,0),0)</f>
        <v>0</v>
      </c>
    </row>
    <row r="527" spans="1:70" x14ac:dyDescent="0.3">
      <c r="A527" s="14">
        <f t="shared" si="151"/>
        <v>115030003</v>
      </c>
      <c r="B527" s="13">
        <v>11</v>
      </c>
      <c r="C527" s="12">
        <f t="shared" si="152"/>
        <v>5</v>
      </c>
      <c r="D527" s="13">
        <v>3</v>
      </c>
      <c r="E527" s="13">
        <v>0</v>
      </c>
      <c r="F527" s="12">
        <f t="shared" si="153"/>
        <v>3</v>
      </c>
      <c r="H527" s="9">
        <v>5</v>
      </c>
      <c r="I527" s="9">
        <v>3</v>
      </c>
      <c r="K527" s="9" t="s">
        <v>1145</v>
      </c>
      <c r="O527" s="9">
        <v>1</v>
      </c>
      <c r="P527" s="9">
        <v>15</v>
      </c>
      <c r="Q527" s="9" t="s">
        <v>1169</v>
      </c>
      <c r="U527" s="9">
        <v>4444</v>
      </c>
      <c r="X527" s="9">
        <f ca="1">IFERROR(OFFSET(ITEM_RES!$A$5,MATCH(BUILDING!W527,ITEM_RES!$J$5:$J$226,0)-1,0),0)</f>
        <v>0</v>
      </c>
      <c r="AA527" s="9">
        <f ca="1">IFERROR(OFFSET(ITEM_RES!$A$5,MATCH(BUILDING!Z527,ITEM_RES!$J$5:$J$226,0)-1,0),0)</f>
        <v>0</v>
      </c>
      <c r="AC527" s="9" t="s">
        <v>379</v>
      </c>
      <c r="AD527" s="9">
        <v>3</v>
      </c>
      <c r="AF527" s="11">
        <f ca="1">IFERROR(OFFSET(MANOR_LEVEL!$B$1,MATCH(AG527-1,MANOR_LEVEL!$A:$A,0)-1,0),0)</f>
        <v>0</v>
      </c>
      <c r="AG527" s="56">
        <v>1</v>
      </c>
      <c r="AI527" s="56">
        <f t="shared" ca="1" si="148"/>
        <v>30</v>
      </c>
      <c r="AJ527" s="10">
        <f ca="1">AO527+AQ527+(IFERROR(OFFSET(ITEM_RES!$S$1,MATCH(AU527,ITEM_RES!$A:$A,0)-1,0),0)*AW527+IFERROR(OFFSET(ITEM_RES!$S$1,MATCH(AZ527,ITEM_RES!$A:$A,0)-1,0),0)*BB527+IFERROR(OFFSET(ITEM_RES!$S$1,MATCH(BE527,ITEM_RES!$A:$A,0)-1,0),0)*BG527+IFERROR(OFFSET(ITEM_RES!$S$1,MATCH(BJ527,ITEM_RES!$A:$A,0)-1,0),0)*BL527+IFERROR(OFFSET(ITEM_RES!$S$1,MATCH(BO527,ITEM_RES!$A:$A,0)-1,0),0)*BQ527)/1000</f>
        <v>30.1</v>
      </c>
      <c r="AK527" s="183">
        <f t="shared" ref="AK527:AK544" ca="1" si="155">AI526+AI527</f>
        <v>50</v>
      </c>
      <c r="AM527" s="11">
        <f t="shared" si="147"/>
        <v>15</v>
      </c>
      <c r="AN527" s="10">
        <v>15</v>
      </c>
      <c r="AO527" s="11">
        <f t="shared" si="154"/>
        <v>15</v>
      </c>
      <c r="AP527" s="10">
        <v>15</v>
      </c>
      <c r="AQ527" s="11">
        <f t="shared" si="154"/>
        <v>15</v>
      </c>
      <c r="AR527" s="10">
        <v>15</v>
      </c>
      <c r="AS527" s="56">
        <f t="shared" si="149"/>
        <v>1</v>
      </c>
      <c r="AU527" s="11">
        <f ca="1">IFERROR(OFFSET(ITEM_RES!$A$1,MATCH(AV527,ITEM_RES!$J:$J,0)-1,0),0)</f>
        <v>211020801</v>
      </c>
      <c r="AV527" s="10" t="s">
        <v>434</v>
      </c>
      <c r="AW527" s="11">
        <v>1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  <c r="BO527" s="11">
        <f ca="1">IFERROR(OFFSET(ITEM_RES!$A$1,MATCH(BP527,ITEM_RES!$J:$J,0)-1,0),0)</f>
        <v>0</v>
      </c>
    </row>
    <row r="528" spans="1:70" x14ac:dyDescent="0.3">
      <c r="A528" s="14">
        <f t="shared" si="151"/>
        <v>115030004</v>
      </c>
      <c r="B528" s="13">
        <v>11</v>
      </c>
      <c r="C528" s="12">
        <f t="shared" si="152"/>
        <v>5</v>
      </c>
      <c r="D528" s="13">
        <v>3</v>
      </c>
      <c r="E528" s="13">
        <v>0</v>
      </c>
      <c r="F528" s="12">
        <f t="shared" si="153"/>
        <v>4</v>
      </c>
      <c r="H528" s="9">
        <v>5</v>
      </c>
      <c r="I528" s="9">
        <v>4</v>
      </c>
      <c r="K528" s="9" t="s">
        <v>1145</v>
      </c>
      <c r="O528" s="9">
        <v>1</v>
      </c>
      <c r="P528" s="9">
        <v>15</v>
      </c>
      <c r="Q528" s="9" t="s">
        <v>1169</v>
      </c>
      <c r="U528" s="9">
        <v>4444</v>
      </c>
      <c r="X528" s="9">
        <f ca="1">IFERROR(OFFSET(ITEM_RES!$A$5,MATCH(BUILDING!W528,ITEM_RES!$J$5:$J$226,0)-1,0),0)</f>
        <v>0</v>
      </c>
      <c r="AA528" s="9">
        <f ca="1">IFERROR(OFFSET(ITEM_RES!$A$5,MATCH(BUILDING!Z528,ITEM_RES!$J$5:$J$226,0)-1,0),0)</f>
        <v>0</v>
      </c>
      <c r="AC528" s="9" t="s">
        <v>379</v>
      </c>
      <c r="AD528" s="9">
        <v>4</v>
      </c>
      <c r="AF528" s="11">
        <f ca="1">IFERROR(OFFSET(MANOR_LEVEL!$B$1,MATCH(AG528-1,MANOR_LEVEL!$A:$A,0)-1,0),0)</f>
        <v>444</v>
      </c>
      <c r="AG528" s="56">
        <v>2</v>
      </c>
      <c r="AI528" s="56">
        <f t="shared" ca="1" si="148"/>
        <v>50</v>
      </c>
      <c r="AJ528" s="10">
        <f ca="1">AO528+AQ528+(IFERROR(OFFSET(ITEM_RES!$S$1,MATCH(AU528,ITEM_RES!$A:$A,0)-1,0),0)*AW528+IFERROR(OFFSET(ITEM_RES!$S$1,MATCH(AZ528,ITEM_RES!$A:$A,0)-1,0),0)*BB528+IFERROR(OFFSET(ITEM_RES!$S$1,MATCH(BE528,ITEM_RES!$A:$A,0)-1,0),0)*BG528+IFERROR(OFFSET(ITEM_RES!$S$1,MATCH(BJ528,ITEM_RES!$A:$A,0)-1,0),0)*BL528+IFERROR(OFFSET(ITEM_RES!$S$1,MATCH(BO528,ITEM_RES!$A:$A,0)-1,0),0)*BQ528)/1000</f>
        <v>50.1</v>
      </c>
      <c r="AK528" s="183">
        <f t="shared" ca="1" si="155"/>
        <v>80</v>
      </c>
      <c r="AM528" s="11">
        <f t="shared" si="147"/>
        <v>20</v>
      </c>
      <c r="AN528" s="10">
        <v>20</v>
      </c>
      <c r="AO528" s="11">
        <f t="shared" si="154"/>
        <v>25</v>
      </c>
      <c r="AP528" s="10">
        <v>25</v>
      </c>
      <c r="AQ528" s="11">
        <f t="shared" si="154"/>
        <v>25</v>
      </c>
      <c r="AR528" s="10">
        <v>25</v>
      </c>
      <c r="AS528" s="56">
        <f t="shared" si="149"/>
        <v>1</v>
      </c>
      <c r="AU528" s="11">
        <f ca="1">IFERROR(OFFSET(ITEM_RES!$A$1,MATCH(AV528,ITEM_RES!$J:$J,0)-1,0),0)</f>
        <v>211020801</v>
      </c>
      <c r="AV528" s="10" t="s">
        <v>434</v>
      </c>
      <c r="AW528" s="11">
        <v>1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  <c r="BO528" s="11">
        <f ca="1">IFERROR(OFFSET(ITEM_RES!$A$1,MATCH(BP528,ITEM_RES!$J:$J,0)-1,0),0)</f>
        <v>0</v>
      </c>
    </row>
    <row r="529" spans="1:67" x14ac:dyDescent="0.3">
      <c r="A529" s="14">
        <f t="shared" si="151"/>
        <v>115030005</v>
      </c>
      <c r="B529" s="13">
        <v>11</v>
      </c>
      <c r="C529" s="12">
        <f t="shared" si="152"/>
        <v>5</v>
      </c>
      <c r="D529" s="13">
        <v>3</v>
      </c>
      <c r="E529" s="13">
        <v>0</v>
      </c>
      <c r="F529" s="12">
        <f t="shared" si="153"/>
        <v>5</v>
      </c>
      <c r="H529" s="9">
        <v>5</v>
      </c>
      <c r="I529" s="9">
        <v>5</v>
      </c>
      <c r="K529" s="9" t="s">
        <v>1145</v>
      </c>
      <c r="O529" s="9">
        <v>1</v>
      </c>
      <c r="P529" s="9">
        <v>15</v>
      </c>
      <c r="Q529" s="9" t="s">
        <v>1169</v>
      </c>
      <c r="U529" s="9">
        <v>4444</v>
      </c>
      <c r="X529" s="9">
        <f ca="1">IFERROR(OFFSET(ITEM_RES!$A$5,MATCH(BUILDING!W529,ITEM_RES!$J$5:$J$226,0)-1,0),0)</f>
        <v>0</v>
      </c>
      <c r="AA529" s="9">
        <f ca="1">IFERROR(OFFSET(ITEM_RES!$A$5,MATCH(BUILDING!Z529,ITEM_RES!$J$5:$J$226,0)-1,0),0)</f>
        <v>0</v>
      </c>
      <c r="AC529" s="9" t="s">
        <v>379</v>
      </c>
      <c r="AD529" s="9">
        <v>5</v>
      </c>
      <c r="AF529" s="11">
        <f ca="1">IFERROR(OFFSET(MANOR_LEVEL!$B$1,MATCH(AG529-1,MANOR_LEVEL!$A:$A,0)-1,0),0)</f>
        <v>444</v>
      </c>
      <c r="AG529" s="56">
        <v>2</v>
      </c>
      <c r="AI529" s="56">
        <f t="shared" ca="1" si="148"/>
        <v>80</v>
      </c>
      <c r="AJ529" s="10">
        <f ca="1">AO529+AQ529+(IFERROR(OFFSET(ITEM_RES!$S$1,MATCH(AU529,ITEM_RES!$A:$A,0)-1,0),0)*AW529+IFERROR(OFFSET(ITEM_RES!$S$1,MATCH(AZ529,ITEM_RES!$A:$A,0)-1,0),0)*BB529+IFERROR(OFFSET(ITEM_RES!$S$1,MATCH(BE529,ITEM_RES!$A:$A,0)-1,0),0)*BG529+IFERROR(OFFSET(ITEM_RES!$S$1,MATCH(BJ529,ITEM_RES!$A:$A,0)-1,0),0)*BL529+IFERROR(OFFSET(ITEM_RES!$S$1,MATCH(BO529,ITEM_RES!$A:$A,0)-1,0),0)*BQ529)/1000</f>
        <v>80.099999999999994</v>
      </c>
      <c r="AK529" s="183">
        <f t="shared" ca="1" si="155"/>
        <v>130</v>
      </c>
      <c r="AM529" s="11">
        <f t="shared" si="147"/>
        <v>25</v>
      </c>
      <c r="AN529" s="10">
        <v>25</v>
      </c>
      <c r="AO529" s="11">
        <f t="shared" si="154"/>
        <v>40</v>
      </c>
      <c r="AP529" s="10">
        <v>40</v>
      </c>
      <c r="AQ529" s="11">
        <f t="shared" si="154"/>
        <v>40</v>
      </c>
      <c r="AR529" s="10">
        <v>40</v>
      </c>
      <c r="AS529" s="56">
        <f t="shared" si="149"/>
        <v>1</v>
      </c>
      <c r="AU529" s="11">
        <f ca="1">IFERROR(OFFSET(ITEM_RES!$A$1,MATCH(AV529,ITEM_RES!$J:$J,0)-1,0),0)</f>
        <v>211020801</v>
      </c>
      <c r="AV529" s="10" t="s">
        <v>434</v>
      </c>
      <c r="AW529" s="11">
        <v>1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  <c r="BO529" s="11">
        <f ca="1">IFERROR(OFFSET(ITEM_RES!$A$1,MATCH(BP529,ITEM_RES!$J:$J,0)-1,0),0)</f>
        <v>0</v>
      </c>
    </row>
    <row r="530" spans="1:67" x14ac:dyDescent="0.3">
      <c r="A530" s="14">
        <f t="shared" si="151"/>
        <v>115030006</v>
      </c>
      <c r="B530" s="13">
        <v>11</v>
      </c>
      <c r="C530" s="12">
        <f t="shared" si="152"/>
        <v>5</v>
      </c>
      <c r="D530" s="13">
        <v>3</v>
      </c>
      <c r="E530" s="13">
        <v>0</v>
      </c>
      <c r="F530" s="12">
        <f t="shared" si="153"/>
        <v>6</v>
      </c>
      <c r="H530" s="9">
        <v>5</v>
      </c>
      <c r="I530" s="9">
        <v>6</v>
      </c>
      <c r="K530" s="9" t="s">
        <v>1145</v>
      </c>
      <c r="O530" s="9">
        <v>1</v>
      </c>
      <c r="P530" s="9">
        <v>15</v>
      </c>
      <c r="Q530" s="9" t="s">
        <v>1169</v>
      </c>
      <c r="U530" s="9">
        <v>4444</v>
      </c>
      <c r="X530" s="9">
        <f ca="1">IFERROR(OFFSET(ITEM_RES!$A$5,MATCH(BUILDING!W530,ITEM_RES!$J$5:$J$226,0)-1,0),0)</f>
        <v>0</v>
      </c>
      <c r="AA530" s="9">
        <f ca="1">IFERROR(OFFSET(ITEM_RES!$A$5,MATCH(BUILDING!Z530,ITEM_RES!$J$5:$J$226,0)-1,0),0)</f>
        <v>0</v>
      </c>
      <c r="AC530" s="9" t="s">
        <v>379</v>
      </c>
      <c r="AD530" s="9">
        <v>6</v>
      </c>
      <c r="AF530" s="11">
        <f ca="1">IFERROR(OFFSET(MANOR_LEVEL!$B$1,MATCH(AG530-1,MANOR_LEVEL!$A:$A,0)-1,0),0)</f>
        <v>444</v>
      </c>
      <c r="AG530" s="56">
        <v>2</v>
      </c>
      <c r="AI530" s="56">
        <f t="shared" ca="1" si="148"/>
        <v>100</v>
      </c>
      <c r="AJ530" s="10">
        <f ca="1">AO530+AQ530+(IFERROR(OFFSET(ITEM_RES!$S$1,MATCH(AU530,ITEM_RES!$A:$A,0)-1,0),0)*AW530+IFERROR(OFFSET(ITEM_RES!$S$1,MATCH(AZ530,ITEM_RES!$A:$A,0)-1,0),0)*BB530+IFERROR(OFFSET(ITEM_RES!$S$1,MATCH(BE530,ITEM_RES!$A:$A,0)-1,0),0)*BG530+IFERROR(OFFSET(ITEM_RES!$S$1,MATCH(BJ530,ITEM_RES!$A:$A,0)-1,0),0)*BL530+IFERROR(OFFSET(ITEM_RES!$S$1,MATCH(BO530,ITEM_RES!$A:$A,0)-1,0),0)*BQ530)/1000</f>
        <v>100.1</v>
      </c>
      <c r="AK530" s="183">
        <f t="shared" ca="1" si="155"/>
        <v>180</v>
      </c>
      <c r="AM530" s="11">
        <f t="shared" si="147"/>
        <v>30</v>
      </c>
      <c r="AN530" s="10">
        <v>30</v>
      </c>
      <c r="AO530" s="11">
        <f t="shared" si="154"/>
        <v>50</v>
      </c>
      <c r="AP530" s="10">
        <v>50</v>
      </c>
      <c r="AQ530" s="11">
        <f t="shared" si="154"/>
        <v>50</v>
      </c>
      <c r="AR530" s="10">
        <v>50</v>
      </c>
      <c r="AS530" s="56">
        <f t="shared" si="149"/>
        <v>1</v>
      </c>
      <c r="AU530" s="11">
        <f ca="1">IFERROR(OFFSET(ITEM_RES!$A$1,MATCH(AV530,ITEM_RES!$J:$J,0)-1,0),0)</f>
        <v>211020801</v>
      </c>
      <c r="AV530" s="10" t="s">
        <v>434</v>
      </c>
      <c r="AW530" s="11">
        <v>1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0</v>
      </c>
      <c r="BJ530" s="11">
        <f ca="1">IFERROR(OFFSET(ITEM_RES!$A$1,MATCH(BK530,ITEM_RES!$J:$J,0)-1,0),0)</f>
        <v>0</v>
      </c>
      <c r="BO530" s="11">
        <f ca="1">IFERROR(OFFSET(ITEM_RES!$A$1,MATCH(BP530,ITEM_RES!$J:$J,0)-1,0),0)</f>
        <v>0</v>
      </c>
    </row>
    <row r="531" spans="1:67" x14ac:dyDescent="0.3">
      <c r="A531" s="14">
        <f t="shared" si="151"/>
        <v>115030007</v>
      </c>
      <c r="B531" s="13">
        <v>11</v>
      </c>
      <c r="C531" s="12">
        <f t="shared" si="152"/>
        <v>5</v>
      </c>
      <c r="D531" s="13">
        <v>3</v>
      </c>
      <c r="E531" s="13">
        <v>0</v>
      </c>
      <c r="F531" s="12">
        <f t="shared" si="153"/>
        <v>7</v>
      </c>
      <c r="H531" s="9">
        <v>5</v>
      </c>
      <c r="I531" s="9">
        <v>7</v>
      </c>
      <c r="K531" s="9" t="s">
        <v>1145</v>
      </c>
      <c r="O531" s="9">
        <v>1</v>
      </c>
      <c r="P531" s="9">
        <v>15</v>
      </c>
      <c r="Q531" s="9" t="s">
        <v>1169</v>
      </c>
      <c r="U531" s="9">
        <v>4444</v>
      </c>
      <c r="X531" s="9">
        <f ca="1">IFERROR(OFFSET(ITEM_RES!$A$5,MATCH(BUILDING!W531,ITEM_RES!$J$5:$J$226,0)-1,0),0)</f>
        <v>0</v>
      </c>
      <c r="AA531" s="9">
        <f ca="1">IFERROR(OFFSET(ITEM_RES!$A$5,MATCH(BUILDING!Z531,ITEM_RES!$J$5:$J$226,0)-1,0),0)</f>
        <v>0</v>
      </c>
      <c r="AC531" s="9" t="s">
        <v>379</v>
      </c>
      <c r="AD531" s="9">
        <v>7</v>
      </c>
      <c r="AF531" s="11">
        <f ca="1">IFERROR(OFFSET(MANOR_LEVEL!$B$1,MATCH(AG531-1,MANOR_LEVEL!$A:$A,0)-1,0),0)</f>
        <v>444</v>
      </c>
      <c r="AG531" s="56">
        <v>2</v>
      </c>
      <c r="AI531" s="56">
        <f t="shared" ca="1" si="148"/>
        <v>200</v>
      </c>
      <c r="AJ531" s="10">
        <f ca="1">AO531+AQ531+(IFERROR(OFFSET(ITEM_RES!$S$1,MATCH(AU531,ITEM_RES!$A:$A,0)-1,0),0)*AW531+IFERROR(OFFSET(ITEM_RES!$S$1,MATCH(AZ531,ITEM_RES!$A:$A,0)-1,0),0)*BB531+IFERROR(OFFSET(ITEM_RES!$S$1,MATCH(BE531,ITEM_RES!$A:$A,0)-1,0),0)*BG531+IFERROR(OFFSET(ITEM_RES!$S$1,MATCH(BJ531,ITEM_RES!$A:$A,0)-1,0),0)*BL531+IFERROR(OFFSET(ITEM_RES!$S$1,MATCH(BO531,ITEM_RES!$A:$A,0)-1,0),0)*BQ531)/1000</f>
        <v>200.1</v>
      </c>
      <c r="AK531" s="183">
        <f t="shared" ca="1" si="155"/>
        <v>300</v>
      </c>
      <c r="AM531" s="11">
        <f t="shared" si="147"/>
        <v>35</v>
      </c>
      <c r="AN531" s="10">
        <v>35</v>
      </c>
      <c r="AO531" s="11">
        <f t="shared" si="154"/>
        <v>100</v>
      </c>
      <c r="AP531" s="10">
        <v>100</v>
      </c>
      <c r="AQ531" s="11">
        <f t="shared" si="154"/>
        <v>100</v>
      </c>
      <c r="AR531" s="10">
        <v>100</v>
      </c>
      <c r="AS531" s="56">
        <f t="shared" si="149"/>
        <v>1</v>
      </c>
      <c r="AU531" s="11">
        <f ca="1">IFERROR(OFFSET(ITEM_RES!$A$1,MATCH(AV531,ITEM_RES!$J:$J,0)-1,0),0)</f>
        <v>211020801</v>
      </c>
      <c r="AV531" s="10" t="s">
        <v>434</v>
      </c>
      <c r="AW531" s="11">
        <v>1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  <c r="BO531" s="11">
        <f ca="1">IFERROR(OFFSET(ITEM_RES!$A$1,MATCH(BP531,ITEM_RES!$J:$J,0)-1,0),0)</f>
        <v>0</v>
      </c>
    </row>
    <row r="532" spans="1:67" x14ac:dyDescent="0.3">
      <c r="A532" s="14">
        <f t="shared" si="151"/>
        <v>115030008</v>
      </c>
      <c r="B532" s="13">
        <v>11</v>
      </c>
      <c r="C532" s="12">
        <f t="shared" si="152"/>
        <v>5</v>
      </c>
      <c r="D532" s="13">
        <v>3</v>
      </c>
      <c r="E532" s="13">
        <v>0</v>
      </c>
      <c r="F532" s="12">
        <f t="shared" si="153"/>
        <v>8</v>
      </c>
      <c r="H532" s="9">
        <v>5</v>
      </c>
      <c r="I532" s="9">
        <v>8</v>
      </c>
      <c r="K532" s="9" t="s">
        <v>1145</v>
      </c>
      <c r="O532" s="9">
        <v>1</v>
      </c>
      <c r="P532" s="9">
        <v>15</v>
      </c>
      <c r="Q532" s="9" t="s">
        <v>1169</v>
      </c>
      <c r="U532" s="9">
        <v>4444</v>
      </c>
      <c r="X532" s="9">
        <f ca="1">IFERROR(OFFSET(ITEM_RES!$A$5,MATCH(BUILDING!W532,ITEM_RES!$J$5:$J$226,0)-1,0),0)</f>
        <v>0</v>
      </c>
      <c r="AA532" s="9">
        <f ca="1">IFERROR(OFFSET(ITEM_RES!$A$5,MATCH(BUILDING!Z532,ITEM_RES!$J$5:$J$226,0)-1,0),0)</f>
        <v>0</v>
      </c>
      <c r="AC532" s="9" t="s">
        <v>379</v>
      </c>
      <c r="AD532" s="9">
        <v>8</v>
      </c>
      <c r="AF532" s="11">
        <f ca="1">IFERROR(OFFSET(MANOR_LEVEL!$B$1,MATCH(AG532-1,MANOR_LEVEL!$A:$A,0)-1,0),0)</f>
        <v>528</v>
      </c>
      <c r="AG532" s="56">
        <v>3</v>
      </c>
      <c r="AI532" s="56">
        <f t="shared" ca="1" si="148"/>
        <v>1200</v>
      </c>
      <c r="AJ532" s="10">
        <f ca="1">AO532+AQ532+(IFERROR(OFFSET(ITEM_RES!$S$1,MATCH(AU532,ITEM_RES!$A:$A,0)-1,0),0)*AW532+IFERROR(OFFSET(ITEM_RES!$S$1,MATCH(AZ532,ITEM_RES!$A:$A,0)-1,0),0)*BB532+IFERROR(OFFSET(ITEM_RES!$S$1,MATCH(BE532,ITEM_RES!$A:$A,0)-1,0),0)*BG532+IFERROR(OFFSET(ITEM_RES!$S$1,MATCH(BJ532,ITEM_RES!$A:$A,0)-1,0),0)*BL532+IFERROR(OFFSET(ITEM_RES!$S$1,MATCH(BO532,ITEM_RES!$A:$A,0)-1,0),0)*BQ532)/1000</f>
        <v>1200.0999999999999</v>
      </c>
      <c r="AK532" s="183">
        <f t="shared" ca="1" si="155"/>
        <v>1400</v>
      </c>
      <c r="AM532" s="11">
        <f t="shared" si="147"/>
        <v>40</v>
      </c>
      <c r="AN532" s="10">
        <v>40</v>
      </c>
      <c r="AO532" s="11">
        <f t="shared" si="154"/>
        <v>100</v>
      </c>
      <c r="AP532" s="10">
        <v>100</v>
      </c>
      <c r="AQ532" s="11">
        <f t="shared" si="154"/>
        <v>100</v>
      </c>
      <c r="AR532" s="10">
        <v>100</v>
      </c>
      <c r="AS532" s="56">
        <f t="shared" si="149"/>
        <v>2</v>
      </c>
      <c r="AU532" s="11">
        <f ca="1">IFERROR(OFFSET(ITEM_RES!$A$1,MATCH(AV532,ITEM_RES!$J:$J,0)-1,0),0)</f>
        <v>211020801</v>
      </c>
      <c r="AV532" s="10" t="s">
        <v>434</v>
      </c>
      <c r="AW532" s="11">
        <v>1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213011701</v>
      </c>
      <c r="BK532" s="10" t="s">
        <v>478</v>
      </c>
      <c r="BL532" s="11">
        <v>1</v>
      </c>
      <c r="BO532" s="11">
        <f ca="1">IFERROR(OFFSET(ITEM_RES!$A$1,MATCH(BP532,ITEM_RES!$J:$J,0)-1,0),0)</f>
        <v>0</v>
      </c>
    </row>
    <row r="533" spans="1:67" x14ac:dyDescent="0.3">
      <c r="A533" s="14">
        <f t="shared" si="151"/>
        <v>115030009</v>
      </c>
      <c r="B533" s="13">
        <v>11</v>
      </c>
      <c r="C533" s="12">
        <f t="shared" si="152"/>
        <v>5</v>
      </c>
      <c r="D533" s="13">
        <v>3</v>
      </c>
      <c r="E533" s="13">
        <v>0</v>
      </c>
      <c r="F533" s="12">
        <f t="shared" si="153"/>
        <v>9</v>
      </c>
      <c r="H533" s="9">
        <v>5</v>
      </c>
      <c r="I533" s="9">
        <v>9</v>
      </c>
      <c r="K533" s="9" t="s">
        <v>1145</v>
      </c>
      <c r="O533" s="9">
        <v>1</v>
      </c>
      <c r="P533" s="9">
        <v>15</v>
      </c>
      <c r="Q533" s="9" t="s">
        <v>1169</v>
      </c>
      <c r="U533" s="9">
        <v>4444</v>
      </c>
      <c r="X533" s="9">
        <f ca="1">IFERROR(OFFSET(ITEM_RES!$A$5,MATCH(BUILDING!W533,ITEM_RES!$J$5:$J$226,0)-1,0),0)</f>
        <v>0</v>
      </c>
      <c r="AA533" s="9">
        <f ca="1">IFERROR(OFFSET(ITEM_RES!$A$5,MATCH(BUILDING!Z533,ITEM_RES!$J$5:$J$226,0)-1,0),0)</f>
        <v>0</v>
      </c>
      <c r="AC533" s="9" t="s">
        <v>379</v>
      </c>
      <c r="AD533" s="9">
        <v>9</v>
      </c>
      <c r="AF533" s="11">
        <f ca="1">IFERROR(OFFSET(MANOR_LEVEL!$B$1,MATCH(AG533-1,MANOR_LEVEL!$A:$A,0)-1,0),0)</f>
        <v>528</v>
      </c>
      <c r="AG533" s="56">
        <v>3</v>
      </c>
      <c r="AI533" s="56">
        <f t="shared" ca="1" si="148"/>
        <v>300</v>
      </c>
      <c r="AJ533" s="10">
        <f ca="1">AO533+AQ533+(IFERROR(OFFSET(ITEM_RES!$S$1,MATCH(AU533,ITEM_RES!$A:$A,0)-1,0),0)*AW533+IFERROR(OFFSET(ITEM_RES!$S$1,MATCH(AZ533,ITEM_RES!$A:$A,0)-1,0),0)*BB533+IFERROR(OFFSET(ITEM_RES!$S$1,MATCH(BE533,ITEM_RES!$A:$A,0)-1,0),0)*BG533+IFERROR(OFFSET(ITEM_RES!$S$1,MATCH(BJ533,ITEM_RES!$A:$A,0)-1,0),0)*BL533+IFERROR(OFFSET(ITEM_RES!$S$1,MATCH(BO533,ITEM_RES!$A:$A,0)-1,0),0)*BQ533)/1000</f>
        <v>300.10000000000002</v>
      </c>
      <c r="AK533" s="183">
        <f t="shared" ca="1" si="155"/>
        <v>1500</v>
      </c>
      <c r="AM533" s="11">
        <f t="shared" si="147"/>
        <v>45</v>
      </c>
      <c r="AN533" s="10">
        <v>45</v>
      </c>
      <c r="AO533" s="11">
        <f t="shared" si="154"/>
        <v>150</v>
      </c>
      <c r="AP533" s="10">
        <v>150</v>
      </c>
      <c r="AQ533" s="11">
        <f t="shared" si="154"/>
        <v>150</v>
      </c>
      <c r="AR533" s="10">
        <v>150</v>
      </c>
      <c r="AS533" s="56">
        <f t="shared" si="149"/>
        <v>1</v>
      </c>
      <c r="AU533" s="11">
        <f ca="1">IFERROR(OFFSET(ITEM_RES!$A$1,MATCH(AV533,ITEM_RES!$J:$J,0)-1,0),0)</f>
        <v>211020801</v>
      </c>
      <c r="AV533" s="10" t="s">
        <v>434</v>
      </c>
      <c r="AW533" s="11">
        <v>1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  <c r="BO533" s="11">
        <f ca="1">IFERROR(OFFSET(ITEM_RES!$A$1,MATCH(BP533,ITEM_RES!$J:$J,0)-1,0),0)</f>
        <v>0</v>
      </c>
    </row>
    <row r="534" spans="1:67" x14ac:dyDescent="0.3">
      <c r="A534" s="14">
        <f t="shared" si="151"/>
        <v>115030010</v>
      </c>
      <c r="B534" s="13">
        <v>11</v>
      </c>
      <c r="C534" s="12">
        <f t="shared" si="152"/>
        <v>5</v>
      </c>
      <c r="D534" s="13">
        <v>3</v>
      </c>
      <c r="E534" s="13">
        <v>0</v>
      </c>
      <c r="F534" s="12">
        <f t="shared" si="153"/>
        <v>10</v>
      </c>
      <c r="H534" s="9">
        <v>5</v>
      </c>
      <c r="I534" s="9">
        <v>10</v>
      </c>
      <c r="K534" s="9" t="s">
        <v>1145</v>
      </c>
      <c r="O534" s="9">
        <v>1</v>
      </c>
      <c r="P534" s="9">
        <v>15</v>
      </c>
      <c r="Q534" s="9" t="s">
        <v>1169</v>
      </c>
      <c r="U534" s="9">
        <v>4444</v>
      </c>
      <c r="X534" s="9">
        <f ca="1">IFERROR(OFFSET(ITEM_RES!$A$5,MATCH(BUILDING!W534,ITEM_RES!$J$5:$J$226,0)-1,0),0)</f>
        <v>0</v>
      </c>
      <c r="AA534" s="9">
        <f ca="1">IFERROR(OFFSET(ITEM_RES!$A$5,MATCH(BUILDING!Z534,ITEM_RES!$J$5:$J$226,0)-1,0),0)</f>
        <v>0</v>
      </c>
      <c r="AC534" s="9" t="s">
        <v>379</v>
      </c>
      <c r="AD534" s="9">
        <v>10</v>
      </c>
      <c r="AF534" s="11">
        <f ca="1">IFERROR(OFFSET(MANOR_LEVEL!$B$1,MATCH(AG534-1,MANOR_LEVEL!$A:$A,0)-1,0),0)</f>
        <v>528</v>
      </c>
      <c r="AG534" s="56">
        <v>3</v>
      </c>
      <c r="AI534" s="56">
        <f t="shared" ca="1" si="148"/>
        <v>400</v>
      </c>
      <c r="AJ534" s="10">
        <f ca="1">AO534+AQ534+(IFERROR(OFFSET(ITEM_RES!$S$1,MATCH(AU534,ITEM_RES!$A:$A,0)-1,0),0)*AW534+IFERROR(OFFSET(ITEM_RES!$S$1,MATCH(AZ534,ITEM_RES!$A:$A,0)-1,0),0)*BB534+IFERROR(OFFSET(ITEM_RES!$S$1,MATCH(BE534,ITEM_RES!$A:$A,0)-1,0),0)*BG534+IFERROR(OFFSET(ITEM_RES!$S$1,MATCH(BJ534,ITEM_RES!$A:$A,0)-1,0),0)*BL534+IFERROR(OFFSET(ITEM_RES!$S$1,MATCH(BO534,ITEM_RES!$A:$A,0)-1,0),0)*BQ534)/1000</f>
        <v>400.1</v>
      </c>
      <c r="AK534" s="183">
        <f t="shared" ca="1" si="155"/>
        <v>700</v>
      </c>
      <c r="AM534" s="11">
        <f t="shared" si="147"/>
        <v>50</v>
      </c>
      <c r="AN534" s="10">
        <v>50</v>
      </c>
      <c r="AO534" s="11">
        <f t="shared" si="154"/>
        <v>200</v>
      </c>
      <c r="AP534" s="10">
        <v>200</v>
      </c>
      <c r="AQ534" s="11">
        <f t="shared" si="154"/>
        <v>200</v>
      </c>
      <c r="AR534" s="10">
        <v>200</v>
      </c>
      <c r="AS534" s="56">
        <f t="shared" si="149"/>
        <v>1</v>
      </c>
      <c r="AU534" s="11">
        <f ca="1">IFERROR(OFFSET(ITEM_RES!$A$1,MATCH(AV534,ITEM_RES!$J:$J,0)-1,0),0)</f>
        <v>211020801</v>
      </c>
      <c r="AV534" s="10" t="s">
        <v>434</v>
      </c>
      <c r="AW534" s="11">
        <v>1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  <c r="BO534" s="11">
        <f ca="1">IFERROR(OFFSET(ITEM_RES!$A$1,MATCH(BP534,ITEM_RES!$J:$J,0)-1,0),0)</f>
        <v>0</v>
      </c>
    </row>
    <row r="535" spans="1:67" x14ac:dyDescent="0.3">
      <c r="A535" s="14">
        <f t="shared" si="151"/>
        <v>115030011</v>
      </c>
      <c r="B535" s="13">
        <v>11</v>
      </c>
      <c r="C535" s="12">
        <f t="shared" si="152"/>
        <v>5</v>
      </c>
      <c r="D535" s="13">
        <v>3</v>
      </c>
      <c r="E535" s="13">
        <v>0</v>
      </c>
      <c r="F535" s="12">
        <f t="shared" si="153"/>
        <v>11</v>
      </c>
      <c r="H535" s="9">
        <v>5</v>
      </c>
      <c r="I535" s="9">
        <v>11</v>
      </c>
      <c r="K535" s="9" t="s">
        <v>1145</v>
      </c>
      <c r="O535" s="9">
        <v>1</v>
      </c>
      <c r="P535" s="9">
        <v>15</v>
      </c>
      <c r="Q535" s="9" t="s">
        <v>1169</v>
      </c>
      <c r="U535" s="9">
        <v>4444</v>
      </c>
      <c r="X535" s="9">
        <f ca="1">IFERROR(OFFSET(ITEM_RES!$A$5,MATCH(BUILDING!W535,ITEM_RES!$J$5:$J$226,0)-1,0),0)</f>
        <v>0</v>
      </c>
      <c r="AA535" s="9">
        <f ca="1">IFERROR(OFFSET(ITEM_RES!$A$5,MATCH(BUILDING!Z535,ITEM_RES!$J$5:$J$226,0)-1,0),0)</f>
        <v>0</v>
      </c>
      <c r="AC535" s="9" t="s">
        <v>379</v>
      </c>
      <c r="AD535" s="9">
        <v>11</v>
      </c>
      <c r="AF535" s="11">
        <f ca="1">IFERROR(OFFSET(MANOR_LEVEL!$B$1,MATCH(AG535-1,MANOR_LEVEL!$A:$A,0)-1,0),0)</f>
        <v>528</v>
      </c>
      <c r="AG535" s="56">
        <v>3</v>
      </c>
      <c r="AI535" s="56">
        <f t="shared" ca="1" si="148"/>
        <v>500</v>
      </c>
      <c r="AJ535" s="10">
        <f ca="1">AO535+AQ535+(IFERROR(OFFSET(ITEM_RES!$S$1,MATCH(AU535,ITEM_RES!$A:$A,0)-1,0),0)*AW535+IFERROR(OFFSET(ITEM_RES!$S$1,MATCH(AZ535,ITEM_RES!$A:$A,0)-1,0),0)*BB535+IFERROR(OFFSET(ITEM_RES!$S$1,MATCH(BE535,ITEM_RES!$A:$A,0)-1,0),0)*BG535+IFERROR(OFFSET(ITEM_RES!$S$1,MATCH(BJ535,ITEM_RES!$A:$A,0)-1,0),0)*BL535+IFERROR(OFFSET(ITEM_RES!$S$1,MATCH(BO535,ITEM_RES!$A:$A,0)-1,0),0)*BQ535)/1000</f>
        <v>500.1</v>
      </c>
      <c r="AK535" s="183">
        <f t="shared" ca="1" si="155"/>
        <v>900</v>
      </c>
      <c r="AM535" s="11">
        <f t="shared" si="147"/>
        <v>55</v>
      </c>
      <c r="AN535" s="10">
        <v>55</v>
      </c>
      <c r="AO535" s="11">
        <f t="shared" si="154"/>
        <v>250</v>
      </c>
      <c r="AP535" s="10">
        <v>250</v>
      </c>
      <c r="AQ535" s="11">
        <f t="shared" si="154"/>
        <v>250</v>
      </c>
      <c r="AR535" s="10">
        <v>250</v>
      </c>
      <c r="AS535" s="56">
        <f t="shared" si="149"/>
        <v>1</v>
      </c>
      <c r="AU535" s="11">
        <f ca="1">IFERROR(OFFSET(ITEM_RES!$A$1,MATCH(AV535,ITEM_RES!$J:$J,0)-1,0),0)</f>
        <v>211020801</v>
      </c>
      <c r="AV535" s="10" t="s">
        <v>434</v>
      </c>
      <c r="AW535" s="11">
        <v>1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  <c r="BO535" s="11">
        <f ca="1">IFERROR(OFFSET(ITEM_RES!$A$1,MATCH(BP535,ITEM_RES!$J:$J,0)-1,0),0)</f>
        <v>0</v>
      </c>
    </row>
    <row r="536" spans="1:67" x14ac:dyDescent="0.3">
      <c r="A536" s="14">
        <f t="shared" si="151"/>
        <v>115030012</v>
      </c>
      <c r="B536" s="13">
        <v>11</v>
      </c>
      <c r="C536" s="12">
        <f t="shared" si="152"/>
        <v>5</v>
      </c>
      <c r="D536" s="13">
        <v>3</v>
      </c>
      <c r="E536" s="13">
        <v>0</v>
      </c>
      <c r="F536" s="12">
        <f t="shared" si="153"/>
        <v>12</v>
      </c>
      <c r="H536" s="9">
        <v>5</v>
      </c>
      <c r="I536" s="9">
        <v>12</v>
      </c>
      <c r="K536" s="9" t="s">
        <v>1145</v>
      </c>
      <c r="O536" s="9">
        <v>1</v>
      </c>
      <c r="P536" s="9">
        <v>15</v>
      </c>
      <c r="Q536" s="9" t="s">
        <v>1169</v>
      </c>
      <c r="U536" s="9">
        <v>4444</v>
      </c>
      <c r="X536" s="9">
        <f ca="1">IFERROR(OFFSET(ITEM_RES!$A$5,MATCH(BUILDING!W536,ITEM_RES!$J$5:$J$226,0)-1,0),0)</f>
        <v>0</v>
      </c>
      <c r="AA536" s="9">
        <f ca="1">IFERROR(OFFSET(ITEM_RES!$A$5,MATCH(BUILDING!Z536,ITEM_RES!$J$5:$J$226,0)-1,0),0)</f>
        <v>0</v>
      </c>
      <c r="AC536" s="9" t="s">
        <v>379</v>
      </c>
      <c r="AD536" s="9">
        <v>12</v>
      </c>
      <c r="AF536" s="11">
        <f ca="1">IFERROR(OFFSET(MANOR_LEVEL!$B$1,MATCH(AG536-1,MANOR_LEVEL!$A:$A,0)-1,0),0)</f>
        <v>800</v>
      </c>
      <c r="AG536" s="56">
        <v>4</v>
      </c>
      <c r="AI536" s="56">
        <f t="shared" ca="1" si="148"/>
        <v>600</v>
      </c>
      <c r="AJ536" s="10">
        <f ca="1">AO536+AQ536+(IFERROR(OFFSET(ITEM_RES!$S$1,MATCH(AU536,ITEM_RES!$A:$A,0)-1,0),0)*AW536+IFERROR(OFFSET(ITEM_RES!$S$1,MATCH(AZ536,ITEM_RES!$A:$A,0)-1,0),0)*BB536+IFERROR(OFFSET(ITEM_RES!$S$1,MATCH(BE536,ITEM_RES!$A:$A,0)-1,0),0)*BG536+IFERROR(OFFSET(ITEM_RES!$S$1,MATCH(BJ536,ITEM_RES!$A:$A,0)-1,0),0)*BL536+IFERROR(OFFSET(ITEM_RES!$S$1,MATCH(BO536,ITEM_RES!$A:$A,0)-1,0),0)*BQ536)/1000</f>
        <v>600.1</v>
      </c>
      <c r="AK536" s="183">
        <f t="shared" ca="1" si="155"/>
        <v>1100</v>
      </c>
      <c r="AM536" s="11">
        <f t="shared" si="147"/>
        <v>60</v>
      </c>
      <c r="AN536" s="10">
        <v>60</v>
      </c>
      <c r="AO536" s="11">
        <f t="shared" si="154"/>
        <v>300</v>
      </c>
      <c r="AP536" s="10">
        <v>300</v>
      </c>
      <c r="AQ536" s="11">
        <f t="shared" si="154"/>
        <v>300</v>
      </c>
      <c r="AR536" s="10">
        <v>300</v>
      </c>
      <c r="AS536" s="56">
        <f t="shared" si="149"/>
        <v>1</v>
      </c>
      <c r="AU536" s="11">
        <f ca="1">IFERROR(OFFSET(ITEM_RES!$A$1,MATCH(AV536,ITEM_RES!$J:$J,0)-1,0),0)</f>
        <v>211020801</v>
      </c>
      <c r="AV536" s="10" t="s">
        <v>434</v>
      </c>
      <c r="AW536" s="11">
        <v>1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0</v>
      </c>
      <c r="BJ536" s="11">
        <f ca="1">IFERROR(OFFSET(ITEM_RES!$A$1,MATCH(BK536,ITEM_RES!$J:$J,0)-1,0),0)</f>
        <v>0</v>
      </c>
      <c r="BO536" s="11">
        <f ca="1">IFERROR(OFFSET(ITEM_RES!$A$1,MATCH(BP536,ITEM_RES!$J:$J,0)-1,0),0)</f>
        <v>0</v>
      </c>
    </row>
    <row r="537" spans="1:67" x14ac:dyDescent="0.3">
      <c r="A537" s="14">
        <f t="shared" si="151"/>
        <v>115030013</v>
      </c>
      <c r="B537" s="13">
        <v>11</v>
      </c>
      <c r="C537" s="12">
        <f t="shared" si="152"/>
        <v>5</v>
      </c>
      <c r="D537" s="13">
        <v>3</v>
      </c>
      <c r="E537" s="13">
        <v>0</v>
      </c>
      <c r="F537" s="12">
        <f t="shared" si="153"/>
        <v>13</v>
      </c>
      <c r="H537" s="9">
        <v>5</v>
      </c>
      <c r="I537" s="9">
        <v>13</v>
      </c>
      <c r="K537" s="9" t="s">
        <v>1145</v>
      </c>
      <c r="O537" s="9">
        <v>1</v>
      </c>
      <c r="P537" s="9">
        <v>15</v>
      </c>
      <c r="Q537" s="9" t="s">
        <v>1169</v>
      </c>
      <c r="U537" s="9">
        <v>4444</v>
      </c>
      <c r="X537" s="9">
        <f ca="1">IFERROR(OFFSET(ITEM_RES!$A$5,MATCH(BUILDING!W537,ITEM_RES!$J$5:$J$226,0)-1,0),0)</f>
        <v>0</v>
      </c>
      <c r="AA537" s="9">
        <f ca="1">IFERROR(OFFSET(ITEM_RES!$A$5,MATCH(BUILDING!Z537,ITEM_RES!$J$5:$J$226,0)-1,0),0)</f>
        <v>0</v>
      </c>
      <c r="AC537" s="9" t="s">
        <v>379</v>
      </c>
      <c r="AD537" s="9">
        <v>13</v>
      </c>
      <c r="AF537" s="11">
        <f ca="1">IFERROR(OFFSET(MANOR_LEVEL!$B$1,MATCH(AG537-1,MANOR_LEVEL!$A:$A,0)-1,0),0)</f>
        <v>800</v>
      </c>
      <c r="AG537" s="56">
        <v>4</v>
      </c>
      <c r="AI537" s="56">
        <f t="shared" ca="1" si="148"/>
        <v>700</v>
      </c>
      <c r="AJ537" s="10">
        <f ca="1">AO537+AQ537+(IFERROR(OFFSET(ITEM_RES!$S$1,MATCH(AU537,ITEM_RES!$A:$A,0)-1,0),0)*AW537+IFERROR(OFFSET(ITEM_RES!$S$1,MATCH(AZ537,ITEM_RES!$A:$A,0)-1,0),0)*BB537+IFERROR(OFFSET(ITEM_RES!$S$1,MATCH(BE537,ITEM_RES!$A:$A,0)-1,0),0)*BG537+IFERROR(OFFSET(ITEM_RES!$S$1,MATCH(BJ537,ITEM_RES!$A:$A,0)-1,0),0)*BL537+IFERROR(OFFSET(ITEM_RES!$S$1,MATCH(BO537,ITEM_RES!$A:$A,0)-1,0),0)*BQ537)/1000</f>
        <v>700.1</v>
      </c>
      <c r="AK537" s="183">
        <f t="shared" ca="1" si="155"/>
        <v>1300</v>
      </c>
      <c r="AM537" s="11">
        <f t="shared" si="147"/>
        <v>65</v>
      </c>
      <c r="AN537" s="10">
        <v>65</v>
      </c>
      <c r="AO537" s="11">
        <f t="shared" si="154"/>
        <v>350</v>
      </c>
      <c r="AP537" s="10">
        <v>350</v>
      </c>
      <c r="AQ537" s="11">
        <f t="shared" si="154"/>
        <v>350</v>
      </c>
      <c r="AR537" s="10">
        <v>350</v>
      </c>
      <c r="AS537" s="56">
        <f t="shared" si="149"/>
        <v>1</v>
      </c>
      <c r="AU537" s="11">
        <f ca="1">IFERROR(OFFSET(ITEM_RES!$A$1,MATCH(AV537,ITEM_RES!$J:$J,0)-1,0),0)</f>
        <v>211020801</v>
      </c>
      <c r="AV537" s="10" t="s">
        <v>434</v>
      </c>
      <c r="AW537" s="11">
        <v>1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  <c r="BO537" s="11">
        <f ca="1">IFERROR(OFFSET(ITEM_RES!$A$1,MATCH(BP537,ITEM_RES!$J:$J,0)-1,0),0)</f>
        <v>0</v>
      </c>
    </row>
    <row r="538" spans="1:67" x14ac:dyDescent="0.3">
      <c r="A538" s="14">
        <f t="shared" si="151"/>
        <v>115030014</v>
      </c>
      <c r="B538" s="13">
        <v>11</v>
      </c>
      <c r="C538" s="12">
        <f t="shared" si="152"/>
        <v>5</v>
      </c>
      <c r="D538" s="13">
        <v>3</v>
      </c>
      <c r="E538" s="13">
        <v>0</v>
      </c>
      <c r="F538" s="12">
        <f t="shared" si="153"/>
        <v>14</v>
      </c>
      <c r="H538" s="9">
        <v>5</v>
      </c>
      <c r="I538" s="9">
        <v>14</v>
      </c>
      <c r="K538" s="9" t="s">
        <v>1145</v>
      </c>
      <c r="O538" s="9">
        <v>1</v>
      </c>
      <c r="P538" s="9">
        <v>15</v>
      </c>
      <c r="Q538" s="9" t="s">
        <v>1169</v>
      </c>
      <c r="U538" s="9">
        <v>4444</v>
      </c>
      <c r="X538" s="9">
        <f ca="1">IFERROR(OFFSET(ITEM_RES!$A$5,MATCH(BUILDING!W538,ITEM_RES!$J$5:$J$226,0)-1,0),0)</f>
        <v>0</v>
      </c>
      <c r="AA538" s="9">
        <f ca="1">IFERROR(OFFSET(ITEM_RES!$A$5,MATCH(BUILDING!Z538,ITEM_RES!$J$5:$J$226,0)-1,0),0)</f>
        <v>0</v>
      </c>
      <c r="AC538" s="9" t="s">
        <v>379</v>
      </c>
      <c r="AD538" s="9">
        <v>14</v>
      </c>
      <c r="AF538" s="11">
        <f ca="1">IFERROR(OFFSET(MANOR_LEVEL!$B$1,MATCH(AG538-1,MANOR_LEVEL!$A:$A,0)-1,0),0)</f>
        <v>800</v>
      </c>
      <c r="AG538" s="56">
        <v>4</v>
      </c>
      <c r="AI538" s="56">
        <f t="shared" ca="1" si="148"/>
        <v>900</v>
      </c>
      <c r="AJ538" s="10">
        <f ca="1">AO538+AQ538+(IFERROR(OFFSET(ITEM_RES!$S$1,MATCH(AU538,ITEM_RES!$A:$A,0)-1,0),0)*AW538+IFERROR(OFFSET(ITEM_RES!$S$1,MATCH(AZ538,ITEM_RES!$A:$A,0)-1,0),0)*BB538+IFERROR(OFFSET(ITEM_RES!$S$1,MATCH(BE538,ITEM_RES!$A:$A,0)-1,0),0)*BG538+IFERROR(OFFSET(ITEM_RES!$S$1,MATCH(BJ538,ITEM_RES!$A:$A,0)-1,0),0)*BL538+IFERROR(OFFSET(ITEM_RES!$S$1,MATCH(BO538,ITEM_RES!$A:$A,0)-1,0),0)*BQ538)/1000</f>
        <v>900.2</v>
      </c>
      <c r="AK538" s="183">
        <f t="shared" ca="1" si="155"/>
        <v>1600</v>
      </c>
      <c r="AM538" s="11">
        <f t="shared" si="147"/>
        <v>70</v>
      </c>
      <c r="AN538" s="10">
        <v>70</v>
      </c>
      <c r="AO538" s="11">
        <f t="shared" si="154"/>
        <v>450</v>
      </c>
      <c r="AP538" s="10">
        <v>450</v>
      </c>
      <c r="AQ538" s="11">
        <f t="shared" si="154"/>
        <v>450</v>
      </c>
      <c r="AR538" s="10">
        <v>450</v>
      </c>
      <c r="AS538" s="56">
        <f t="shared" si="149"/>
        <v>1</v>
      </c>
      <c r="AU538" s="11">
        <f ca="1">IFERROR(OFFSET(ITEM_RES!$A$1,MATCH(AV538,ITEM_RES!$J:$J,0)-1,0),0)</f>
        <v>211020901</v>
      </c>
      <c r="AV538" s="10" t="s">
        <v>444</v>
      </c>
      <c r="AW538" s="11">
        <v>1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  <c r="BO538" s="11">
        <f ca="1">IFERROR(OFFSET(ITEM_RES!$A$1,MATCH(BP538,ITEM_RES!$J:$J,0)-1,0),0)</f>
        <v>0</v>
      </c>
    </row>
    <row r="539" spans="1:67" x14ac:dyDescent="0.3">
      <c r="A539" s="14">
        <f t="shared" si="151"/>
        <v>115030015</v>
      </c>
      <c r="B539" s="13">
        <v>11</v>
      </c>
      <c r="C539" s="12">
        <f t="shared" si="152"/>
        <v>5</v>
      </c>
      <c r="D539" s="13">
        <v>3</v>
      </c>
      <c r="E539" s="13">
        <v>0</v>
      </c>
      <c r="F539" s="12">
        <f t="shared" si="153"/>
        <v>15</v>
      </c>
      <c r="H539" s="9">
        <v>5</v>
      </c>
      <c r="I539" s="9">
        <v>15</v>
      </c>
      <c r="K539" s="9" t="s">
        <v>1145</v>
      </c>
      <c r="O539" s="9">
        <v>1</v>
      </c>
      <c r="P539" s="9">
        <v>15</v>
      </c>
      <c r="Q539" s="9" t="s">
        <v>1169</v>
      </c>
      <c r="U539" s="9">
        <v>4444</v>
      </c>
      <c r="X539" s="9">
        <f ca="1">IFERROR(OFFSET(ITEM_RES!$A$5,MATCH(BUILDING!W539,ITEM_RES!$J$5:$J$226,0)-1,0),0)</f>
        <v>0</v>
      </c>
      <c r="AA539" s="9">
        <f ca="1">IFERROR(OFFSET(ITEM_RES!$A$5,MATCH(BUILDING!Z539,ITEM_RES!$J$5:$J$226,0)-1,0),0)</f>
        <v>0</v>
      </c>
      <c r="AC539" s="9" t="s">
        <v>379</v>
      </c>
      <c r="AD539" s="9">
        <v>15</v>
      </c>
      <c r="AF539" s="11">
        <f ca="1">IFERROR(OFFSET(MANOR_LEVEL!$B$1,MATCH(AG539-1,MANOR_LEVEL!$A:$A,0)-1,0),0)</f>
        <v>1500</v>
      </c>
      <c r="AG539" s="56">
        <v>5</v>
      </c>
      <c r="AI539" s="56">
        <f t="shared" ca="1" si="148"/>
        <v>1100</v>
      </c>
      <c r="AJ539" s="10">
        <f ca="1">AO539+AQ539+(IFERROR(OFFSET(ITEM_RES!$S$1,MATCH(AU539,ITEM_RES!$A:$A,0)-1,0),0)*AW539+IFERROR(OFFSET(ITEM_RES!$S$1,MATCH(AZ539,ITEM_RES!$A:$A,0)-1,0),0)*BB539+IFERROR(OFFSET(ITEM_RES!$S$1,MATCH(BE539,ITEM_RES!$A:$A,0)-1,0),0)*BG539+IFERROR(OFFSET(ITEM_RES!$S$1,MATCH(BJ539,ITEM_RES!$A:$A,0)-1,0),0)*BL539+IFERROR(OFFSET(ITEM_RES!$S$1,MATCH(BO539,ITEM_RES!$A:$A,0)-1,0),0)*BQ539)/1000</f>
        <v>1100.2</v>
      </c>
      <c r="AK539" s="183">
        <f t="shared" ca="1" si="155"/>
        <v>2000</v>
      </c>
      <c r="AM539" s="11">
        <f t="shared" si="147"/>
        <v>75</v>
      </c>
      <c r="AN539" s="10">
        <v>75</v>
      </c>
      <c r="AO539" s="11">
        <f t="shared" si="154"/>
        <v>550</v>
      </c>
      <c r="AP539" s="10">
        <v>550</v>
      </c>
      <c r="AQ539" s="11">
        <f t="shared" si="154"/>
        <v>550</v>
      </c>
      <c r="AR539" s="10">
        <v>550</v>
      </c>
      <c r="AS539" s="56">
        <f t="shared" si="149"/>
        <v>1</v>
      </c>
      <c r="AU539" s="11">
        <f ca="1">IFERROR(OFFSET(ITEM_RES!$A$1,MATCH(AV539,ITEM_RES!$J:$J,0)-1,0),0)</f>
        <v>211020901</v>
      </c>
      <c r="AV539" s="10" t="s">
        <v>444</v>
      </c>
      <c r="AW539" s="11">
        <v>1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  <c r="BO539" s="11">
        <f ca="1">IFERROR(OFFSET(ITEM_RES!$A$1,MATCH(BP539,ITEM_RES!$J:$J,0)-1,0),0)</f>
        <v>0</v>
      </c>
    </row>
    <row r="540" spans="1:67" x14ac:dyDescent="0.3">
      <c r="A540" s="14">
        <f t="shared" si="151"/>
        <v>115030016</v>
      </c>
      <c r="B540" s="13">
        <v>11</v>
      </c>
      <c r="C540" s="12">
        <f t="shared" si="152"/>
        <v>5</v>
      </c>
      <c r="D540" s="13">
        <v>3</v>
      </c>
      <c r="E540" s="13">
        <v>0</v>
      </c>
      <c r="F540" s="12">
        <f t="shared" si="153"/>
        <v>16</v>
      </c>
      <c r="H540" s="9">
        <v>5</v>
      </c>
      <c r="I540" s="9">
        <v>16</v>
      </c>
      <c r="K540" s="9" t="s">
        <v>1145</v>
      </c>
      <c r="O540" s="9">
        <v>0</v>
      </c>
      <c r="P540" s="9">
        <v>15</v>
      </c>
      <c r="Q540" s="9" t="s">
        <v>1169</v>
      </c>
      <c r="U540" s="9">
        <v>4444</v>
      </c>
      <c r="X540" s="9">
        <f ca="1">IFERROR(OFFSET(ITEM_RES!$A$5,MATCH(BUILDING!W540,ITEM_RES!$J$5:$J$226,0)-1,0),0)</f>
        <v>0</v>
      </c>
      <c r="AA540" s="9">
        <f ca="1">IFERROR(OFFSET(ITEM_RES!$A$5,MATCH(BUILDING!Z540,ITEM_RES!$J$5:$J$226,0)-1,0),0)</f>
        <v>0</v>
      </c>
      <c r="AC540" s="9" t="s">
        <v>379</v>
      </c>
      <c r="AD540" s="9">
        <v>16</v>
      </c>
      <c r="AF540" s="11">
        <f ca="1">IFERROR(OFFSET(MANOR_LEVEL!$B$1,MATCH(AG540-1,MANOR_LEVEL!$A:$A,0)-1,0),0)</f>
        <v>1500</v>
      </c>
      <c r="AG540" s="56">
        <v>5</v>
      </c>
      <c r="AI540" s="56">
        <f t="shared" ca="1" si="148"/>
        <v>1400</v>
      </c>
      <c r="AJ540" s="10">
        <f ca="1">AO540+AQ540+(IFERROR(OFFSET(ITEM_RES!$S$1,MATCH(AU540,ITEM_RES!$A:$A,0)-1,0),0)*AW540+IFERROR(OFFSET(ITEM_RES!$S$1,MATCH(AZ540,ITEM_RES!$A:$A,0)-1,0),0)*BB540+IFERROR(OFFSET(ITEM_RES!$S$1,MATCH(BE540,ITEM_RES!$A:$A,0)-1,0),0)*BG540+IFERROR(OFFSET(ITEM_RES!$S$1,MATCH(BJ540,ITEM_RES!$A:$A,0)-1,0),0)*BL540+IFERROR(OFFSET(ITEM_RES!$S$1,MATCH(BO540,ITEM_RES!$A:$A,0)-1,0),0)*BQ540)/1000</f>
        <v>1400.2</v>
      </c>
      <c r="AK540" s="183">
        <f t="shared" ca="1" si="155"/>
        <v>2500</v>
      </c>
      <c r="AM540" s="11">
        <f t="shared" si="147"/>
        <v>80</v>
      </c>
      <c r="AN540" s="10">
        <v>80</v>
      </c>
      <c r="AO540" s="11">
        <f t="shared" si="154"/>
        <v>700</v>
      </c>
      <c r="AP540" s="10">
        <v>700</v>
      </c>
      <c r="AQ540" s="11">
        <f t="shared" si="154"/>
        <v>700</v>
      </c>
      <c r="AR540" s="10">
        <v>700</v>
      </c>
      <c r="AS540" s="56">
        <f t="shared" si="149"/>
        <v>1</v>
      </c>
      <c r="AU540" s="11">
        <f ca="1">IFERROR(OFFSET(ITEM_RES!$A$1,MATCH(AV540,ITEM_RES!$J:$J,0)-1,0),0)</f>
        <v>211020901</v>
      </c>
      <c r="AV540" s="10" t="s">
        <v>444</v>
      </c>
      <c r="AW540" s="11">
        <v>1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  <c r="BO540" s="11">
        <f ca="1">IFERROR(OFFSET(ITEM_RES!$A$1,MATCH(BP540,ITEM_RES!$J:$J,0)-1,0),0)</f>
        <v>0</v>
      </c>
    </row>
    <row r="541" spans="1:67" x14ac:dyDescent="0.3">
      <c r="A541" s="14">
        <f t="shared" si="151"/>
        <v>115030017</v>
      </c>
      <c r="B541" s="13">
        <v>11</v>
      </c>
      <c r="C541" s="12">
        <f t="shared" si="152"/>
        <v>5</v>
      </c>
      <c r="D541" s="13">
        <v>3</v>
      </c>
      <c r="E541" s="13">
        <v>0</v>
      </c>
      <c r="F541" s="12">
        <f t="shared" si="153"/>
        <v>17</v>
      </c>
      <c r="H541" s="9">
        <v>5</v>
      </c>
      <c r="I541" s="9">
        <v>17</v>
      </c>
      <c r="K541" s="9" t="s">
        <v>1145</v>
      </c>
      <c r="O541" s="9">
        <v>0</v>
      </c>
      <c r="P541" s="9">
        <v>15</v>
      </c>
      <c r="Q541" s="9" t="s">
        <v>1169</v>
      </c>
      <c r="U541" s="9">
        <v>4444</v>
      </c>
      <c r="X541" s="9">
        <f ca="1">IFERROR(OFFSET(ITEM_RES!$A$5,MATCH(BUILDING!W541,ITEM_RES!$J$5:$J$226,0)-1,0),0)</f>
        <v>0</v>
      </c>
      <c r="AA541" s="9">
        <f ca="1">IFERROR(OFFSET(ITEM_RES!$A$5,MATCH(BUILDING!Z541,ITEM_RES!$J$5:$J$226,0)-1,0),0)</f>
        <v>0</v>
      </c>
      <c r="AC541" s="9" t="s">
        <v>379</v>
      </c>
      <c r="AD541" s="9">
        <v>17</v>
      </c>
      <c r="AF541" s="11">
        <f ca="1">IFERROR(OFFSET(MANOR_LEVEL!$B$1,MATCH(AG541-1,MANOR_LEVEL!$A:$A,0)-1,0),0)</f>
        <v>3872</v>
      </c>
      <c r="AG541" s="56">
        <v>6</v>
      </c>
      <c r="AI541" s="56">
        <f t="shared" ca="1" si="148"/>
        <v>1700</v>
      </c>
      <c r="AJ541" s="10">
        <f ca="1">AO541+AQ541+(IFERROR(OFFSET(ITEM_RES!$S$1,MATCH(AU541,ITEM_RES!$A:$A,0)-1,0),0)*AW541+IFERROR(OFFSET(ITEM_RES!$S$1,MATCH(AZ541,ITEM_RES!$A:$A,0)-1,0),0)*BB541+IFERROR(OFFSET(ITEM_RES!$S$1,MATCH(BE541,ITEM_RES!$A:$A,0)-1,0),0)*BG541+IFERROR(OFFSET(ITEM_RES!$S$1,MATCH(BJ541,ITEM_RES!$A:$A,0)-1,0),0)*BL541+IFERROR(OFFSET(ITEM_RES!$S$1,MATCH(BO541,ITEM_RES!$A:$A,0)-1,0),0)*BQ541)/1000</f>
        <v>1700.2</v>
      </c>
      <c r="AK541" s="183">
        <f t="shared" ca="1" si="155"/>
        <v>3100</v>
      </c>
      <c r="AM541" s="11">
        <f t="shared" si="147"/>
        <v>85</v>
      </c>
      <c r="AN541" s="10">
        <v>85</v>
      </c>
      <c r="AO541" s="11">
        <f t="shared" si="154"/>
        <v>850</v>
      </c>
      <c r="AP541" s="10">
        <v>850</v>
      </c>
      <c r="AQ541" s="11">
        <f t="shared" si="154"/>
        <v>850</v>
      </c>
      <c r="AR541" s="10">
        <v>850</v>
      </c>
      <c r="AS541" s="56">
        <f t="shared" si="149"/>
        <v>1</v>
      </c>
      <c r="AU541" s="11">
        <f ca="1">IFERROR(OFFSET(ITEM_RES!$A$1,MATCH(AV541,ITEM_RES!$J:$J,0)-1,0),0)</f>
        <v>211020901</v>
      </c>
      <c r="AV541" s="10" t="s">
        <v>444</v>
      </c>
      <c r="AW541" s="11">
        <v>1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  <c r="BO541" s="11">
        <f ca="1">IFERROR(OFFSET(ITEM_RES!$A$1,MATCH(BP541,ITEM_RES!$J:$J,0)-1,0),0)</f>
        <v>0</v>
      </c>
    </row>
    <row r="542" spans="1:67" x14ac:dyDescent="0.3">
      <c r="A542" s="14">
        <f t="shared" si="151"/>
        <v>115030018</v>
      </c>
      <c r="B542" s="13">
        <v>11</v>
      </c>
      <c r="C542" s="12">
        <f t="shared" si="152"/>
        <v>5</v>
      </c>
      <c r="D542" s="13">
        <v>3</v>
      </c>
      <c r="E542" s="13">
        <v>0</v>
      </c>
      <c r="F542" s="12">
        <f t="shared" si="153"/>
        <v>18</v>
      </c>
      <c r="H542" s="9">
        <v>5</v>
      </c>
      <c r="I542" s="9">
        <v>18</v>
      </c>
      <c r="K542" s="9" t="s">
        <v>1145</v>
      </c>
      <c r="O542" s="9">
        <v>0</v>
      </c>
      <c r="P542" s="9">
        <v>15</v>
      </c>
      <c r="Q542" s="9" t="s">
        <v>1169</v>
      </c>
      <c r="U542" s="9">
        <v>4444</v>
      </c>
      <c r="X542" s="9">
        <f ca="1">IFERROR(OFFSET(ITEM_RES!$A$5,MATCH(BUILDING!W542,ITEM_RES!$J$5:$J$226,0)-1,0),0)</f>
        <v>0</v>
      </c>
      <c r="AA542" s="9">
        <f ca="1">IFERROR(OFFSET(ITEM_RES!$A$5,MATCH(BUILDING!Z542,ITEM_RES!$J$5:$J$226,0)-1,0),0)</f>
        <v>0</v>
      </c>
      <c r="AC542" s="9" t="s">
        <v>379</v>
      </c>
      <c r="AD542" s="9">
        <v>18</v>
      </c>
      <c r="AF542" s="11">
        <f ca="1">IFERROR(OFFSET(MANOR_LEVEL!$B$1,MATCH(AG542-1,MANOR_LEVEL!$A:$A,0)-1,0),0)</f>
        <v>32640</v>
      </c>
      <c r="AG542" s="56">
        <v>7</v>
      </c>
      <c r="AI542" s="56">
        <f t="shared" ca="1" si="148"/>
        <v>2100</v>
      </c>
      <c r="AJ542" s="10">
        <f ca="1">AO542+AQ542+(IFERROR(OFFSET(ITEM_RES!$S$1,MATCH(AU542,ITEM_RES!$A:$A,0)-1,0),0)*AW542+IFERROR(OFFSET(ITEM_RES!$S$1,MATCH(AZ542,ITEM_RES!$A:$A,0)-1,0),0)*BB542+IFERROR(OFFSET(ITEM_RES!$S$1,MATCH(BE542,ITEM_RES!$A:$A,0)-1,0),0)*BG542+IFERROR(OFFSET(ITEM_RES!$S$1,MATCH(BJ542,ITEM_RES!$A:$A,0)-1,0),0)*BL542+IFERROR(OFFSET(ITEM_RES!$S$1,MATCH(BO542,ITEM_RES!$A:$A,0)-1,0),0)*BQ542)/1000</f>
        <v>2100.1999999999998</v>
      </c>
      <c r="AK542" s="183">
        <f t="shared" ca="1" si="155"/>
        <v>3800</v>
      </c>
      <c r="AM542" s="11">
        <f t="shared" si="147"/>
        <v>90</v>
      </c>
      <c r="AN542" s="10">
        <v>90</v>
      </c>
      <c r="AO542" s="11">
        <f t="shared" si="154"/>
        <v>1050</v>
      </c>
      <c r="AP542" s="10">
        <v>1050</v>
      </c>
      <c r="AQ542" s="11">
        <f t="shared" si="154"/>
        <v>1050</v>
      </c>
      <c r="AR542" s="10">
        <v>1050</v>
      </c>
      <c r="AS542" s="56">
        <f t="shared" si="149"/>
        <v>1</v>
      </c>
      <c r="AU542" s="11">
        <f ca="1">IFERROR(OFFSET(ITEM_RES!$A$1,MATCH(AV542,ITEM_RES!$J:$J,0)-1,0),0)</f>
        <v>211020901</v>
      </c>
      <c r="AV542" s="10" t="s">
        <v>444</v>
      </c>
      <c r="AW542" s="11">
        <v>1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0</v>
      </c>
      <c r="BJ542" s="11">
        <f ca="1">IFERROR(OFFSET(ITEM_RES!$A$1,MATCH(BK542,ITEM_RES!$J:$J,0)-1,0),0)</f>
        <v>0</v>
      </c>
      <c r="BO542" s="11">
        <f ca="1">IFERROR(OFFSET(ITEM_RES!$A$1,MATCH(BP542,ITEM_RES!$J:$J,0)-1,0),0)</f>
        <v>0</v>
      </c>
    </row>
    <row r="543" spans="1:67" x14ac:dyDescent="0.3">
      <c r="A543" s="14">
        <f t="shared" si="151"/>
        <v>115030019</v>
      </c>
      <c r="B543" s="13">
        <v>11</v>
      </c>
      <c r="C543" s="12">
        <f t="shared" si="152"/>
        <v>5</v>
      </c>
      <c r="D543" s="13">
        <v>3</v>
      </c>
      <c r="E543" s="13">
        <v>0</v>
      </c>
      <c r="F543" s="12">
        <f t="shared" si="153"/>
        <v>19</v>
      </c>
      <c r="H543" s="9">
        <v>5</v>
      </c>
      <c r="I543" s="9">
        <v>19</v>
      </c>
      <c r="K543" s="9" t="s">
        <v>1145</v>
      </c>
      <c r="O543" s="9">
        <v>0</v>
      </c>
      <c r="P543" s="9">
        <v>15</v>
      </c>
      <c r="Q543" s="9" t="s">
        <v>1169</v>
      </c>
      <c r="U543" s="9">
        <v>4444</v>
      </c>
      <c r="X543" s="9">
        <f ca="1">IFERROR(OFFSET(ITEM_RES!$A$5,MATCH(BUILDING!W543,ITEM_RES!$J$5:$J$226,0)-1,0),0)</f>
        <v>0</v>
      </c>
      <c r="AA543" s="9">
        <f ca="1">IFERROR(OFFSET(ITEM_RES!$A$5,MATCH(BUILDING!Z543,ITEM_RES!$J$5:$J$226,0)-1,0),0)</f>
        <v>0</v>
      </c>
      <c r="AC543" s="9" t="s">
        <v>379</v>
      </c>
      <c r="AD543" s="9">
        <v>19</v>
      </c>
      <c r="AF543" s="11">
        <f ca="1">IFERROR(OFFSET(MANOR_LEVEL!$B$1,MATCH(AG543-1,MANOR_LEVEL!$A:$A,0)-1,0),0)</f>
        <v>32640</v>
      </c>
      <c r="AG543" s="56">
        <v>7</v>
      </c>
      <c r="AI543" s="56">
        <f t="shared" ca="1" si="148"/>
        <v>2500</v>
      </c>
      <c r="AJ543" s="10">
        <f ca="1">AO543+AQ543+(IFERROR(OFFSET(ITEM_RES!$S$1,MATCH(AU543,ITEM_RES!$A:$A,0)-1,0),0)*AW543+IFERROR(OFFSET(ITEM_RES!$S$1,MATCH(AZ543,ITEM_RES!$A:$A,0)-1,0),0)*BB543+IFERROR(OFFSET(ITEM_RES!$S$1,MATCH(BE543,ITEM_RES!$A:$A,0)-1,0),0)*BG543+IFERROR(OFFSET(ITEM_RES!$S$1,MATCH(BJ543,ITEM_RES!$A:$A,0)-1,0),0)*BL543+IFERROR(OFFSET(ITEM_RES!$S$1,MATCH(BO543,ITEM_RES!$A:$A,0)-1,0),0)*BQ543)/1000</f>
        <v>2500.1999999999998</v>
      </c>
      <c r="AK543" s="183">
        <f t="shared" ca="1" si="155"/>
        <v>4600</v>
      </c>
      <c r="AM543" s="11">
        <f t="shared" si="147"/>
        <v>95</v>
      </c>
      <c r="AN543" s="10">
        <v>95</v>
      </c>
      <c r="AO543" s="11">
        <f t="shared" si="154"/>
        <v>1250</v>
      </c>
      <c r="AP543" s="10">
        <v>1250</v>
      </c>
      <c r="AQ543" s="11">
        <f t="shared" si="154"/>
        <v>1250</v>
      </c>
      <c r="AR543" s="10">
        <v>1250</v>
      </c>
      <c r="AS543" s="56">
        <f t="shared" si="149"/>
        <v>1</v>
      </c>
      <c r="AU543" s="11">
        <f ca="1">IFERROR(OFFSET(ITEM_RES!$A$1,MATCH(AV543,ITEM_RES!$J:$J,0)-1,0),0)</f>
        <v>211020901</v>
      </c>
      <c r="AV543" s="10" t="s">
        <v>444</v>
      </c>
      <c r="AW543" s="11">
        <v>1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  <c r="BO543" s="11">
        <f ca="1">IFERROR(OFFSET(ITEM_RES!$A$1,MATCH(BP543,ITEM_RES!$J:$J,0)-1,0),0)</f>
        <v>0</v>
      </c>
    </row>
    <row r="544" spans="1:67" ht="17.25" thickBot="1" x14ac:dyDescent="0.35">
      <c r="A544" s="14">
        <f t="shared" si="151"/>
        <v>115030020</v>
      </c>
      <c r="B544" s="13">
        <v>11</v>
      </c>
      <c r="C544" s="12">
        <f t="shared" si="152"/>
        <v>5</v>
      </c>
      <c r="D544" s="13">
        <v>3</v>
      </c>
      <c r="E544" s="13">
        <v>0</v>
      </c>
      <c r="F544" s="12">
        <f t="shared" si="153"/>
        <v>20</v>
      </c>
      <c r="H544" s="9">
        <v>5</v>
      </c>
      <c r="I544" s="9">
        <v>20</v>
      </c>
      <c r="K544" s="9" t="s">
        <v>1145</v>
      </c>
      <c r="O544" s="9">
        <v>0</v>
      </c>
      <c r="P544" s="9">
        <v>15</v>
      </c>
      <c r="Q544" s="9" t="s">
        <v>1169</v>
      </c>
      <c r="U544" s="9">
        <v>4444</v>
      </c>
      <c r="X544" s="9">
        <f ca="1">IFERROR(OFFSET(ITEM_RES!$A$5,MATCH(BUILDING!W544,ITEM_RES!$J$5:$J$226,0)-1,0),0)</f>
        <v>0</v>
      </c>
      <c r="AA544" s="9">
        <f ca="1">IFERROR(OFFSET(ITEM_RES!$A$5,MATCH(BUILDING!Z544,ITEM_RES!$J$5:$J$226,0)-1,0),0)</f>
        <v>0</v>
      </c>
      <c r="AC544" s="9" t="s">
        <v>379</v>
      </c>
      <c r="AD544" s="9">
        <v>20</v>
      </c>
      <c r="AF544" s="11">
        <f ca="1">IFERROR(OFFSET(MANOR_LEVEL!$B$1,MATCH(AG544-1,MANOR_LEVEL!$A:$A,0)-1,0),0)</f>
        <v>32640</v>
      </c>
      <c r="AG544" s="56">
        <v>7</v>
      </c>
      <c r="AI544" s="56">
        <f t="shared" ca="1" si="148"/>
        <v>3000</v>
      </c>
      <c r="AJ544" s="10">
        <f ca="1">AO544+AQ544+(IFERROR(OFFSET(ITEM_RES!$S$1,MATCH(AU544,ITEM_RES!$A:$A,0)-1,0),0)*AW544+IFERROR(OFFSET(ITEM_RES!$S$1,MATCH(AZ544,ITEM_RES!$A:$A,0)-1,0),0)*BB544+IFERROR(OFFSET(ITEM_RES!$S$1,MATCH(BE544,ITEM_RES!$A:$A,0)-1,0),0)*BG544+IFERROR(OFFSET(ITEM_RES!$S$1,MATCH(BJ544,ITEM_RES!$A:$A,0)-1,0),0)*BL544+IFERROR(OFFSET(ITEM_RES!$S$1,MATCH(BO544,ITEM_RES!$A:$A,0)-1,0),0)*BQ544)/1000</f>
        <v>3000.2</v>
      </c>
      <c r="AK544" s="183">
        <f t="shared" ca="1" si="155"/>
        <v>5500</v>
      </c>
      <c r="AM544" s="11">
        <f t="shared" si="147"/>
        <v>100</v>
      </c>
      <c r="AN544" s="10">
        <v>100</v>
      </c>
      <c r="AO544" s="11">
        <f t="shared" si="154"/>
        <v>1500</v>
      </c>
      <c r="AP544" s="10">
        <v>1500</v>
      </c>
      <c r="AQ544" s="11">
        <f t="shared" si="154"/>
        <v>1500</v>
      </c>
      <c r="AR544" s="10">
        <v>1500</v>
      </c>
      <c r="AS544" s="56">
        <f t="shared" si="149"/>
        <v>1</v>
      </c>
      <c r="AU544" s="11">
        <f ca="1">IFERROR(OFFSET(ITEM_RES!$A$1,MATCH(AV544,ITEM_RES!$J:$J,0)-1,0),0)</f>
        <v>211020901</v>
      </c>
      <c r="AV544" s="10" t="s">
        <v>444</v>
      </c>
      <c r="AW544" s="11">
        <v>1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  <c r="BO544" s="11">
        <f ca="1">IFERROR(OFFSET(ITEM_RES!$A$1,MATCH(BP544,ITEM_RES!$J:$J,0)-1,0),0)</f>
        <v>0</v>
      </c>
    </row>
    <row r="545" spans="1:70" s="15" customFormat="1" x14ac:dyDescent="0.3">
      <c r="A545" s="21">
        <f t="shared" si="151"/>
        <v>115040001</v>
      </c>
      <c r="B545" s="20">
        <v>11</v>
      </c>
      <c r="C545" s="19">
        <f t="shared" si="152"/>
        <v>5</v>
      </c>
      <c r="D545" s="20">
        <v>4</v>
      </c>
      <c r="E545" s="20">
        <v>0</v>
      </c>
      <c r="F545" s="19">
        <f t="shared" si="153"/>
        <v>1</v>
      </c>
      <c r="G545" s="79"/>
      <c r="H545" s="16">
        <v>5</v>
      </c>
      <c r="I545" s="16">
        <v>1</v>
      </c>
      <c r="J545" s="79"/>
      <c r="K545" s="16" t="s">
        <v>1147</v>
      </c>
      <c r="L545" s="16">
        <v>10</v>
      </c>
      <c r="M545" s="16"/>
      <c r="N545" s="16"/>
      <c r="O545" s="16">
        <v>1</v>
      </c>
      <c r="P545" s="16">
        <v>15</v>
      </c>
      <c r="Q545" s="16" t="s">
        <v>1173</v>
      </c>
      <c r="R545" s="17"/>
      <c r="S545" s="17"/>
      <c r="T545" s="18"/>
      <c r="U545" s="16">
        <v>5555</v>
      </c>
      <c r="V545" s="79"/>
      <c r="W545" s="87"/>
      <c r="X545" s="16">
        <f ca="1">IFERROR(OFFSET(ITEM_RES!$A$5,MATCH(BUILDING!W545,ITEM_RES!$J$5:$J$226,0)-1,0),0)</f>
        <v>0</v>
      </c>
      <c r="Y545" s="18"/>
      <c r="Z545" s="87"/>
      <c r="AA545" s="16">
        <f ca="1">IFERROR(OFFSET(ITEM_RES!$A$5,MATCH(BUILDING!Z545,ITEM_RES!$J$5:$J$226,0)-1,0),0)</f>
        <v>0</v>
      </c>
      <c r="AB545" s="79"/>
      <c r="AC545" s="16" t="s">
        <v>381</v>
      </c>
      <c r="AD545" s="16">
        <v>1</v>
      </c>
      <c r="AE545" s="79"/>
      <c r="AF545" s="18">
        <f ca="1">IFERROR(OFFSET(MANOR_LEVEL!$B$1,MATCH(AG545-1,MANOR_LEVEL!$A:$A,0)-1,0),0)</f>
        <v>0</v>
      </c>
      <c r="AG545" s="57">
        <v>1</v>
      </c>
      <c r="AH545" s="79"/>
      <c r="AI545" s="57">
        <f t="shared" ca="1" si="148"/>
        <v>210</v>
      </c>
      <c r="AJ545" s="17">
        <f ca="1">AO545+AQ545+(IFERROR(OFFSET(ITEM_RES!$S$1,MATCH(AU545,ITEM_RES!$A:$A,0)-1,0),0)*AW545+IFERROR(OFFSET(ITEM_RES!$S$1,MATCH(AZ545,ITEM_RES!$A:$A,0)-1,0),0)*BB545+IFERROR(OFFSET(ITEM_RES!$S$1,MATCH(BE545,ITEM_RES!$A:$A,0)-1,0),0)*BG545+IFERROR(OFFSET(ITEM_RES!$S$1,MATCH(BJ545,ITEM_RES!$A:$A,0)-1,0),0)*BL545+IFERROR(OFFSET(ITEM_RES!$S$1,MATCH(BO545,ITEM_RES!$A:$A,0)-1,0),0)*BQ545)/1000</f>
        <v>210.1</v>
      </c>
      <c r="AK545" s="185">
        <f ca="1">AI545</f>
        <v>210</v>
      </c>
      <c r="AL545" s="79"/>
      <c r="AM545" s="18">
        <f t="shared" si="147"/>
        <v>5</v>
      </c>
      <c r="AN545" s="17">
        <v>5</v>
      </c>
      <c r="AO545" s="18">
        <f t="shared" si="154"/>
        <v>5</v>
      </c>
      <c r="AP545" s="17">
        <v>5</v>
      </c>
      <c r="AQ545" s="18">
        <f t="shared" si="154"/>
        <v>5</v>
      </c>
      <c r="AR545" s="17">
        <v>5</v>
      </c>
      <c r="AS545" s="57">
        <f t="shared" si="149"/>
        <v>3</v>
      </c>
      <c r="AT545" s="18"/>
      <c r="AU545" s="18">
        <f ca="1">IFERROR(OFFSET(ITEM_RES!$A$1,MATCH(AV545,ITEM_RES!$J:$J,0)-1,0),0)</f>
        <v>211020801</v>
      </c>
      <c r="AV545" s="17" t="s">
        <v>439</v>
      </c>
      <c r="AW545" s="18">
        <v>1</v>
      </c>
      <c r="AX545" s="17"/>
      <c r="AY545" s="18"/>
      <c r="AZ545" s="18">
        <f ca="1">IFERROR(OFFSET(ITEM_RES!$A$1,MATCH(BA545,ITEM_RES!$J:$J,0)-1,0),0)</f>
        <v>0</v>
      </c>
      <c r="BA545" s="17"/>
      <c r="BB545" s="18"/>
      <c r="BC545" s="17"/>
      <c r="BD545" s="18"/>
      <c r="BE545" s="18">
        <f ca="1">IFERROR(OFFSET(ITEM_RES!$A$1,MATCH(BF545,ITEM_RES!$J:$J,0)-1,0),0)</f>
        <v>213010101</v>
      </c>
      <c r="BF545" s="17" t="s">
        <v>452</v>
      </c>
      <c r="BG545" s="18">
        <v>1</v>
      </c>
      <c r="BH545" s="17"/>
      <c r="BI545" s="18"/>
      <c r="BJ545" s="18">
        <f ca="1">IFERROR(OFFSET(ITEM_RES!$A$1,MATCH(BK545,ITEM_RES!$J:$J,0)-1,0),0)</f>
        <v>213010401</v>
      </c>
      <c r="BK545" s="17" t="s">
        <v>475</v>
      </c>
      <c r="BL545" s="18">
        <v>1</v>
      </c>
      <c r="BM545" s="17"/>
      <c r="BN545" s="18"/>
      <c r="BO545" s="18">
        <f ca="1">IFERROR(OFFSET(ITEM_RES!$A$1,MATCH(BP545,ITEM_RES!$J:$J,0)-1,0),0)</f>
        <v>0</v>
      </c>
      <c r="BP545" s="17"/>
      <c r="BQ545" s="18"/>
      <c r="BR545" s="17"/>
    </row>
    <row r="546" spans="1:70" x14ac:dyDescent="0.3">
      <c r="A546" s="14">
        <f t="shared" si="151"/>
        <v>115040002</v>
      </c>
      <c r="B546" s="13">
        <v>11</v>
      </c>
      <c r="C546" s="12">
        <f t="shared" si="152"/>
        <v>5</v>
      </c>
      <c r="D546" s="13">
        <v>4</v>
      </c>
      <c r="E546" s="13">
        <v>0</v>
      </c>
      <c r="F546" s="12">
        <f t="shared" si="153"/>
        <v>2</v>
      </c>
      <c r="H546" s="9">
        <v>5</v>
      </c>
      <c r="I546" s="9">
        <v>2</v>
      </c>
      <c r="K546" s="9" t="s">
        <v>1147</v>
      </c>
      <c r="O546" s="9">
        <v>1</v>
      </c>
      <c r="P546" s="9">
        <v>15</v>
      </c>
      <c r="Q546" s="9" t="s">
        <v>1173</v>
      </c>
      <c r="U546" s="9">
        <v>5555</v>
      </c>
      <c r="X546" s="9">
        <f ca="1">IFERROR(OFFSET(ITEM_RES!$A$5,MATCH(BUILDING!W546,ITEM_RES!$J$5:$J$226,0)-1,0),0)</f>
        <v>0</v>
      </c>
      <c r="AA546" s="9">
        <f ca="1">IFERROR(OFFSET(ITEM_RES!$A$5,MATCH(BUILDING!Z546,ITEM_RES!$J$5:$J$226,0)-1,0),0)</f>
        <v>0</v>
      </c>
      <c r="AC546" s="9" t="s">
        <v>381</v>
      </c>
      <c r="AD546" s="9">
        <v>2</v>
      </c>
      <c r="AF546" s="11">
        <f ca="1">IFERROR(OFFSET(MANOR_LEVEL!$B$1,MATCH(AG546-1,MANOR_LEVEL!$A:$A,0)-1,0),0)</f>
        <v>0</v>
      </c>
      <c r="AG546" s="56">
        <v>1</v>
      </c>
      <c r="AI546" s="56">
        <f t="shared" ca="1" si="148"/>
        <v>20</v>
      </c>
      <c r="AJ546" s="10">
        <f ca="1">AO546+AQ546+(IFERROR(OFFSET(ITEM_RES!$S$1,MATCH(AU546,ITEM_RES!$A:$A,0)-1,0),0)*AW546+IFERROR(OFFSET(ITEM_RES!$S$1,MATCH(AZ546,ITEM_RES!$A:$A,0)-1,0),0)*BB546+IFERROR(OFFSET(ITEM_RES!$S$1,MATCH(BE546,ITEM_RES!$A:$A,0)-1,0),0)*BG546+IFERROR(OFFSET(ITEM_RES!$S$1,MATCH(BJ546,ITEM_RES!$A:$A,0)-1,0),0)*BL546+IFERROR(OFFSET(ITEM_RES!$S$1,MATCH(BO546,ITEM_RES!$A:$A,0)-1,0),0)*BQ546)/1000</f>
        <v>20.100000000000001</v>
      </c>
      <c r="AK546" s="183">
        <f ca="1">AI545+AI546</f>
        <v>230</v>
      </c>
      <c r="AM546" s="11">
        <f t="shared" si="147"/>
        <v>10</v>
      </c>
      <c r="AN546" s="10">
        <v>10</v>
      </c>
      <c r="AO546" s="11">
        <f t="shared" si="154"/>
        <v>10</v>
      </c>
      <c r="AP546" s="10">
        <v>10</v>
      </c>
      <c r="AQ546" s="11">
        <f t="shared" si="154"/>
        <v>10</v>
      </c>
      <c r="AR546" s="10">
        <v>10</v>
      </c>
      <c r="AS546" s="56">
        <f t="shared" si="149"/>
        <v>1</v>
      </c>
      <c r="AU546" s="11">
        <f ca="1">IFERROR(OFFSET(ITEM_RES!$A$1,MATCH(AV546,ITEM_RES!$J:$J,0)-1,0),0)</f>
        <v>211020801</v>
      </c>
      <c r="AV546" s="10" t="s">
        <v>439</v>
      </c>
      <c r="AW546" s="11">
        <v>1</v>
      </c>
      <c r="AZ546" s="11">
        <f ca="1">IFERROR(OFFSET(ITEM_RES!$A$1,MATCH(BA546,ITEM_RES!$J:$J,0)-1,0),0)</f>
        <v>0</v>
      </c>
      <c r="BE546" s="11">
        <f ca="1">IFERROR(OFFSET(ITEM_RES!$A$1,MATCH(BF546,ITEM_RES!$J:$J,0)-1,0),0)</f>
        <v>0</v>
      </c>
      <c r="BJ546" s="11">
        <f ca="1">IFERROR(OFFSET(ITEM_RES!$A$1,MATCH(BK546,ITEM_RES!$J:$J,0)-1,0),0)</f>
        <v>0</v>
      </c>
      <c r="BO546" s="11">
        <f ca="1">IFERROR(OFFSET(ITEM_RES!$A$1,MATCH(BP546,ITEM_RES!$J:$J,0)-1,0),0)</f>
        <v>0</v>
      </c>
    </row>
    <row r="547" spans="1:70" x14ac:dyDescent="0.3">
      <c r="A547" s="14">
        <f t="shared" si="151"/>
        <v>115040003</v>
      </c>
      <c r="B547" s="13">
        <v>11</v>
      </c>
      <c r="C547" s="12">
        <f t="shared" si="152"/>
        <v>5</v>
      </c>
      <c r="D547" s="13">
        <v>4</v>
      </c>
      <c r="E547" s="13">
        <v>0</v>
      </c>
      <c r="F547" s="12">
        <f t="shared" si="153"/>
        <v>3</v>
      </c>
      <c r="H547" s="9">
        <v>5</v>
      </c>
      <c r="I547" s="9">
        <v>3</v>
      </c>
      <c r="K547" s="9" t="s">
        <v>1147</v>
      </c>
      <c r="O547" s="9">
        <v>1</v>
      </c>
      <c r="P547" s="9">
        <v>15</v>
      </c>
      <c r="Q547" s="9" t="s">
        <v>1170</v>
      </c>
      <c r="U547" s="9">
        <v>5555</v>
      </c>
      <c r="X547" s="9">
        <f ca="1">IFERROR(OFFSET(ITEM_RES!$A$5,MATCH(BUILDING!W547,ITEM_RES!$J$5:$J$226,0)-1,0),0)</f>
        <v>0</v>
      </c>
      <c r="AA547" s="9">
        <f ca="1">IFERROR(OFFSET(ITEM_RES!$A$5,MATCH(BUILDING!Z547,ITEM_RES!$J$5:$J$226,0)-1,0),0)</f>
        <v>0</v>
      </c>
      <c r="AC547" s="9" t="s">
        <v>365</v>
      </c>
      <c r="AD547" s="9">
        <v>3</v>
      </c>
      <c r="AF547" s="11">
        <f ca="1">IFERROR(OFFSET(MANOR_LEVEL!$B$1,MATCH(AG547-1,MANOR_LEVEL!$A:$A,0)-1,0),0)</f>
        <v>0</v>
      </c>
      <c r="AG547" s="56">
        <v>1</v>
      </c>
      <c r="AI547" s="56">
        <f t="shared" ca="1" si="148"/>
        <v>30</v>
      </c>
      <c r="AJ547" s="10">
        <f ca="1">AO547+AQ547+(IFERROR(OFFSET(ITEM_RES!$S$1,MATCH(AU547,ITEM_RES!$A:$A,0)-1,0),0)*AW547+IFERROR(OFFSET(ITEM_RES!$S$1,MATCH(AZ547,ITEM_RES!$A:$A,0)-1,0),0)*BB547+IFERROR(OFFSET(ITEM_RES!$S$1,MATCH(BE547,ITEM_RES!$A:$A,0)-1,0),0)*BG547+IFERROR(OFFSET(ITEM_RES!$S$1,MATCH(BJ547,ITEM_RES!$A:$A,0)-1,0),0)*BL547+IFERROR(OFFSET(ITEM_RES!$S$1,MATCH(BO547,ITEM_RES!$A:$A,0)-1,0),0)*BQ547)/1000</f>
        <v>30.1</v>
      </c>
      <c r="AK547" s="183">
        <f t="shared" ref="AK547:AK564" ca="1" si="156">AI546+AI547</f>
        <v>50</v>
      </c>
      <c r="AM547" s="11">
        <f t="shared" si="147"/>
        <v>15</v>
      </c>
      <c r="AN547" s="10">
        <v>15</v>
      </c>
      <c r="AO547" s="11">
        <f t="shared" si="154"/>
        <v>15</v>
      </c>
      <c r="AP547" s="10">
        <v>15</v>
      </c>
      <c r="AQ547" s="11">
        <f t="shared" si="154"/>
        <v>15</v>
      </c>
      <c r="AR547" s="10">
        <v>15</v>
      </c>
      <c r="AS547" s="56">
        <f t="shared" si="149"/>
        <v>1</v>
      </c>
      <c r="AU547" s="11">
        <f ca="1">IFERROR(OFFSET(ITEM_RES!$A$1,MATCH(AV547,ITEM_RES!$J:$J,0)-1,0),0)</f>
        <v>211020801</v>
      </c>
      <c r="AV547" s="10" t="s">
        <v>439</v>
      </c>
      <c r="AW547" s="11">
        <v>1</v>
      </c>
      <c r="AZ547" s="11">
        <f ca="1">IFERROR(OFFSET(ITEM_RES!$A$1,MATCH(BA547,ITEM_RES!$J:$J,0)-1,0),0)</f>
        <v>0</v>
      </c>
      <c r="BE547" s="11">
        <f ca="1">IFERROR(OFFSET(ITEM_RES!$A$1,MATCH(BF547,ITEM_RES!$J:$J,0)-1,0),0)</f>
        <v>0</v>
      </c>
      <c r="BJ547" s="11">
        <f ca="1">IFERROR(OFFSET(ITEM_RES!$A$1,MATCH(BK547,ITEM_RES!$J:$J,0)-1,0),0)</f>
        <v>0</v>
      </c>
      <c r="BO547" s="11">
        <f ca="1">IFERROR(OFFSET(ITEM_RES!$A$1,MATCH(BP547,ITEM_RES!$J:$J,0)-1,0),0)</f>
        <v>0</v>
      </c>
    </row>
    <row r="548" spans="1:70" x14ac:dyDescent="0.3">
      <c r="A548" s="14">
        <f t="shared" si="151"/>
        <v>115040004</v>
      </c>
      <c r="B548" s="13">
        <v>11</v>
      </c>
      <c r="C548" s="12">
        <f t="shared" si="152"/>
        <v>5</v>
      </c>
      <c r="D548" s="13">
        <v>4</v>
      </c>
      <c r="E548" s="13">
        <v>0</v>
      </c>
      <c r="F548" s="12">
        <f t="shared" si="153"/>
        <v>4</v>
      </c>
      <c r="H548" s="9">
        <v>5</v>
      </c>
      <c r="I548" s="9">
        <v>4</v>
      </c>
      <c r="K548" s="9" t="s">
        <v>1147</v>
      </c>
      <c r="O548" s="9">
        <v>1</v>
      </c>
      <c r="P548" s="9">
        <v>15</v>
      </c>
      <c r="Q548" s="9" t="s">
        <v>1170</v>
      </c>
      <c r="U548" s="9">
        <v>5555</v>
      </c>
      <c r="X548" s="9">
        <f ca="1">IFERROR(OFFSET(ITEM_RES!$A$5,MATCH(BUILDING!W548,ITEM_RES!$J$5:$J$226,0)-1,0),0)</f>
        <v>0</v>
      </c>
      <c r="AA548" s="9">
        <f ca="1">IFERROR(OFFSET(ITEM_RES!$A$5,MATCH(BUILDING!Z548,ITEM_RES!$J$5:$J$226,0)-1,0),0)</f>
        <v>0</v>
      </c>
      <c r="AC548" s="9" t="s">
        <v>365</v>
      </c>
      <c r="AD548" s="9">
        <v>4</v>
      </c>
      <c r="AF548" s="11">
        <f ca="1">IFERROR(OFFSET(MANOR_LEVEL!$B$1,MATCH(AG548-1,MANOR_LEVEL!$A:$A,0)-1,0),0)</f>
        <v>444</v>
      </c>
      <c r="AG548" s="56">
        <v>2</v>
      </c>
      <c r="AI548" s="56">
        <f t="shared" ca="1" si="148"/>
        <v>50</v>
      </c>
      <c r="AJ548" s="10">
        <f ca="1">AO548+AQ548+(IFERROR(OFFSET(ITEM_RES!$S$1,MATCH(AU548,ITEM_RES!$A:$A,0)-1,0),0)*AW548+IFERROR(OFFSET(ITEM_RES!$S$1,MATCH(AZ548,ITEM_RES!$A:$A,0)-1,0),0)*BB548+IFERROR(OFFSET(ITEM_RES!$S$1,MATCH(BE548,ITEM_RES!$A:$A,0)-1,0),0)*BG548+IFERROR(OFFSET(ITEM_RES!$S$1,MATCH(BJ548,ITEM_RES!$A:$A,0)-1,0),0)*BL548+IFERROR(OFFSET(ITEM_RES!$S$1,MATCH(BO548,ITEM_RES!$A:$A,0)-1,0),0)*BQ548)/1000</f>
        <v>50.1</v>
      </c>
      <c r="AK548" s="183">
        <f t="shared" ca="1" si="156"/>
        <v>80</v>
      </c>
      <c r="AM548" s="11">
        <f t="shared" si="147"/>
        <v>20</v>
      </c>
      <c r="AN548" s="10">
        <v>20</v>
      </c>
      <c r="AO548" s="11">
        <f t="shared" si="154"/>
        <v>25</v>
      </c>
      <c r="AP548" s="10">
        <v>25</v>
      </c>
      <c r="AQ548" s="11">
        <f t="shared" si="154"/>
        <v>25</v>
      </c>
      <c r="AR548" s="10">
        <v>25</v>
      </c>
      <c r="AS548" s="56">
        <f t="shared" si="149"/>
        <v>1</v>
      </c>
      <c r="AU548" s="11">
        <f ca="1">IFERROR(OFFSET(ITEM_RES!$A$1,MATCH(AV548,ITEM_RES!$J:$J,0)-1,0),0)</f>
        <v>211020801</v>
      </c>
      <c r="AV548" s="10" t="s">
        <v>439</v>
      </c>
      <c r="AW548" s="11">
        <v>1</v>
      </c>
      <c r="AZ548" s="11">
        <f ca="1">IFERROR(OFFSET(ITEM_RES!$A$1,MATCH(BA548,ITEM_RES!$J:$J,0)-1,0),0)</f>
        <v>0</v>
      </c>
      <c r="BE548" s="11">
        <f ca="1">IFERROR(OFFSET(ITEM_RES!$A$1,MATCH(BF548,ITEM_RES!$J:$J,0)-1,0),0)</f>
        <v>0</v>
      </c>
      <c r="BJ548" s="11">
        <f ca="1">IFERROR(OFFSET(ITEM_RES!$A$1,MATCH(BK548,ITEM_RES!$J:$J,0)-1,0),0)</f>
        <v>0</v>
      </c>
      <c r="BO548" s="11">
        <f ca="1">IFERROR(OFFSET(ITEM_RES!$A$1,MATCH(BP548,ITEM_RES!$J:$J,0)-1,0),0)</f>
        <v>0</v>
      </c>
    </row>
    <row r="549" spans="1:70" x14ac:dyDescent="0.3">
      <c r="A549" s="14">
        <f t="shared" si="151"/>
        <v>115040005</v>
      </c>
      <c r="B549" s="13">
        <v>11</v>
      </c>
      <c r="C549" s="12">
        <f t="shared" si="152"/>
        <v>5</v>
      </c>
      <c r="D549" s="13">
        <v>4</v>
      </c>
      <c r="E549" s="13">
        <v>0</v>
      </c>
      <c r="F549" s="12">
        <f t="shared" si="153"/>
        <v>5</v>
      </c>
      <c r="H549" s="9">
        <v>5</v>
      </c>
      <c r="I549" s="9">
        <v>5</v>
      </c>
      <c r="K549" s="9" t="s">
        <v>1147</v>
      </c>
      <c r="O549" s="9">
        <v>1</v>
      </c>
      <c r="P549" s="9">
        <v>15</v>
      </c>
      <c r="Q549" s="9" t="s">
        <v>1170</v>
      </c>
      <c r="U549" s="9">
        <v>5555</v>
      </c>
      <c r="X549" s="9">
        <f ca="1">IFERROR(OFFSET(ITEM_RES!$A$5,MATCH(BUILDING!W549,ITEM_RES!$J$5:$J$226,0)-1,0),0)</f>
        <v>0</v>
      </c>
      <c r="AA549" s="9">
        <f ca="1">IFERROR(OFFSET(ITEM_RES!$A$5,MATCH(BUILDING!Z549,ITEM_RES!$J$5:$J$226,0)-1,0),0)</f>
        <v>0</v>
      </c>
      <c r="AC549" s="9" t="s">
        <v>365</v>
      </c>
      <c r="AD549" s="9">
        <v>5</v>
      </c>
      <c r="AF549" s="11">
        <f ca="1">IFERROR(OFFSET(MANOR_LEVEL!$B$1,MATCH(AG549-1,MANOR_LEVEL!$A:$A,0)-1,0),0)</f>
        <v>444</v>
      </c>
      <c r="AG549" s="56">
        <v>2</v>
      </c>
      <c r="AI549" s="56">
        <f t="shared" ca="1" si="148"/>
        <v>80</v>
      </c>
      <c r="AJ549" s="10">
        <f ca="1">AO549+AQ549+(IFERROR(OFFSET(ITEM_RES!$S$1,MATCH(AU549,ITEM_RES!$A:$A,0)-1,0),0)*AW549+IFERROR(OFFSET(ITEM_RES!$S$1,MATCH(AZ549,ITEM_RES!$A:$A,0)-1,0),0)*BB549+IFERROR(OFFSET(ITEM_RES!$S$1,MATCH(BE549,ITEM_RES!$A:$A,0)-1,0),0)*BG549+IFERROR(OFFSET(ITEM_RES!$S$1,MATCH(BJ549,ITEM_RES!$A:$A,0)-1,0),0)*BL549+IFERROR(OFFSET(ITEM_RES!$S$1,MATCH(BO549,ITEM_RES!$A:$A,0)-1,0),0)*BQ549)/1000</f>
        <v>80.099999999999994</v>
      </c>
      <c r="AK549" s="183">
        <f t="shared" ca="1" si="156"/>
        <v>130</v>
      </c>
      <c r="AM549" s="11">
        <f t="shared" si="147"/>
        <v>25</v>
      </c>
      <c r="AN549" s="10">
        <v>25</v>
      </c>
      <c r="AO549" s="11">
        <f t="shared" si="154"/>
        <v>40</v>
      </c>
      <c r="AP549" s="10">
        <v>40</v>
      </c>
      <c r="AQ549" s="11">
        <f t="shared" si="154"/>
        <v>40</v>
      </c>
      <c r="AR549" s="10">
        <v>40</v>
      </c>
      <c r="AS549" s="56">
        <f t="shared" si="149"/>
        <v>1</v>
      </c>
      <c r="AU549" s="11">
        <f ca="1">IFERROR(OFFSET(ITEM_RES!$A$1,MATCH(AV549,ITEM_RES!$J:$J,0)-1,0),0)</f>
        <v>211020801</v>
      </c>
      <c r="AV549" s="10" t="s">
        <v>439</v>
      </c>
      <c r="AW549" s="11">
        <v>1</v>
      </c>
      <c r="AZ549" s="11">
        <f ca="1">IFERROR(OFFSET(ITEM_RES!$A$1,MATCH(BA549,ITEM_RES!$J:$J,0)-1,0),0)</f>
        <v>0</v>
      </c>
      <c r="BE549" s="11">
        <f ca="1">IFERROR(OFFSET(ITEM_RES!$A$1,MATCH(BF549,ITEM_RES!$J:$J,0)-1,0),0)</f>
        <v>0</v>
      </c>
      <c r="BJ549" s="11">
        <f ca="1">IFERROR(OFFSET(ITEM_RES!$A$1,MATCH(BK549,ITEM_RES!$J:$J,0)-1,0),0)</f>
        <v>0</v>
      </c>
      <c r="BO549" s="11">
        <f ca="1">IFERROR(OFFSET(ITEM_RES!$A$1,MATCH(BP549,ITEM_RES!$J:$J,0)-1,0),0)</f>
        <v>0</v>
      </c>
    </row>
    <row r="550" spans="1:70" x14ac:dyDescent="0.3">
      <c r="A550" s="14">
        <f t="shared" si="151"/>
        <v>115040006</v>
      </c>
      <c r="B550" s="13">
        <v>11</v>
      </c>
      <c r="C550" s="12">
        <f t="shared" si="152"/>
        <v>5</v>
      </c>
      <c r="D550" s="13">
        <v>4</v>
      </c>
      <c r="E550" s="13">
        <v>0</v>
      </c>
      <c r="F550" s="12">
        <f t="shared" si="153"/>
        <v>6</v>
      </c>
      <c r="H550" s="9">
        <v>5</v>
      </c>
      <c r="I550" s="9">
        <v>6</v>
      </c>
      <c r="K550" s="9" t="s">
        <v>1147</v>
      </c>
      <c r="O550" s="9">
        <v>1</v>
      </c>
      <c r="P550" s="9">
        <v>15</v>
      </c>
      <c r="Q550" s="9" t="s">
        <v>1170</v>
      </c>
      <c r="U550" s="9">
        <v>5555</v>
      </c>
      <c r="X550" s="9">
        <f ca="1">IFERROR(OFFSET(ITEM_RES!$A$5,MATCH(BUILDING!W550,ITEM_RES!$J$5:$J$226,0)-1,0),0)</f>
        <v>0</v>
      </c>
      <c r="AA550" s="9">
        <f ca="1">IFERROR(OFFSET(ITEM_RES!$A$5,MATCH(BUILDING!Z550,ITEM_RES!$J$5:$J$226,0)-1,0),0)</f>
        <v>0</v>
      </c>
      <c r="AC550" s="9" t="s">
        <v>365</v>
      </c>
      <c r="AD550" s="9">
        <v>6</v>
      </c>
      <c r="AF550" s="11">
        <f ca="1">IFERROR(OFFSET(MANOR_LEVEL!$B$1,MATCH(AG550-1,MANOR_LEVEL!$A:$A,0)-1,0),0)</f>
        <v>444</v>
      </c>
      <c r="AG550" s="56">
        <v>2</v>
      </c>
      <c r="AI550" s="56">
        <f t="shared" ca="1" si="148"/>
        <v>100</v>
      </c>
      <c r="AJ550" s="10">
        <f ca="1">AO550+AQ550+(IFERROR(OFFSET(ITEM_RES!$S$1,MATCH(AU550,ITEM_RES!$A:$A,0)-1,0),0)*AW550+IFERROR(OFFSET(ITEM_RES!$S$1,MATCH(AZ550,ITEM_RES!$A:$A,0)-1,0),0)*BB550+IFERROR(OFFSET(ITEM_RES!$S$1,MATCH(BE550,ITEM_RES!$A:$A,0)-1,0),0)*BG550+IFERROR(OFFSET(ITEM_RES!$S$1,MATCH(BJ550,ITEM_RES!$A:$A,0)-1,0),0)*BL550+IFERROR(OFFSET(ITEM_RES!$S$1,MATCH(BO550,ITEM_RES!$A:$A,0)-1,0),0)*BQ550)/1000</f>
        <v>100.1</v>
      </c>
      <c r="AK550" s="183">
        <f t="shared" ca="1" si="156"/>
        <v>180</v>
      </c>
      <c r="AM550" s="11">
        <f t="shared" si="147"/>
        <v>30</v>
      </c>
      <c r="AN550" s="10">
        <v>30</v>
      </c>
      <c r="AO550" s="11">
        <f t="shared" si="154"/>
        <v>50</v>
      </c>
      <c r="AP550" s="10">
        <v>50</v>
      </c>
      <c r="AQ550" s="11">
        <f t="shared" si="154"/>
        <v>50</v>
      </c>
      <c r="AR550" s="10">
        <v>50</v>
      </c>
      <c r="AS550" s="56">
        <f t="shared" si="149"/>
        <v>1</v>
      </c>
      <c r="AU550" s="11">
        <f ca="1">IFERROR(OFFSET(ITEM_RES!$A$1,MATCH(AV550,ITEM_RES!$J:$J,0)-1,0),0)</f>
        <v>211020801</v>
      </c>
      <c r="AV550" s="10" t="s">
        <v>439</v>
      </c>
      <c r="AW550" s="11">
        <v>1</v>
      </c>
      <c r="AZ550" s="11">
        <f ca="1">IFERROR(OFFSET(ITEM_RES!$A$1,MATCH(BA550,ITEM_RES!$J:$J,0)-1,0),0)</f>
        <v>0</v>
      </c>
      <c r="BE550" s="11">
        <f ca="1">IFERROR(OFFSET(ITEM_RES!$A$1,MATCH(BF550,ITEM_RES!$J:$J,0)-1,0),0)</f>
        <v>0</v>
      </c>
      <c r="BJ550" s="11">
        <f ca="1">IFERROR(OFFSET(ITEM_RES!$A$1,MATCH(BK550,ITEM_RES!$J:$J,0)-1,0),0)</f>
        <v>0</v>
      </c>
      <c r="BO550" s="11">
        <f ca="1">IFERROR(OFFSET(ITEM_RES!$A$1,MATCH(BP550,ITEM_RES!$J:$J,0)-1,0),0)</f>
        <v>0</v>
      </c>
    </row>
    <row r="551" spans="1:70" x14ac:dyDescent="0.3">
      <c r="A551" s="14">
        <f t="shared" si="151"/>
        <v>115040007</v>
      </c>
      <c r="B551" s="13">
        <v>11</v>
      </c>
      <c r="C551" s="12">
        <f t="shared" si="152"/>
        <v>5</v>
      </c>
      <c r="D551" s="13">
        <v>4</v>
      </c>
      <c r="E551" s="13">
        <v>0</v>
      </c>
      <c r="F551" s="12">
        <f t="shared" si="153"/>
        <v>7</v>
      </c>
      <c r="H551" s="9">
        <v>5</v>
      </c>
      <c r="I551" s="9">
        <v>7</v>
      </c>
      <c r="K551" s="9" t="s">
        <v>1147</v>
      </c>
      <c r="O551" s="9">
        <v>1</v>
      </c>
      <c r="P551" s="9">
        <v>15</v>
      </c>
      <c r="Q551" s="9" t="s">
        <v>1170</v>
      </c>
      <c r="U551" s="9">
        <v>5555</v>
      </c>
      <c r="X551" s="9">
        <f ca="1">IFERROR(OFFSET(ITEM_RES!$A$5,MATCH(BUILDING!W551,ITEM_RES!$J$5:$J$226,0)-1,0),0)</f>
        <v>0</v>
      </c>
      <c r="AA551" s="9">
        <f ca="1">IFERROR(OFFSET(ITEM_RES!$A$5,MATCH(BUILDING!Z551,ITEM_RES!$J$5:$J$226,0)-1,0),0)</f>
        <v>0</v>
      </c>
      <c r="AC551" s="9" t="s">
        <v>365</v>
      </c>
      <c r="AD551" s="9">
        <v>7</v>
      </c>
      <c r="AF551" s="11">
        <f ca="1">IFERROR(OFFSET(MANOR_LEVEL!$B$1,MATCH(AG551-1,MANOR_LEVEL!$A:$A,0)-1,0),0)</f>
        <v>444</v>
      </c>
      <c r="AG551" s="56">
        <v>2</v>
      </c>
      <c r="AI551" s="56">
        <f t="shared" ca="1" si="148"/>
        <v>200</v>
      </c>
      <c r="AJ551" s="10">
        <f ca="1">AO551+AQ551+(IFERROR(OFFSET(ITEM_RES!$S$1,MATCH(AU551,ITEM_RES!$A:$A,0)-1,0),0)*AW551+IFERROR(OFFSET(ITEM_RES!$S$1,MATCH(AZ551,ITEM_RES!$A:$A,0)-1,0),0)*BB551+IFERROR(OFFSET(ITEM_RES!$S$1,MATCH(BE551,ITEM_RES!$A:$A,0)-1,0),0)*BG551+IFERROR(OFFSET(ITEM_RES!$S$1,MATCH(BJ551,ITEM_RES!$A:$A,0)-1,0),0)*BL551+IFERROR(OFFSET(ITEM_RES!$S$1,MATCH(BO551,ITEM_RES!$A:$A,0)-1,0),0)*BQ551)/1000</f>
        <v>200.1</v>
      </c>
      <c r="AK551" s="183">
        <f t="shared" ca="1" si="156"/>
        <v>300</v>
      </c>
      <c r="AM551" s="11">
        <f t="shared" si="147"/>
        <v>35</v>
      </c>
      <c r="AN551" s="10">
        <v>35</v>
      </c>
      <c r="AO551" s="11">
        <f t="shared" si="154"/>
        <v>100</v>
      </c>
      <c r="AP551" s="10">
        <v>100</v>
      </c>
      <c r="AQ551" s="11">
        <f t="shared" si="154"/>
        <v>100</v>
      </c>
      <c r="AR551" s="10">
        <v>100</v>
      </c>
      <c r="AS551" s="56">
        <f t="shared" si="149"/>
        <v>1</v>
      </c>
      <c r="AU551" s="11">
        <f ca="1">IFERROR(OFFSET(ITEM_RES!$A$1,MATCH(AV551,ITEM_RES!$J:$J,0)-1,0),0)</f>
        <v>211020801</v>
      </c>
      <c r="AV551" s="10" t="s">
        <v>439</v>
      </c>
      <c r="AW551" s="11">
        <v>1</v>
      </c>
      <c r="AZ551" s="11">
        <f ca="1">IFERROR(OFFSET(ITEM_RES!$A$1,MATCH(BA551,ITEM_RES!$J:$J,0)-1,0),0)</f>
        <v>0</v>
      </c>
      <c r="BE551" s="11">
        <f ca="1">IFERROR(OFFSET(ITEM_RES!$A$1,MATCH(BF551,ITEM_RES!$J:$J,0)-1,0),0)</f>
        <v>0</v>
      </c>
      <c r="BJ551" s="11">
        <f ca="1">IFERROR(OFFSET(ITEM_RES!$A$1,MATCH(BK551,ITEM_RES!$J:$J,0)-1,0),0)</f>
        <v>0</v>
      </c>
      <c r="BO551" s="11">
        <f ca="1">IFERROR(OFFSET(ITEM_RES!$A$1,MATCH(BP551,ITEM_RES!$J:$J,0)-1,0),0)</f>
        <v>0</v>
      </c>
    </row>
    <row r="552" spans="1:70" x14ac:dyDescent="0.3">
      <c r="A552" s="14">
        <f t="shared" si="151"/>
        <v>115040008</v>
      </c>
      <c r="B552" s="13">
        <v>11</v>
      </c>
      <c r="C552" s="12">
        <f t="shared" si="152"/>
        <v>5</v>
      </c>
      <c r="D552" s="13">
        <v>4</v>
      </c>
      <c r="E552" s="13">
        <v>0</v>
      </c>
      <c r="F552" s="12">
        <f t="shared" si="153"/>
        <v>8</v>
      </c>
      <c r="H552" s="9">
        <v>5</v>
      </c>
      <c r="I552" s="9">
        <v>8</v>
      </c>
      <c r="K552" s="9" t="s">
        <v>1147</v>
      </c>
      <c r="O552" s="9">
        <v>1</v>
      </c>
      <c r="P552" s="9">
        <v>15</v>
      </c>
      <c r="Q552" s="9" t="s">
        <v>1170</v>
      </c>
      <c r="U552" s="9">
        <v>5555</v>
      </c>
      <c r="X552" s="9">
        <f ca="1">IFERROR(OFFSET(ITEM_RES!$A$5,MATCH(BUILDING!W552,ITEM_RES!$J$5:$J$226,0)-1,0),0)</f>
        <v>0</v>
      </c>
      <c r="AA552" s="9">
        <f ca="1">IFERROR(OFFSET(ITEM_RES!$A$5,MATCH(BUILDING!Z552,ITEM_RES!$J$5:$J$226,0)-1,0),0)</f>
        <v>0</v>
      </c>
      <c r="AC552" s="9" t="s">
        <v>365</v>
      </c>
      <c r="AD552" s="9">
        <v>8</v>
      </c>
      <c r="AF552" s="11">
        <f ca="1">IFERROR(OFFSET(MANOR_LEVEL!$B$1,MATCH(AG552-1,MANOR_LEVEL!$A:$A,0)-1,0),0)</f>
        <v>528</v>
      </c>
      <c r="AG552" s="56">
        <v>3</v>
      </c>
      <c r="AI552" s="56">
        <f t="shared" ca="1" si="148"/>
        <v>200</v>
      </c>
      <c r="AJ552" s="10">
        <f ca="1">AO552+AQ552+(IFERROR(OFFSET(ITEM_RES!$S$1,MATCH(AU552,ITEM_RES!$A:$A,0)-1,0),0)*AW552+IFERROR(OFFSET(ITEM_RES!$S$1,MATCH(AZ552,ITEM_RES!$A:$A,0)-1,0),0)*BB552+IFERROR(OFFSET(ITEM_RES!$S$1,MATCH(BE552,ITEM_RES!$A:$A,0)-1,0),0)*BG552+IFERROR(OFFSET(ITEM_RES!$S$1,MATCH(BJ552,ITEM_RES!$A:$A,0)-1,0),0)*BL552+IFERROR(OFFSET(ITEM_RES!$S$1,MATCH(BO552,ITEM_RES!$A:$A,0)-1,0),0)*BQ552)/1000</f>
        <v>200.1</v>
      </c>
      <c r="AK552" s="183">
        <f t="shared" ca="1" si="156"/>
        <v>400</v>
      </c>
      <c r="AM552" s="11">
        <f t="shared" si="147"/>
        <v>40</v>
      </c>
      <c r="AN552" s="10">
        <v>40</v>
      </c>
      <c r="AO552" s="11">
        <f t="shared" si="154"/>
        <v>100</v>
      </c>
      <c r="AP552" s="10">
        <v>100</v>
      </c>
      <c r="AQ552" s="11">
        <f t="shared" si="154"/>
        <v>100</v>
      </c>
      <c r="AR552" s="10">
        <v>100</v>
      </c>
      <c r="AS552" s="56">
        <f t="shared" si="149"/>
        <v>1</v>
      </c>
      <c r="AU552" s="11">
        <f ca="1">IFERROR(OFFSET(ITEM_RES!$A$1,MATCH(AV552,ITEM_RES!$J:$J,0)-1,0),0)</f>
        <v>211020801</v>
      </c>
      <c r="AV552" s="10" t="s">
        <v>439</v>
      </c>
      <c r="AW552" s="11">
        <v>1</v>
      </c>
      <c r="AZ552" s="11">
        <f ca="1">IFERROR(OFFSET(ITEM_RES!$A$1,MATCH(BA552,ITEM_RES!$J:$J,0)-1,0),0)</f>
        <v>0</v>
      </c>
      <c r="BE552" s="11">
        <f ca="1">IFERROR(OFFSET(ITEM_RES!$A$1,MATCH(BF552,ITEM_RES!$J:$J,0)-1,0),0)</f>
        <v>0</v>
      </c>
      <c r="BJ552" s="11">
        <f ca="1">IFERROR(OFFSET(ITEM_RES!$A$1,MATCH(BK552,ITEM_RES!$J:$J,0)-1,0),0)</f>
        <v>0</v>
      </c>
      <c r="BO552" s="11">
        <f ca="1">IFERROR(OFFSET(ITEM_RES!$A$1,MATCH(BP552,ITEM_RES!$J:$J,0)-1,0),0)</f>
        <v>0</v>
      </c>
    </row>
    <row r="553" spans="1:70" x14ac:dyDescent="0.3">
      <c r="A553" s="14">
        <f t="shared" si="151"/>
        <v>115040009</v>
      </c>
      <c r="B553" s="13">
        <v>11</v>
      </c>
      <c r="C553" s="12">
        <f t="shared" si="152"/>
        <v>5</v>
      </c>
      <c r="D553" s="13">
        <v>4</v>
      </c>
      <c r="E553" s="13">
        <v>0</v>
      </c>
      <c r="F553" s="12">
        <f t="shared" si="153"/>
        <v>9</v>
      </c>
      <c r="H553" s="9">
        <v>5</v>
      </c>
      <c r="I553" s="9">
        <v>9</v>
      </c>
      <c r="K553" s="9" t="s">
        <v>1147</v>
      </c>
      <c r="O553" s="9">
        <v>1</v>
      </c>
      <c r="P553" s="9">
        <v>15</v>
      </c>
      <c r="Q553" s="9" t="s">
        <v>1170</v>
      </c>
      <c r="U553" s="9">
        <v>5555</v>
      </c>
      <c r="X553" s="9">
        <f ca="1">IFERROR(OFFSET(ITEM_RES!$A$5,MATCH(BUILDING!W553,ITEM_RES!$J$5:$J$226,0)-1,0),0)</f>
        <v>0</v>
      </c>
      <c r="AA553" s="9">
        <f ca="1">IFERROR(OFFSET(ITEM_RES!$A$5,MATCH(BUILDING!Z553,ITEM_RES!$J$5:$J$226,0)-1,0),0)</f>
        <v>0</v>
      </c>
      <c r="AC553" s="9" t="s">
        <v>365</v>
      </c>
      <c r="AD553" s="9">
        <v>9</v>
      </c>
      <c r="AF553" s="11">
        <f ca="1">IFERROR(OFFSET(MANOR_LEVEL!$B$1,MATCH(AG553-1,MANOR_LEVEL!$A:$A,0)-1,0),0)</f>
        <v>528</v>
      </c>
      <c r="AG553" s="56">
        <v>3</v>
      </c>
      <c r="AI553" s="56">
        <f t="shared" ca="1" si="148"/>
        <v>300</v>
      </c>
      <c r="AJ553" s="10">
        <f ca="1">AO553+AQ553+(IFERROR(OFFSET(ITEM_RES!$S$1,MATCH(AU553,ITEM_RES!$A:$A,0)-1,0),0)*AW553+IFERROR(OFFSET(ITEM_RES!$S$1,MATCH(AZ553,ITEM_RES!$A:$A,0)-1,0),0)*BB553+IFERROR(OFFSET(ITEM_RES!$S$1,MATCH(BE553,ITEM_RES!$A:$A,0)-1,0),0)*BG553+IFERROR(OFFSET(ITEM_RES!$S$1,MATCH(BJ553,ITEM_RES!$A:$A,0)-1,0),0)*BL553+IFERROR(OFFSET(ITEM_RES!$S$1,MATCH(BO553,ITEM_RES!$A:$A,0)-1,0),0)*BQ553)/1000</f>
        <v>300.10000000000002</v>
      </c>
      <c r="AK553" s="183">
        <f t="shared" ca="1" si="156"/>
        <v>500</v>
      </c>
      <c r="AM553" s="11">
        <f t="shared" si="147"/>
        <v>45</v>
      </c>
      <c r="AN553" s="10">
        <v>45</v>
      </c>
      <c r="AO553" s="11">
        <f t="shared" si="154"/>
        <v>150</v>
      </c>
      <c r="AP553" s="10">
        <v>150</v>
      </c>
      <c r="AQ553" s="11">
        <f t="shared" si="154"/>
        <v>150</v>
      </c>
      <c r="AR553" s="10">
        <v>150</v>
      </c>
      <c r="AS553" s="56">
        <f t="shared" si="149"/>
        <v>1</v>
      </c>
      <c r="AU553" s="11">
        <f ca="1">IFERROR(OFFSET(ITEM_RES!$A$1,MATCH(AV553,ITEM_RES!$J:$J,0)-1,0),0)</f>
        <v>211020801</v>
      </c>
      <c r="AV553" s="10" t="s">
        <v>439</v>
      </c>
      <c r="AW553" s="11">
        <v>1</v>
      </c>
      <c r="AZ553" s="11">
        <f ca="1">IFERROR(OFFSET(ITEM_RES!$A$1,MATCH(BA553,ITEM_RES!$J:$J,0)-1,0),0)</f>
        <v>0</v>
      </c>
      <c r="BE553" s="11">
        <f ca="1">IFERROR(OFFSET(ITEM_RES!$A$1,MATCH(BF553,ITEM_RES!$J:$J,0)-1,0),0)</f>
        <v>0</v>
      </c>
      <c r="BJ553" s="11">
        <f ca="1">IFERROR(OFFSET(ITEM_RES!$A$1,MATCH(BK553,ITEM_RES!$J:$J,0)-1,0),0)</f>
        <v>0</v>
      </c>
      <c r="BO553" s="11">
        <f ca="1">IFERROR(OFFSET(ITEM_RES!$A$1,MATCH(BP553,ITEM_RES!$J:$J,0)-1,0),0)</f>
        <v>0</v>
      </c>
    </row>
    <row r="554" spans="1:70" x14ac:dyDescent="0.3">
      <c r="A554" s="14">
        <f t="shared" si="151"/>
        <v>115040010</v>
      </c>
      <c r="B554" s="13">
        <v>11</v>
      </c>
      <c r="C554" s="12">
        <f t="shared" si="152"/>
        <v>5</v>
      </c>
      <c r="D554" s="13">
        <v>4</v>
      </c>
      <c r="E554" s="13">
        <v>0</v>
      </c>
      <c r="F554" s="12">
        <f t="shared" si="153"/>
        <v>10</v>
      </c>
      <c r="H554" s="9">
        <v>5</v>
      </c>
      <c r="I554" s="9">
        <v>10</v>
      </c>
      <c r="K554" s="9" t="s">
        <v>1147</v>
      </c>
      <c r="O554" s="9">
        <v>1</v>
      </c>
      <c r="P554" s="9">
        <v>15</v>
      </c>
      <c r="Q554" s="9" t="s">
        <v>1170</v>
      </c>
      <c r="U554" s="9">
        <v>5555</v>
      </c>
      <c r="X554" s="9">
        <f ca="1">IFERROR(OFFSET(ITEM_RES!$A$5,MATCH(BUILDING!W554,ITEM_RES!$J$5:$J$226,0)-1,0),0)</f>
        <v>0</v>
      </c>
      <c r="AA554" s="9">
        <f ca="1">IFERROR(OFFSET(ITEM_RES!$A$5,MATCH(BUILDING!Z554,ITEM_RES!$J$5:$J$226,0)-1,0),0)</f>
        <v>0</v>
      </c>
      <c r="AC554" s="9" t="s">
        <v>365</v>
      </c>
      <c r="AD554" s="9">
        <v>10</v>
      </c>
      <c r="AF554" s="11">
        <f ca="1">IFERROR(OFFSET(MANOR_LEVEL!$B$1,MATCH(AG554-1,MANOR_LEVEL!$A:$A,0)-1,0),0)</f>
        <v>528</v>
      </c>
      <c r="AG554" s="56">
        <v>3</v>
      </c>
      <c r="AI554" s="56">
        <f t="shared" ca="1" si="148"/>
        <v>400</v>
      </c>
      <c r="AJ554" s="10">
        <f ca="1">AO554+AQ554+(IFERROR(OFFSET(ITEM_RES!$S$1,MATCH(AU554,ITEM_RES!$A:$A,0)-1,0),0)*AW554+IFERROR(OFFSET(ITEM_RES!$S$1,MATCH(AZ554,ITEM_RES!$A:$A,0)-1,0),0)*BB554+IFERROR(OFFSET(ITEM_RES!$S$1,MATCH(BE554,ITEM_RES!$A:$A,0)-1,0),0)*BG554+IFERROR(OFFSET(ITEM_RES!$S$1,MATCH(BJ554,ITEM_RES!$A:$A,0)-1,0),0)*BL554+IFERROR(OFFSET(ITEM_RES!$S$1,MATCH(BO554,ITEM_RES!$A:$A,0)-1,0),0)*BQ554)/1000</f>
        <v>400.1</v>
      </c>
      <c r="AK554" s="183">
        <f t="shared" ca="1" si="156"/>
        <v>700</v>
      </c>
      <c r="AM554" s="11">
        <f t="shared" si="147"/>
        <v>50</v>
      </c>
      <c r="AN554" s="10">
        <v>50</v>
      </c>
      <c r="AO554" s="11">
        <f t="shared" si="154"/>
        <v>200</v>
      </c>
      <c r="AP554" s="10">
        <v>200</v>
      </c>
      <c r="AQ554" s="11">
        <f t="shared" si="154"/>
        <v>200</v>
      </c>
      <c r="AR554" s="10">
        <v>200</v>
      </c>
      <c r="AS554" s="56">
        <f t="shared" si="149"/>
        <v>1</v>
      </c>
      <c r="AU554" s="11">
        <f ca="1">IFERROR(OFFSET(ITEM_RES!$A$1,MATCH(AV554,ITEM_RES!$J:$J,0)-1,0),0)</f>
        <v>211020801</v>
      </c>
      <c r="AV554" s="10" t="s">
        <v>439</v>
      </c>
      <c r="AW554" s="11">
        <v>1</v>
      </c>
      <c r="AZ554" s="11">
        <f ca="1">IFERROR(OFFSET(ITEM_RES!$A$1,MATCH(BA554,ITEM_RES!$J:$J,0)-1,0),0)</f>
        <v>0</v>
      </c>
      <c r="BE554" s="11">
        <f ca="1">IFERROR(OFFSET(ITEM_RES!$A$1,MATCH(BF554,ITEM_RES!$J:$J,0)-1,0),0)</f>
        <v>0</v>
      </c>
      <c r="BJ554" s="11">
        <f ca="1">IFERROR(OFFSET(ITEM_RES!$A$1,MATCH(BK554,ITEM_RES!$J:$J,0)-1,0),0)</f>
        <v>0</v>
      </c>
      <c r="BO554" s="11">
        <f ca="1">IFERROR(OFFSET(ITEM_RES!$A$1,MATCH(BP554,ITEM_RES!$J:$J,0)-1,0),0)</f>
        <v>0</v>
      </c>
    </row>
    <row r="555" spans="1:70" x14ac:dyDescent="0.3">
      <c r="A555" s="14">
        <f t="shared" si="151"/>
        <v>115040011</v>
      </c>
      <c r="B555" s="13">
        <v>11</v>
      </c>
      <c r="C555" s="12">
        <f t="shared" si="152"/>
        <v>5</v>
      </c>
      <c r="D555" s="13">
        <v>4</v>
      </c>
      <c r="E555" s="13">
        <v>0</v>
      </c>
      <c r="F555" s="12">
        <f t="shared" si="153"/>
        <v>11</v>
      </c>
      <c r="H555" s="9">
        <v>5</v>
      </c>
      <c r="I555" s="9">
        <v>11</v>
      </c>
      <c r="K555" s="9" t="s">
        <v>1147</v>
      </c>
      <c r="O555" s="9">
        <v>1</v>
      </c>
      <c r="P555" s="9">
        <v>15</v>
      </c>
      <c r="Q555" s="9" t="s">
        <v>1170</v>
      </c>
      <c r="U555" s="9">
        <v>5555</v>
      </c>
      <c r="X555" s="9">
        <f ca="1">IFERROR(OFFSET(ITEM_RES!$A$5,MATCH(BUILDING!W555,ITEM_RES!$J$5:$J$226,0)-1,0),0)</f>
        <v>0</v>
      </c>
      <c r="AA555" s="9">
        <f ca="1">IFERROR(OFFSET(ITEM_RES!$A$5,MATCH(BUILDING!Z555,ITEM_RES!$J$5:$J$226,0)-1,0),0)</f>
        <v>0</v>
      </c>
      <c r="AC555" s="9" t="s">
        <v>365</v>
      </c>
      <c r="AD555" s="9">
        <v>11</v>
      </c>
      <c r="AF555" s="11">
        <f ca="1">IFERROR(OFFSET(MANOR_LEVEL!$B$1,MATCH(AG555-1,MANOR_LEVEL!$A:$A,0)-1,0),0)</f>
        <v>528</v>
      </c>
      <c r="AG555" s="56">
        <v>3</v>
      </c>
      <c r="AI555" s="56">
        <f t="shared" ca="1" si="148"/>
        <v>500</v>
      </c>
      <c r="AJ555" s="10">
        <f ca="1">AO555+AQ555+(IFERROR(OFFSET(ITEM_RES!$S$1,MATCH(AU555,ITEM_RES!$A:$A,0)-1,0),0)*AW555+IFERROR(OFFSET(ITEM_RES!$S$1,MATCH(AZ555,ITEM_RES!$A:$A,0)-1,0),0)*BB555+IFERROR(OFFSET(ITEM_RES!$S$1,MATCH(BE555,ITEM_RES!$A:$A,0)-1,0),0)*BG555+IFERROR(OFFSET(ITEM_RES!$S$1,MATCH(BJ555,ITEM_RES!$A:$A,0)-1,0),0)*BL555+IFERROR(OFFSET(ITEM_RES!$S$1,MATCH(BO555,ITEM_RES!$A:$A,0)-1,0),0)*BQ555)/1000</f>
        <v>500.1</v>
      </c>
      <c r="AK555" s="183">
        <f t="shared" ca="1" si="156"/>
        <v>900</v>
      </c>
      <c r="AM555" s="11">
        <f t="shared" si="147"/>
        <v>55</v>
      </c>
      <c r="AN555" s="10">
        <v>55</v>
      </c>
      <c r="AO555" s="11">
        <f t="shared" si="154"/>
        <v>250</v>
      </c>
      <c r="AP555" s="10">
        <v>250</v>
      </c>
      <c r="AQ555" s="11">
        <f t="shared" si="154"/>
        <v>250</v>
      </c>
      <c r="AR555" s="10">
        <v>250</v>
      </c>
      <c r="AS555" s="56">
        <f t="shared" si="149"/>
        <v>1</v>
      </c>
      <c r="AU555" s="11">
        <f ca="1">IFERROR(OFFSET(ITEM_RES!$A$1,MATCH(AV555,ITEM_RES!$J:$J,0)-1,0),0)</f>
        <v>211020801</v>
      </c>
      <c r="AV555" s="10" t="s">
        <v>439</v>
      </c>
      <c r="AW555" s="11">
        <v>1</v>
      </c>
      <c r="AZ555" s="11">
        <f ca="1">IFERROR(OFFSET(ITEM_RES!$A$1,MATCH(BA555,ITEM_RES!$J:$J,0)-1,0),0)</f>
        <v>0</v>
      </c>
      <c r="BE555" s="11">
        <f ca="1">IFERROR(OFFSET(ITEM_RES!$A$1,MATCH(BF555,ITEM_RES!$J:$J,0)-1,0),0)</f>
        <v>0</v>
      </c>
      <c r="BJ555" s="11">
        <f ca="1">IFERROR(OFFSET(ITEM_RES!$A$1,MATCH(BK555,ITEM_RES!$J:$J,0)-1,0),0)</f>
        <v>0</v>
      </c>
      <c r="BO555" s="11">
        <f ca="1">IFERROR(OFFSET(ITEM_RES!$A$1,MATCH(BP555,ITEM_RES!$J:$J,0)-1,0),0)</f>
        <v>0</v>
      </c>
    </row>
    <row r="556" spans="1:70" x14ac:dyDescent="0.3">
      <c r="A556" s="14">
        <f t="shared" si="151"/>
        <v>115040012</v>
      </c>
      <c r="B556" s="13">
        <v>11</v>
      </c>
      <c r="C556" s="12">
        <f t="shared" si="152"/>
        <v>5</v>
      </c>
      <c r="D556" s="13">
        <v>4</v>
      </c>
      <c r="E556" s="13">
        <v>0</v>
      </c>
      <c r="F556" s="12">
        <f t="shared" si="153"/>
        <v>12</v>
      </c>
      <c r="H556" s="9">
        <v>5</v>
      </c>
      <c r="I556" s="9">
        <v>12</v>
      </c>
      <c r="K556" s="9" t="s">
        <v>1147</v>
      </c>
      <c r="O556" s="9">
        <v>1</v>
      </c>
      <c r="P556" s="9">
        <v>15</v>
      </c>
      <c r="Q556" s="9" t="s">
        <v>1170</v>
      </c>
      <c r="U556" s="9">
        <v>5555</v>
      </c>
      <c r="X556" s="9">
        <f ca="1">IFERROR(OFFSET(ITEM_RES!$A$5,MATCH(BUILDING!W556,ITEM_RES!$J$5:$J$226,0)-1,0),0)</f>
        <v>0</v>
      </c>
      <c r="AA556" s="9">
        <f ca="1">IFERROR(OFFSET(ITEM_RES!$A$5,MATCH(BUILDING!Z556,ITEM_RES!$J$5:$J$226,0)-1,0),0)</f>
        <v>0</v>
      </c>
      <c r="AC556" s="9" t="s">
        <v>365</v>
      </c>
      <c r="AD556" s="9">
        <v>12</v>
      </c>
      <c r="AF556" s="11">
        <f ca="1">IFERROR(OFFSET(MANOR_LEVEL!$B$1,MATCH(AG556-1,MANOR_LEVEL!$A:$A,0)-1,0),0)</f>
        <v>800</v>
      </c>
      <c r="AG556" s="56">
        <v>4</v>
      </c>
      <c r="AI556" s="56">
        <f t="shared" ca="1" si="148"/>
        <v>1600</v>
      </c>
      <c r="AJ556" s="10">
        <f ca="1">AO556+AQ556+(IFERROR(OFFSET(ITEM_RES!$S$1,MATCH(AU556,ITEM_RES!$A:$A,0)-1,0),0)*AW556+IFERROR(OFFSET(ITEM_RES!$S$1,MATCH(AZ556,ITEM_RES!$A:$A,0)-1,0),0)*BB556+IFERROR(OFFSET(ITEM_RES!$S$1,MATCH(BE556,ITEM_RES!$A:$A,0)-1,0),0)*BG556+IFERROR(OFFSET(ITEM_RES!$S$1,MATCH(BJ556,ITEM_RES!$A:$A,0)-1,0),0)*BL556+IFERROR(OFFSET(ITEM_RES!$S$1,MATCH(BO556,ITEM_RES!$A:$A,0)-1,0),0)*BQ556)/1000</f>
        <v>1600.1</v>
      </c>
      <c r="AK556" s="183">
        <f t="shared" ca="1" si="156"/>
        <v>2100</v>
      </c>
      <c r="AM556" s="11">
        <f t="shared" si="147"/>
        <v>60</v>
      </c>
      <c r="AN556" s="10">
        <v>60</v>
      </c>
      <c r="AO556" s="11">
        <f t="shared" si="154"/>
        <v>300</v>
      </c>
      <c r="AP556" s="10">
        <v>300</v>
      </c>
      <c r="AQ556" s="11">
        <f t="shared" si="154"/>
        <v>300</v>
      </c>
      <c r="AR556" s="10">
        <v>300</v>
      </c>
      <c r="AS556" s="56">
        <f t="shared" si="149"/>
        <v>2</v>
      </c>
      <c r="AU556" s="11">
        <f ca="1">IFERROR(OFFSET(ITEM_RES!$A$1,MATCH(AV556,ITEM_RES!$J:$J,0)-1,0),0)</f>
        <v>211020801</v>
      </c>
      <c r="AV556" s="10" t="s">
        <v>439</v>
      </c>
      <c r="AW556" s="11">
        <v>1</v>
      </c>
      <c r="AZ556" s="11">
        <f ca="1">IFERROR(OFFSET(ITEM_RES!$A$1,MATCH(BA556,ITEM_RES!$J:$J,0)-1,0),0)</f>
        <v>0</v>
      </c>
      <c r="BE556" s="11">
        <f ca="1">IFERROR(OFFSET(ITEM_RES!$A$1,MATCH(BF556,ITEM_RES!$J:$J,0)-1,0),0)</f>
        <v>0</v>
      </c>
      <c r="BJ556" s="11">
        <f ca="1">IFERROR(OFFSET(ITEM_RES!$A$1,MATCH(BK556,ITEM_RES!$J:$J,0)-1,0),0)</f>
        <v>213011701</v>
      </c>
      <c r="BK556" s="10" t="s">
        <v>478</v>
      </c>
      <c r="BL556" s="11">
        <v>1</v>
      </c>
      <c r="BO556" s="11">
        <f ca="1">IFERROR(OFFSET(ITEM_RES!$A$1,MATCH(BP556,ITEM_RES!$J:$J,0)-1,0),0)</f>
        <v>0</v>
      </c>
    </row>
    <row r="557" spans="1:70" x14ac:dyDescent="0.3">
      <c r="A557" s="14">
        <f t="shared" si="151"/>
        <v>115040013</v>
      </c>
      <c r="B557" s="13">
        <v>11</v>
      </c>
      <c r="C557" s="12">
        <f t="shared" si="152"/>
        <v>5</v>
      </c>
      <c r="D557" s="13">
        <v>4</v>
      </c>
      <c r="E557" s="13">
        <v>0</v>
      </c>
      <c r="F557" s="12">
        <f t="shared" si="153"/>
        <v>13</v>
      </c>
      <c r="H557" s="9">
        <v>5</v>
      </c>
      <c r="I557" s="9">
        <v>13</v>
      </c>
      <c r="K557" s="9" t="s">
        <v>1147</v>
      </c>
      <c r="O557" s="9">
        <v>1</v>
      </c>
      <c r="P557" s="9">
        <v>15</v>
      </c>
      <c r="Q557" s="9" t="s">
        <v>1170</v>
      </c>
      <c r="U557" s="9">
        <v>5555</v>
      </c>
      <c r="X557" s="9">
        <f ca="1">IFERROR(OFFSET(ITEM_RES!$A$5,MATCH(BUILDING!W557,ITEM_RES!$J$5:$J$226,0)-1,0),0)</f>
        <v>0</v>
      </c>
      <c r="AA557" s="9">
        <f ca="1">IFERROR(OFFSET(ITEM_RES!$A$5,MATCH(BUILDING!Z557,ITEM_RES!$J$5:$J$226,0)-1,0),0)</f>
        <v>0</v>
      </c>
      <c r="AC557" s="9" t="s">
        <v>365</v>
      </c>
      <c r="AD557" s="9">
        <v>13</v>
      </c>
      <c r="AF557" s="11">
        <f ca="1">IFERROR(OFFSET(MANOR_LEVEL!$B$1,MATCH(AG557-1,MANOR_LEVEL!$A:$A,0)-1,0),0)</f>
        <v>800</v>
      </c>
      <c r="AG557" s="56">
        <v>4</v>
      </c>
      <c r="AI557" s="56">
        <f t="shared" ca="1" si="148"/>
        <v>700</v>
      </c>
      <c r="AJ557" s="10">
        <f ca="1">AO557+AQ557+(IFERROR(OFFSET(ITEM_RES!$S$1,MATCH(AU557,ITEM_RES!$A:$A,0)-1,0),0)*AW557+IFERROR(OFFSET(ITEM_RES!$S$1,MATCH(AZ557,ITEM_RES!$A:$A,0)-1,0),0)*BB557+IFERROR(OFFSET(ITEM_RES!$S$1,MATCH(BE557,ITEM_RES!$A:$A,0)-1,0),0)*BG557+IFERROR(OFFSET(ITEM_RES!$S$1,MATCH(BJ557,ITEM_RES!$A:$A,0)-1,0),0)*BL557+IFERROR(OFFSET(ITEM_RES!$S$1,MATCH(BO557,ITEM_RES!$A:$A,0)-1,0),0)*BQ557)/1000</f>
        <v>700.2</v>
      </c>
      <c r="AK557" s="183">
        <f t="shared" ca="1" si="156"/>
        <v>2300</v>
      </c>
      <c r="AM557" s="11">
        <f t="shared" ref="AM557:AM564" si="157">ROUND(AN557,0)</f>
        <v>65</v>
      </c>
      <c r="AN557" s="10">
        <v>65</v>
      </c>
      <c r="AO557" s="11">
        <f t="shared" si="154"/>
        <v>350</v>
      </c>
      <c r="AP557" s="10">
        <v>350</v>
      </c>
      <c r="AQ557" s="11">
        <f t="shared" si="154"/>
        <v>350</v>
      </c>
      <c r="AR557" s="10">
        <v>350</v>
      </c>
      <c r="AS557" s="56">
        <f t="shared" si="149"/>
        <v>1</v>
      </c>
      <c r="AU557" s="11">
        <f ca="1">IFERROR(OFFSET(ITEM_RES!$A$1,MATCH(AV557,ITEM_RES!$J:$J,0)-1,0),0)</f>
        <v>211020901</v>
      </c>
      <c r="AV557" s="10" t="s">
        <v>445</v>
      </c>
      <c r="AW557" s="11">
        <v>1</v>
      </c>
      <c r="AZ557" s="11">
        <f ca="1">IFERROR(OFFSET(ITEM_RES!$A$1,MATCH(BA557,ITEM_RES!$J:$J,0)-1,0),0)</f>
        <v>0</v>
      </c>
      <c r="BE557" s="11">
        <f ca="1">IFERROR(OFFSET(ITEM_RES!$A$1,MATCH(BF557,ITEM_RES!$J:$J,0)-1,0),0)</f>
        <v>0</v>
      </c>
      <c r="BJ557" s="11">
        <f ca="1">IFERROR(OFFSET(ITEM_RES!$A$1,MATCH(BK557,ITEM_RES!$J:$J,0)-1,0),0)</f>
        <v>0</v>
      </c>
      <c r="BO557" s="11">
        <f ca="1">IFERROR(OFFSET(ITEM_RES!$A$1,MATCH(BP557,ITEM_RES!$J:$J,0)-1,0),0)</f>
        <v>0</v>
      </c>
    </row>
    <row r="558" spans="1:70" x14ac:dyDescent="0.3">
      <c r="A558" s="14">
        <f t="shared" si="151"/>
        <v>115040014</v>
      </c>
      <c r="B558" s="13">
        <v>11</v>
      </c>
      <c r="C558" s="12">
        <f t="shared" si="152"/>
        <v>5</v>
      </c>
      <c r="D558" s="13">
        <v>4</v>
      </c>
      <c r="E558" s="13">
        <v>0</v>
      </c>
      <c r="F558" s="12">
        <f t="shared" si="153"/>
        <v>14</v>
      </c>
      <c r="H558" s="9">
        <v>5</v>
      </c>
      <c r="I558" s="9">
        <v>14</v>
      </c>
      <c r="K558" s="9" t="s">
        <v>1147</v>
      </c>
      <c r="O558" s="9">
        <v>1</v>
      </c>
      <c r="P558" s="9">
        <v>15</v>
      </c>
      <c r="Q558" s="9" t="s">
        <v>1170</v>
      </c>
      <c r="U558" s="9">
        <v>5555</v>
      </c>
      <c r="X558" s="9">
        <f ca="1">IFERROR(OFFSET(ITEM_RES!$A$5,MATCH(BUILDING!W558,ITEM_RES!$J$5:$J$226,0)-1,0),0)</f>
        <v>0</v>
      </c>
      <c r="AA558" s="9">
        <f ca="1">IFERROR(OFFSET(ITEM_RES!$A$5,MATCH(BUILDING!Z558,ITEM_RES!$J$5:$J$226,0)-1,0),0)</f>
        <v>0</v>
      </c>
      <c r="AC558" s="9" t="s">
        <v>365</v>
      </c>
      <c r="AD558" s="9">
        <v>14</v>
      </c>
      <c r="AF558" s="11">
        <f ca="1">IFERROR(OFFSET(MANOR_LEVEL!$B$1,MATCH(AG558-1,MANOR_LEVEL!$A:$A,0)-1,0),0)</f>
        <v>800</v>
      </c>
      <c r="AG558" s="56">
        <v>4</v>
      </c>
      <c r="AI558" s="56">
        <f t="shared" ref="AI558:AI564" ca="1" si="158">ROUND(AJ558,0)</f>
        <v>900</v>
      </c>
      <c r="AJ558" s="10">
        <f ca="1">AO558+AQ558+(IFERROR(OFFSET(ITEM_RES!$S$1,MATCH(AU558,ITEM_RES!$A:$A,0)-1,0),0)*AW558+IFERROR(OFFSET(ITEM_RES!$S$1,MATCH(AZ558,ITEM_RES!$A:$A,0)-1,0),0)*BB558+IFERROR(OFFSET(ITEM_RES!$S$1,MATCH(BE558,ITEM_RES!$A:$A,0)-1,0),0)*BG558+IFERROR(OFFSET(ITEM_RES!$S$1,MATCH(BJ558,ITEM_RES!$A:$A,0)-1,0),0)*BL558+IFERROR(OFFSET(ITEM_RES!$S$1,MATCH(BO558,ITEM_RES!$A:$A,0)-1,0),0)*BQ558)/1000</f>
        <v>900.2</v>
      </c>
      <c r="AK558" s="183">
        <f t="shared" ca="1" si="156"/>
        <v>1600</v>
      </c>
      <c r="AM558" s="11">
        <f t="shared" si="157"/>
        <v>70</v>
      </c>
      <c r="AN558" s="10">
        <v>70</v>
      </c>
      <c r="AO558" s="11">
        <f t="shared" si="154"/>
        <v>450</v>
      </c>
      <c r="AP558" s="10">
        <v>450</v>
      </c>
      <c r="AQ558" s="11">
        <f t="shared" si="154"/>
        <v>450</v>
      </c>
      <c r="AR558" s="10">
        <v>450</v>
      </c>
      <c r="AS558" s="56">
        <f t="shared" ref="AS558:AS564" si="159">(AW558&gt;0)*1+(BB558&gt;0)*1+(BG558&gt;0)*1+(BL558&gt;0)*1+(BQ558&gt;0)*1</f>
        <v>1</v>
      </c>
      <c r="AU558" s="11">
        <f ca="1">IFERROR(OFFSET(ITEM_RES!$A$1,MATCH(AV558,ITEM_RES!$J:$J,0)-1,0),0)</f>
        <v>211020901</v>
      </c>
      <c r="AV558" s="10" t="s">
        <v>445</v>
      </c>
      <c r="AW558" s="11">
        <v>1</v>
      </c>
      <c r="AZ558" s="11">
        <f ca="1">IFERROR(OFFSET(ITEM_RES!$A$1,MATCH(BA558,ITEM_RES!$J:$J,0)-1,0),0)</f>
        <v>0</v>
      </c>
      <c r="BE558" s="11">
        <f ca="1">IFERROR(OFFSET(ITEM_RES!$A$1,MATCH(BF558,ITEM_RES!$J:$J,0)-1,0),0)</f>
        <v>0</v>
      </c>
      <c r="BJ558" s="11">
        <f ca="1">IFERROR(OFFSET(ITEM_RES!$A$1,MATCH(BK558,ITEM_RES!$J:$J,0)-1,0),0)</f>
        <v>0</v>
      </c>
      <c r="BO558" s="11">
        <f ca="1">IFERROR(OFFSET(ITEM_RES!$A$1,MATCH(BP558,ITEM_RES!$J:$J,0)-1,0),0)</f>
        <v>0</v>
      </c>
    </row>
    <row r="559" spans="1:70" x14ac:dyDescent="0.3">
      <c r="A559" s="14">
        <f t="shared" si="151"/>
        <v>115040015</v>
      </c>
      <c r="B559" s="13">
        <v>11</v>
      </c>
      <c r="C559" s="12">
        <f t="shared" si="152"/>
        <v>5</v>
      </c>
      <c r="D559" s="13">
        <v>4</v>
      </c>
      <c r="E559" s="13">
        <v>0</v>
      </c>
      <c r="F559" s="12">
        <f t="shared" si="153"/>
        <v>15</v>
      </c>
      <c r="H559" s="9">
        <v>5</v>
      </c>
      <c r="I559" s="9">
        <v>15</v>
      </c>
      <c r="K559" s="9" t="s">
        <v>1147</v>
      </c>
      <c r="O559" s="9">
        <v>1</v>
      </c>
      <c r="P559" s="9">
        <v>15</v>
      </c>
      <c r="Q559" s="9" t="s">
        <v>1170</v>
      </c>
      <c r="U559" s="9">
        <v>5555</v>
      </c>
      <c r="X559" s="9">
        <f ca="1">IFERROR(OFFSET(ITEM_RES!$A$5,MATCH(BUILDING!W559,ITEM_RES!$J$5:$J$226,0)-1,0),0)</f>
        <v>0</v>
      </c>
      <c r="AA559" s="9">
        <f ca="1">IFERROR(OFFSET(ITEM_RES!$A$5,MATCH(BUILDING!Z559,ITEM_RES!$J$5:$J$226,0)-1,0),0)</f>
        <v>0</v>
      </c>
      <c r="AC559" s="9" t="s">
        <v>365</v>
      </c>
      <c r="AD559" s="9">
        <v>15</v>
      </c>
      <c r="AF559" s="11">
        <f ca="1">IFERROR(OFFSET(MANOR_LEVEL!$B$1,MATCH(AG559-1,MANOR_LEVEL!$A:$A,0)-1,0),0)</f>
        <v>1500</v>
      </c>
      <c r="AG559" s="56">
        <v>5</v>
      </c>
      <c r="AI559" s="56">
        <f t="shared" ca="1" si="158"/>
        <v>1100</v>
      </c>
      <c r="AJ559" s="10">
        <f ca="1">AO559+AQ559+(IFERROR(OFFSET(ITEM_RES!$S$1,MATCH(AU559,ITEM_RES!$A:$A,0)-1,0),0)*AW559+IFERROR(OFFSET(ITEM_RES!$S$1,MATCH(AZ559,ITEM_RES!$A:$A,0)-1,0),0)*BB559+IFERROR(OFFSET(ITEM_RES!$S$1,MATCH(BE559,ITEM_RES!$A:$A,0)-1,0),0)*BG559+IFERROR(OFFSET(ITEM_RES!$S$1,MATCH(BJ559,ITEM_RES!$A:$A,0)-1,0),0)*BL559+IFERROR(OFFSET(ITEM_RES!$S$1,MATCH(BO559,ITEM_RES!$A:$A,0)-1,0),0)*BQ559)/1000</f>
        <v>1100.2</v>
      </c>
      <c r="AK559" s="183">
        <f t="shared" ca="1" si="156"/>
        <v>2000</v>
      </c>
      <c r="AM559" s="11">
        <f t="shared" si="157"/>
        <v>75</v>
      </c>
      <c r="AN559" s="10">
        <v>75</v>
      </c>
      <c r="AO559" s="11">
        <f t="shared" si="154"/>
        <v>550</v>
      </c>
      <c r="AP559" s="10">
        <v>550</v>
      </c>
      <c r="AQ559" s="11">
        <f t="shared" si="154"/>
        <v>550</v>
      </c>
      <c r="AR559" s="10">
        <v>550</v>
      </c>
      <c r="AS559" s="56">
        <f t="shared" si="159"/>
        <v>1</v>
      </c>
      <c r="AU559" s="11">
        <f ca="1">IFERROR(OFFSET(ITEM_RES!$A$1,MATCH(AV559,ITEM_RES!$J:$J,0)-1,0),0)</f>
        <v>211020901</v>
      </c>
      <c r="AV559" s="10" t="s">
        <v>445</v>
      </c>
      <c r="AW559" s="11">
        <v>1</v>
      </c>
      <c r="AZ559" s="11">
        <f ca="1">IFERROR(OFFSET(ITEM_RES!$A$1,MATCH(BA559,ITEM_RES!$J:$J,0)-1,0),0)</f>
        <v>0</v>
      </c>
      <c r="BE559" s="11">
        <f ca="1">IFERROR(OFFSET(ITEM_RES!$A$1,MATCH(BF559,ITEM_RES!$J:$J,0)-1,0),0)</f>
        <v>0</v>
      </c>
      <c r="BJ559" s="11">
        <f ca="1">IFERROR(OFFSET(ITEM_RES!$A$1,MATCH(BK559,ITEM_RES!$J:$J,0)-1,0),0)</f>
        <v>0</v>
      </c>
      <c r="BO559" s="11">
        <f ca="1">IFERROR(OFFSET(ITEM_RES!$A$1,MATCH(BP559,ITEM_RES!$J:$J,0)-1,0),0)</f>
        <v>0</v>
      </c>
    </row>
    <row r="560" spans="1:70" x14ac:dyDescent="0.3">
      <c r="A560" s="14">
        <f t="shared" si="151"/>
        <v>115040016</v>
      </c>
      <c r="B560" s="13">
        <v>11</v>
      </c>
      <c r="C560" s="12">
        <f t="shared" si="152"/>
        <v>5</v>
      </c>
      <c r="D560" s="13">
        <v>4</v>
      </c>
      <c r="E560" s="13">
        <v>0</v>
      </c>
      <c r="F560" s="12">
        <f t="shared" si="153"/>
        <v>16</v>
      </c>
      <c r="H560" s="9">
        <v>5</v>
      </c>
      <c r="I560" s="9">
        <v>16</v>
      </c>
      <c r="K560" s="9" t="s">
        <v>1147</v>
      </c>
      <c r="O560" s="9">
        <v>0</v>
      </c>
      <c r="P560" s="9">
        <v>15</v>
      </c>
      <c r="Q560" s="9" t="s">
        <v>1170</v>
      </c>
      <c r="U560" s="9">
        <v>5555</v>
      </c>
      <c r="X560" s="9">
        <f ca="1">IFERROR(OFFSET(ITEM_RES!$A$5,MATCH(BUILDING!W560,ITEM_RES!$J$5:$J$226,0)-1,0),0)</f>
        <v>0</v>
      </c>
      <c r="AA560" s="9">
        <f ca="1">IFERROR(OFFSET(ITEM_RES!$A$5,MATCH(BUILDING!Z560,ITEM_RES!$J$5:$J$226,0)-1,0),0)</f>
        <v>0</v>
      </c>
      <c r="AC560" s="9" t="s">
        <v>365</v>
      </c>
      <c r="AD560" s="9">
        <v>16</v>
      </c>
      <c r="AF560" s="11">
        <f ca="1">IFERROR(OFFSET(MANOR_LEVEL!$B$1,MATCH(AG560-1,MANOR_LEVEL!$A:$A,0)-1,0),0)</f>
        <v>1500</v>
      </c>
      <c r="AG560" s="56">
        <v>5</v>
      </c>
      <c r="AI560" s="56">
        <f t="shared" ca="1" si="158"/>
        <v>1400</v>
      </c>
      <c r="AJ560" s="10">
        <f ca="1">AO560+AQ560+(IFERROR(OFFSET(ITEM_RES!$S$1,MATCH(AU560,ITEM_RES!$A:$A,0)-1,0),0)*AW560+IFERROR(OFFSET(ITEM_RES!$S$1,MATCH(AZ560,ITEM_RES!$A:$A,0)-1,0),0)*BB560+IFERROR(OFFSET(ITEM_RES!$S$1,MATCH(BE560,ITEM_RES!$A:$A,0)-1,0),0)*BG560+IFERROR(OFFSET(ITEM_RES!$S$1,MATCH(BJ560,ITEM_RES!$A:$A,0)-1,0),0)*BL560+IFERROR(OFFSET(ITEM_RES!$S$1,MATCH(BO560,ITEM_RES!$A:$A,0)-1,0),0)*BQ560)/1000</f>
        <v>1400.2</v>
      </c>
      <c r="AK560" s="183">
        <f t="shared" ca="1" si="156"/>
        <v>2500</v>
      </c>
      <c r="AM560" s="11">
        <f t="shared" si="157"/>
        <v>80</v>
      </c>
      <c r="AN560" s="10">
        <v>80</v>
      </c>
      <c r="AO560" s="11">
        <f t="shared" si="154"/>
        <v>700</v>
      </c>
      <c r="AP560" s="10">
        <v>700</v>
      </c>
      <c r="AQ560" s="11">
        <f t="shared" si="154"/>
        <v>700</v>
      </c>
      <c r="AR560" s="10">
        <v>700</v>
      </c>
      <c r="AS560" s="56">
        <f t="shared" si="159"/>
        <v>1</v>
      </c>
      <c r="AU560" s="11">
        <f ca="1">IFERROR(OFFSET(ITEM_RES!$A$1,MATCH(AV560,ITEM_RES!$J:$J,0)-1,0),0)</f>
        <v>211020901</v>
      </c>
      <c r="AV560" s="10" t="s">
        <v>445</v>
      </c>
      <c r="AW560" s="11">
        <v>1</v>
      </c>
      <c r="AZ560" s="11">
        <f ca="1">IFERROR(OFFSET(ITEM_RES!$A$1,MATCH(BA560,ITEM_RES!$J:$J,0)-1,0),0)</f>
        <v>0</v>
      </c>
      <c r="BE560" s="11">
        <f ca="1">IFERROR(OFFSET(ITEM_RES!$A$1,MATCH(BF560,ITEM_RES!$J:$J,0)-1,0),0)</f>
        <v>0</v>
      </c>
      <c r="BJ560" s="11">
        <f ca="1">IFERROR(OFFSET(ITEM_RES!$A$1,MATCH(BK560,ITEM_RES!$J:$J,0)-1,0),0)</f>
        <v>0</v>
      </c>
      <c r="BO560" s="11">
        <f ca="1">IFERROR(OFFSET(ITEM_RES!$A$1,MATCH(BP560,ITEM_RES!$J:$J,0)-1,0),0)</f>
        <v>0</v>
      </c>
    </row>
    <row r="561" spans="1:70" x14ac:dyDescent="0.3">
      <c r="A561" s="14">
        <f t="shared" si="151"/>
        <v>115040017</v>
      </c>
      <c r="B561" s="13">
        <v>11</v>
      </c>
      <c r="C561" s="12">
        <f t="shared" si="152"/>
        <v>5</v>
      </c>
      <c r="D561" s="13">
        <v>4</v>
      </c>
      <c r="E561" s="13">
        <v>0</v>
      </c>
      <c r="F561" s="12">
        <f t="shared" si="153"/>
        <v>17</v>
      </c>
      <c r="H561" s="9">
        <v>5</v>
      </c>
      <c r="I561" s="9">
        <v>17</v>
      </c>
      <c r="K561" s="9" t="s">
        <v>1147</v>
      </c>
      <c r="O561" s="9">
        <v>0</v>
      </c>
      <c r="P561" s="9">
        <v>15</v>
      </c>
      <c r="Q561" s="9" t="s">
        <v>1170</v>
      </c>
      <c r="U561" s="9">
        <v>5555</v>
      </c>
      <c r="X561" s="9">
        <f ca="1">IFERROR(OFFSET(ITEM_RES!$A$5,MATCH(BUILDING!W561,ITEM_RES!$J$5:$J$226,0)-1,0),0)</f>
        <v>0</v>
      </c>
      <c r="AA561" s="9">
        <f ca="1">IFERROR(OFFSET(ITEM_RES!$A$5,MATCH(BUILDING!Z561,ITEM_RES!$J$5:$J$226,0)-1,0),0)</f>
        <v>0</v>
      </c>
      <c r="AC561" s="9" t="s">
        <v>365</v>
      </c>
      <c r="AD561" s="9">
        <v>17</v>
      </c>
      <c r="AF561" s="11">
        <f ca="1">IFERROR(OFFSET(MANOR_LEVEL!$B$1,MATCH(AG561-1,MANOR_LEVEL!$A:$A,0)-1,0),0)</f>
        <v>3872</v>
      </c>
      <c r="AG561" s="56">
        <v>6</v>
      </c>
      <c r="AI561" s="56">
        <f t="shared" ca="1" si="158"/>
        <v>1700</v>
      </c>
      <c r="AJ561" s="10">
        <f ca="1">AO561+AQ561+(IFERROR(OFFSET(ITEM_RES!$S$1,MATCH(AU561,ITEM_RES!$A:$A,0)-1,0),0)*AW561+IFERROR(OFFSET(ITEM_RES!$S$1,MATCH(AZ561,ITEM_RES!$A:$A,0)-1,0),0)*BB561+IFERROR(OFFSET(ITEM_RES!$S$1,MATCH(BE561,ITEM_RES!$A:$A,0)-1,0),0)*BG561+IFERROR(OFFSET(ITEM_RES!$S$1,MATCH(BJ561,ITEM_RES!$A:$A,0)-1,0),0)*BL561+IFERROR(OFFSET(ITEM_RES!$S$1,MATCH(BO561,ITEM_RES!$A:$A,0)-1,0),0)*BQ561)/1000</f>
        <v>1700.2</v>
      </c>
      <c r="AK561" s="183">
        <f t="shared" ca="1" si="156"/>
        <v>3100</v>
      </c>
      <c r="AM561" s="11">
        <f t="shared" si="157"/>
        <v>85</v>
      </c>
      <c r="AN561" s="10">
        <v>85</v>
      </c>
      <c r="AO561" s="11">
        <f t="shared" si="154"/>
        <v>850</v>
      </c>
      <c r="AP561" s="10">
        <v>850</v>
      </c>
      <c r="AQ561" s="11">
        <f t="shared" si="154"/>
        <v>850</v>
      </c>
      <c r="AR561" s="10">
        <v>850</v>
      </c>
      <c r="AS561" s="56">
        <f t="shared" si="159"/>
        <v>1</v>
      </c>
      <c r="AU561" s="11">
        <f ca="1">IFERROR(OFFSET(ITEM_RES!$A$1,MATCH(AV561,ITEM_RES!$J:$J,0)-1,0),0)</f>
        <v>211020901</v>
      </c>
      <c r="AV561" s="10" t="s">
        <v>445</v>
      </c>
      <c r="AW561" s="11">
        <v>1</v>
      </c>
      <c r="AZ561" s="11">
        <f ca="1">IFERROR(OFFSET(ITEM_RES!$A$1,MATCH(BA561,ITEM_RES!$J:$J,0)-1,0),0)</f>
        <v>0</v>
      </c>
      <c r="BE561" s="11">
        <f ca="1">IFERROR(OFFSET(ITEM_RES!$A$1,MATCH(BF561,ITEM_RES!$J:$J,0)-1,0),0)</f>
        <v>0</v>
      </c>
      <c r="BJ561" s="11">
        <f ca="1">IFERROR(OFFSET(ITEM_RES!$A$1,MATCH(BK561,ITEM_RES!$J:$J,0)-1,0),0)</f>
        <v>0</v>
      </c>
      <c r="BO561" s="11">
        <f ca="1">IFERROR(OFFSET(ITEM_RES!$A$1,MATCH(BP561,ITEM_RES!$J:$J,0)-1,0),0)</f>
        <v>0</v>
      </c>
    </row>
    <row r="562" spans="1:70" x14ac:dyDescent="0.3">
      <c r="A562" s="14">
        <f t="shared" si="151"/>
        <v>115040018</v>
      </c>
      <c r="B562" s="13">
        <v>11</v>
      </c>
      <c r="C562" s="12">
        <f t="shared" si="152"/>
        <v>5</v>
      </c>
      <c r="D562" s="13">
        <v>4</v>
      </c>
      <c r="E562" s="13">
        <v>0</v>
      </c>
      <c r="F562" s="12">
        <f t="shared" si="153"/>
        <v>18</v>
      </c>
      <c r="H562" s="9">
        <v>5</v>
      </c>
      <c r="I562" s="9">
        <v>18</v>
      </c>
      <c r="K562" s="9" t="s">
        <v>1147</v>
      </c>
      <c r="O562" s="9">
        <v>0</v>
      </c>
      <c r="P562" s="9">
        <v>15</v>
      </c>
      <c r="Q562" s="9" t="s">
        <v>1170</v>
      </c>
      <c r="U562" s="9">
        <v>5555</v>
      </c>
      <c r="X562" s="9">
        <f ca="1">IFERROR(OFFSET(ITEM_RES!$A$5,MATCH(BUILDING!W562,ITEM_RES!$J$5:$J$226,0)-1,0),0)</f>
        <v>0</v>
      </c>
      <c r="AA562" s="9">
        <f ca="1">IFERROR(OFFSET(ITEM_RES!$A$5,MATCH(BUILDING!Z562,ITEM_RES!$J$5:$J$226,0)-1,0),0)</f>
        <v>0</v>
      </c>
      <c r="AC562" s="9" t="s">
        <v>365</v>
      </c>
      <c r="AD562" s="9">
        <v>18</v>
      </c>
      <c r="AF562" s="11">
        <f ca="1">IFERROR(OFFSET(MANOR_LEVEL!$B$1,MATCH(AG562-1,MANOR_LEVEL!$A:$A,0)-1,0),0)</f>
        <v>32640</v>
      </c>
      <c r="AG562" s="56">
        <v>7</v>
      </c>
      <c r="AI562" s="56">
        <f t="shared" ca="1" si="158"/>
        <v>2100</v>
      </c>
      <c r="AJ562" s="10">
        <f ca="1">AO562+AQ562+(IFERROR(OFFSET(ITEM_RES!$S$1,MATCH(AU562,ITEM_RES!$A:$A,0)-1,0),0)*AW562+IFERROR(OFFSET(ITEM_RES!$S$1,MATCH(AZ562,ITEM_RES!$A:$A,0)-1,0),0)*BB562+IFERROR(OFFSET(ITEM_RES!$S$1,MATCH(BE562,ITEM_RES!$A:$A,0)-1,0),0)*BG562+IFERROR(OFFSET(ITEM_RES!$S$1,MATCH(BJ562,ITEM_RES!$A:$A,0)-1,0),0)*BL562+IFERROR(OFFSET(ITEM_RES!$S$1,MATCH(BO562,ITEM_RES!$A:$A,0)-1,0),0)*BQ562)/1000</f>
        <v>2100.1999999999998</v>
      </c>
      <c r="AK562" s="183">
        <f t="shared" ca="1" si="156"/>
        <v>3800</v>
      </c>
      <c r="AM562" s="11">
        <f t="shared" si="157"/>
        <v>90</v>
      </c>
      <c r="AN562" s="10">
        <v>90</v>
      </c>
      <c r="AO562" s="11">
        <f t="shared" si="154"/>
        <v>1050</v>
      </c>
      <c r="AP562" s="10">
        <v>1050</v>
      </c>
      <c r="AQ562" s="11">
        <f t="shared" si="154"/>
        <v>1050</v>
      </c>
      <c r="AR562" s="10">
        <v>1050</v>
      </c>
      <c r="AS562" s="56">
        <f t="shared" si="159"/>
        <v>1</v>
      </c>
      <c r="AU562" s="11">
        <f ca="1">IFERROR(OFFSET(ITEM_RES!$A$1,MATCH(AV562,ITEM_RES!$J:$J,0)-1,0),0)</f>
        <v>211020901</v>
      </c>
      <c r="AV562" s="10" t="s">
        <v>445</v>
      </c>
      <c r="AW562" s="11">
        <v>1</v>
      </c>
      <c r="AZ562" s="11">
        <f ca="1">IFERROR(OFFSET(ITEM_RES!$A$1,MATCH(BA562,ITEM_RES!$J:$J,0)-1,0),0)</f>
        <v>0</v>
      </c>
      <c r="BE562" s="11">
        <f ca="1">IFERROR(OFFSET(ITEM_RES!$A$1,MATCH(BF562,ITEM_RES!$J:$J,0)-1,0),0)</f>
        <v>0</v>
      </c>
      <c r="BJ562" s="11">
        <f ca="1">IFERROR(OFFSET(ITEM_RES!$A$1,MATCH(BK562,ITEM_RES!$J:$J,0)-1,0),0)</f>
        <v>0</v>
      </c>
      <c r="BO562" s="11">
        <f ca="1">IFERROR(OFFSET(ITEM_RES!$A$1,MATCH(BP562,ITEM_RES!$J:$J,0)-1,0),0)</f>
        <v>0</v>
      </c>
    </row>
    <row r="563" spans="1:70" x14ac:dyDescent="0.3">
      <c r="A563" s="14">
        <f t="shared" si="151"/>
        <v>115040019</v>
      </c>
      <c r="B563" s="13">
        <v>11</v>
      </c>
      <c r="C563" s="12">
        <f t="shared" si="152"/>
        <v>5</v>
      </c>
      <c r="D563" s="13">
        <v>4</v>
      </c>
      <c r="E563" s="13">
        <v>0</v>
      </c>
      <c r="F563" s="12">
        <f t="shared" si="153"/>
        <v>19</v>
      </c>
      <c r="H563" s="9">
        <v>5</v>
      </c>
      <c r="I563" s="9">
        <v>19</v>
      </c>
      <c r="K563" s="9" t="s">
        <v>1147</v>
      </c>
      <c r="O563" s="9">
        <v>0</v>
      </c>
      <c r="P563" s="9">
        <v>15</v>
      </c>
      <c r="Q563" s="9" t="s">
        <v>1170</v>
      </c>
      <c r="U563" s="9">
        <v>5555</v>
      </c>
      <c r="X563" s="9">
        <f ca="1">IFERROR(OFFSET(ITEM_RES!$A$5,MATCH(BUILDING!W563,ITEM_RES!$J$5:$J$226,0)-1,0),0)</f>
        <v>0</v>
      </c>
      <c r="AA563" s="9">
        <f ca="1">IFERROR(OFFSET(ITEM_RES!$A$5,MATCH(BUILDING!Z563,ITEM_RES!$J$5:$J$226,0)-1,0),0)</f>
        <v>0</v>
      </c>
      <c r="AC563" s="9" t="s">
        <v>365</v>
      </c>
      <c r="AD563" s="9">
        <v>19</v>
      </c>
      <c r="AF563" s="11">
        <f ca="1">IFERROR(OFFSET(MANOR_LEVEL!$B$1,MATCH(AG563-1,MANOR_LEVEL!$A:$A,0)-1,0),0)</f>
        <v>32640</v>
      </c>
      <c r="AG563" s="56">
        <v>7</v>
      </c>
      <c r="AI563" s="56">
        <f t="shared" ca="1" si="158"/>
        <v>2500</v>
      </c>
      <c r="AJ563" s="10">
        <f ca="1">AO563+AQ563+(IFERROR(OFFSET(ITEM_RES!$S$1,MATCH(AU563,ITEM_RES!$A:$A,0)-1,0),0)*AW563+IFERROR(OFFSET(ITEM_RES!$S$1,MATCH(AZ563,ITEM_RES!$A:$A,0)-1,0),0)*BB563+IFERROR(OFFSET(ITEM_RES!$S$1,MATCH(BE563,ITEM_RES!$A:$A,0)-1,0),0)*BG563+IFERROR(OFFSET(ITEM_RES!$S$1,MATCH(BJ563,ITEM_RES!$A:$A,0)-1,0),0)*BL563+IFERROR(OFFSET(ITEM_RES!$S$1,MATCH(BO563,ITEM_RES!$A:$A,0)-1,0),0)*BQ563)/1000</f>
        <v>2500.1999999999998</v>
      </c>
      <c r="AK563" s="183">
        <f t="shared" ca="1" si="156"/>
        <v>4600</v>
      </c>
      <c r="AM563" s="11">
        <f t="shared" si="157"/>
        <v>95</v>
      </c>
      <c r="AN563" s="10">
        <v>95</v>
      </c>
      <c r="AO563" s="11">
        <f t="shared" si="154"/>
        <v>1250</v>
      </c>
      <c r="AP563" s="10">
        <v>1250</v>
      </c>
      <c r="AQ563" s="11">
        <f t="shared" si="154"/>
        <v>1250</v>
      </c>
      <c r="AR563" s="10">
        <v>1250</v>
      </c>
      <c r="AS563" s="56">
        <f t="shared" si="159"/>
        <v>1</v>
      </c>
      <c r="AU563" s="11">
        <f ca="1">IFERROR(OFFSET(ITEM_RES!$A$1,MATCH(AV563,ITEM_RES!$J:$J,0)-1,0),0)</f>
        <v>211020901</v>
      </c>
      <c r="AV563" s="10" t="s">
        <v>445</v>
      </c>
      <c r="AW563" s="11">
        <v>1</v>
      </c>
      <c r="AZ563" s="11">
        <f ca="1">IFERROR(OFFSET(ITEM_RES!$A$1,MATCH(BA563,ITEM_RES!$J:$J,0)-1,0),0)</f>
        <v>0</v>
      </c>
      <c r="BE563" s="11">
        <f ca="1">IFERROR(OFFSET(ITEM_RES!$A$1,MATCH(BF563,ITEM_RES!$J:$J,0)-1,0),0)</f>
        <v>0</v>
      </c>
      <c r="BJ563" s="11">
        <f ca="1">IFERROR(OFFSET(ITEM_RES!$A$1,MATCH(BK563,ITEM_RES!$J:$J,0)-1,0),0)</f>
        <v>0</v>
      </c>
      <c r="BO563" s="11">
        <f ca="1">IFERROR(OFFSET(ITEM_RES!$A$1,MATCH(BP563,ITEM_RES!$J:$J,0)-1,0),0)</f>
        <v>0</v>
      </c>
    </row>
    <row r="564" spans="1:70" ht="17.25" thickBot="1" x14ac:dyDescent="0.35">
      <c r="A564" s="14">
        <f t="shared" si="151"/>
        <v>115040020</v>
      </c>
      <c r="B564" s="13">
        <v>11</v>
      </c>
      <c r="C564" s="12">
        <f t="shared" si="152"/>
        <v>5</v>
      </c>
      <c r="D564" s="13">
        <v>4</v>
      </c>
      <c r="E564" s="13">
        <v>0</v>
      </c>
      <c r="F564" s="12">
        <f t="shared" si="153"/>
        <v>20</v>
      </c>
      <c r="H564" s="9">
        <v>5</v>
      </c>
      <c r="I564" s="9">
        <v>20</v>
      </c>
      <c r="K564" s="9" t="s">
        <v>1147</v>
      </c>
      <c r="O564" s="9">
        <v>0</v>
      </c>
      <c r="P564" s="9">
        <v>15</v>
      </c>
      <c r="Q564" s="9" t="s">
        <v>1170</v>
      </c>
      <c r="U564" s="9">
        <v>5555</v>
      </c>
      <c r="X564" s="9">
        <f ca="1">IFERROR(OFFSET(ITEM_RES!$A$5,MATCH(BUILDING!W564,ITEM_RES!$J$5:$J$226,0)-1,0),0)</f>
        <v>0</v>
      </c>
      <c r="AA564" s="9">
        <f ca="1">IFERROR(OFFSET(ITEM_RES!$A$5,MATCH(BUILDING!Z564,ITEM_RES!$J$5:$J$226,0)-1,0),0)</f>
        <v>0</v>
      </c>
      <c r="AC564" s="9" t="s">
        <v>365</v>
      </c>
      <c r="AD564" s="9">
        <v>20</v>
      </c>
      <c r="AF564" s="11">
        <f ca="1">IFERROR(OFFSET(MANOR_LEVEL!$B$1,MATCH(AG564-1,MANOR_LEVEL!$A:$A,0)-1,0),0)</f>
        <v>32640</v>
      </c>
      <c r="AG564" s="56">
        <v>7</v>
      </c>
      <c r="AI564" s="56">
        <f t="shared" ca="1" si="158"/>
        <v>3000</v>
      </c>
      <c r="AJ564" s="10">
        <f ca="1">AO564+AQ564+(IFERROR(OFFSET(ITEM_RES!$S$1,MATCH(AU564,ITEM_RES!$A:$A,0)-1,0),0)*AW564+IFERROR(OFFSET(ITEM_RES!$S$1,MATCH(AZ564,ITEM_RES!$A:$A,0)-1,0),0)*BB564+IFERROR(OFFSET(ITEM_RES!$S$1,MATCH(BE564,ITEM_RES!$A:$A,0)-1,0),0)*BG564+IFERROR(OFFSET(ITEM_RES!$S$1,MATCH(BJ564,ITEM_RES!$A:$A,0)-1,0),0)*BL564+IFERROR(OFFSET(ITEM_RES!$S$1,MATCH(BO564,ITEM_RES!$A:$A,0)-1,0),0)*BQ564)/1000</f>
        <v>3000.2</v>
      </c>
      <c r="AK564" s="183">
        <f t="shared" ca="1" si="156"/>
        <v>5500</v>
      </c>
      <c r="AM564" s="11">
        <f t="shared" si="157"/>
        <v>100</v>
      </c>
      <c r="AN564" s="10">
        <v>100</v>
      </c>
      <c r="AO564" s="11">
        <f t="shared" si="154"/>
        <v>1500</v>
      </c>
      <c r="AP564" s="10">
        <v>1500</v>
      </c>
      <c r="AQ564" s="11">
        <f t="shared" si="154"/>
        <v>1500</v>
      </c>
      <c r="AR564" s="10">
        <v>1500</v>
      </c>
      <c r="AS564" s="56">
        <f t="shared" si="159"/>
        <v>1</v>
      </c>
      <c r="AU564" s="11">
        <f ca="1">IFERROR(OFFSET(ITEM_RES!$A$1,MATCH(AV564,ITEM_RES!$J:$J,0)-1,0),0)</f>
        <v>211020901</v>
      </c>
      <c r="AV564" s="10" t="s">
        <v>445</v>
      </c>
      <c r="AW564" s="11">
        <v>1</v>
      </c>
      <c r="AZ564" s="11">
        <f ca="1">IFERROR(OFFSET(ITEM_RES!$A$1,MATCH(BA564,ITEM_RES!$J:$J,0)-1,0),0)</f>
        <v>0</v>
      </c>
      <c r="BE564" s="11">
        <f ca="1">IFERROR(OFFSET(ITEM_RES!$A$1,MATCH(BF564,ITEM_RES!$J:$J,0)-1,0),0)</f>
        <v>0</v>
      </c>
      <c r="BJ564" s="11">
        <f ca="1">IFERROR(OFFSET(ITEM_RES!$A$1,MATCH(BK564,ITEM_RES!$J:$J,0)-1,0),0)</f>
        <v>0</v>
      </c>
      <c r="BO564" s="11">
        <f ca="1">IFERROR(OFFSET(ITEM_RES!$A$1,MATCH(BP564,ITEM_RES!$J:$J,0)-1,0),0)</f>
        <v>0</v>
      </c>
    </row>
    <row r="565" spans="1:70" s="15" customFormat="1" x14ac:dyDescent="0.3">
      <c r="A565" s="21"/>
      <c r="B565" s="20"/>
      <c r="C565" s="19"/>
      <c r="D565" s="20"/>
      <c r="E565" s="20"/>
      <c r="F565" s="19"/>
      <c r="G565" s="79"/>
      <c r="H565" s="16"/>
      <c r="I565" s="16"/>
      <c r="J565" s="79"/>
      <c r="K565" s="16"/>
      <c r="L565" s="16"/>
      <c r="M565" s="16"/>
      <c r="N565" s="16"/>
      <c r="O565" s="16"/>
      <c r="P565" s="16"/>
      <c r="Q565" s="16"/>
      <c r="R565" s="17"/>
      <c r="S565" s="17"/>
      <c r="T565" s="18"/>
      <c r="U565" s="16"/>
      <c r="V565" s="79"/>
      <c r="W565" s="87"/>
      <c r="X565" s="16"/>
      <c r="Y565" s="18"/>
      <c r="Z565" s="87"/>
      <c r="AA565" s="16"/>
      <c r="AB565" s="79"/>
      <c r="AC565" s="16"/>
      <c r="AD565" s="16"/>
      <c r="AE565" s="79"/>
      <c r="AF565" s="18"/>
      <c r="AG565" s="57"/>
      <c r="AH565" s="79"/>
      <c r="AI565" s="57"/>
      <c r="AJ565" s="17"/>
      <c r="AK565" s="185"/>
      <c r="AL565" s="79"/>
      <c r="AM565" s="18"/>
      <c r="AN565" s="17"/>
      <c r="AO565" s="18"/>
      <c r="AP565" s="17"/>
      <c r="AQ565" s="18"/>
      <c r="AR565" s="17"/>
      <c r="AS565" s="57"/>
      <c r="AT565" s="18"/>
      <c r="AU565" s="18"/>
      <c r="AV565" s="17"/>
      <c r="AW565" s="18"/>
      <c r="AX565" s="17"/>
      <c r="AY565" s="18"/>
      <c r="AZ565" s="18"/>
      <c r="BA565" s="17"/>
      <c r="BB565" s="18"/>
      <c r="BC565" s="17"/>
      <c r="BD565" s="18"/>
      <c r="BE565" s="18"/>
      <c r="BF565" s="17"/>
      <c r="BG565" s="18"/>
      <c r="BH565" s="17"/>
      <c r="BI565" s="18"/>
      <c r="BJ565" s="18"/>
      <c r="BK565" s="17"/>
      <c r="BL565" s="18"/>
      <c r="BM565" s="17"/>
      <c r="BN565" s="18"/>
      <c r="BO565" s="18"/>
      <c r="BP565" s="17"/>
      <c r="BQ565" s="18"/>
      <c r="BR56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E105"/>
  <sheetViews>
    <sheetView topLeftCell="E1" zoomScale="90" zoomScaleNormal="90" workbookViewId="0">
      <selection activeCell="P12" sqref="P12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5" bestFit="1" customWidth="1"/>
    <col min="8" max="8" width="10" style="35" bestFit="1" customWidth="1"/>
    <col min="9" max="9" width="5.75" style="75" customWidth="1"/>
    <col min="10" max="10" width="11.875" style="35" bestFit="1" customWidth="1"/>
    <col min="11" max="12" width="11.875" style="35" customWidth="1"/>
    <col min="13" max="14" width="9.875" style="36" bestFit="1" customWidth="1"/>
    <col min="15" max="15" width="39.125" style="34" bestFit="1" customWidth="1"/>
    <col min="16" max="16" width="12.5" style="35" customWidth="1"/>
    <col min="17" max="17" width="24.375" style="35" customWidth="1"/>
    <col min="18" max="18" width="5.75" style="75" customWidth="1"/>
    <col min="19" max="19" width="11.875" style="34" bestFit="1" customWidth="1"/>
    <col min="20" max="20" width="11.875" style="36" bestFit="1" customWidth="1"/>
    <col min="21" max="21" width="5.75" style="75" bestFit="1" customWidth="1"/>
    <col min="22" max="22" width="10.25" style="35" bestFit="1" customWidth="1"/>
    <col min="23" max="23" width="5.75" style="75" bestFit="1" customWidth="1"/>
    <col min="24" max="25" width="10.25" style="35" bestFit="1" customWidth="1"/>
    <col min="26" max="28" width="10.25" style="150" bestFit="1" customWidth="1"/>
    <col min="29" max="29" width="10.25" style="35" bestFit="1" customWidth="1"/>
    <col min="30" max="30" width="10.25" style="150" bestFit="1" customWidth="1"/>
    <col min="31" max="31" width="10.25" style="35" bestFit="1" customWidth="1"/>
    <col min="32" max="16384" width="8.75" style="34"/>
  </cols>
  <sheetData>
    <row r="1" spans="1:31" x14ac:dyDescent="0.15">
      <c r="A1" s="14" t="s">
        <v>59</v>
      </c>
      <c r="G1" s="70"/>
      <c r="H1" s="35" t="s">
        <v>60</v>
      </c>
      <c r="I1" s="70"/>
      <c r="J1" s="35" t="s">
        <v>60</v>
      </c>
      <c r="K1" s="35" t="s">
        <v>829</v>
      </c>
      <c r="L1" s="35" t="s">
        <v>602</v>
      </c>
      <c r="O1" s="34" t="s">
        <v>60</v>
      </c>
      <c r="P1" s="35" t="s">
        <v>60</v>
      </c>
      <c r="Q1" s="35" t="s">
        <v>60</v>
      </c>
      <c r="R1" s="70"/>
      <c r="S1" s="34" t="s">
        <v>60</v>
      </c>
      <c r="U1" s="70"/>
      <c r="V1" s="1" t="s">
        <v>60</v>
      </c>
      <c r="W1" s="70"/>
      <c r="X1" s="1"/>
      <c r="Y1" s="1"/>
      <c r="Z1" s="148"/>
      <c r="AA1" s="148"/>
      <c r="AB1" s="148"/>
      <c r="AC1" s="1"/>
      <c r="AD1" s="148"/>
      <c r="AE1" s="1"/>
    </row>
    <row r="2" spans="1:31" x14ac:dyDescent="0.15">
      <c r="A2" s="14" t="s">
        <v>61</v>
      </c>
      <c r="G2" s="70"/>
      <c r="H2" s="35" t="s">
        <v>61</v>
      </c>
      <c r="I2" s="70"/>
      <c r="J2" s="35" t="s">
        <v>62</v>
      </c>
      <c r="K2" s="35" t="s">
        <v>828</v>
      </c>
      <c r="L2" s="35" t="s">
        <v>941</v>
      </c>
      <c r="O2" s="34" t="s">
        <v>62</v>
      </c>
      <c r="P2" s="35" t="s">
        <v>62</v>
      </c>
      <c r="Q2" s="35" t="s">
        <v>62</v>
      </c>
      <c r="R2" s="70"/>
      <c r="S2" s="34" t="s">
        <v>867</v>
      </c>
      <c r="U2" s="70"/>
      <c r="V2" s="1" t="s">
        <v>61</v>
      </c>
      <c r="W2" s="70"/>
      <c r="X2" s="1"/>
      <c r="Y2" s="1"/>
      <c r="Z2" s="148"/>
      <c r="AA2" s="148"/>
      <c r="AB2" s="148"/>
      <c r="AC2" s="1"/>
      <c r="AD2" s="148"/>
      <c r="AE2" s="1"/>
    </row>
    <row r="3" spans="1:31" x14ac:dyDescent="0.15">
      <c r="A3" s="14" t="s">
        <v>217</v>
      </c>
      <c r="G3" s="70"/>
      <c r="H3" s="35" t="s">
        <v>343</v>
      </c>
      <c r="I3" s="70"/>
      <c r="J3" s="35" t="s">
        <v>338</v>
      </c>
      <c r="K3" s="35" t="s">
        <v>827</v>
      </c>
      <c r="L3" s="35" t="s">
        <v>937</v>
      </c>
      <c r="O3" s="34" t="s">
        <v>322</v>
      </c>
      <c r="P3" s="35" t="s">
        <v>347</v>
      </c>
      <c r="Q3" s="35" t="s">
        <v>324</v>
      </c>
      <c r="R3" s="70"/>
      <c r="S3" s="34" t="s">
        <v>421</v>
      </c>
      <c r="U3" s="70"/>
      <c r="V3" s="1" t="s">
        <v>336</v>
      </c>
      <c r="W3" s="70"/>
      <c r="X3" s="1"/>
      <c r="Y3" s="1"/>
      <c r="Z3" s="148"/>
      <c r="AA3" s="148"/>
      <c r="AB3" s="148"/>
      <c r="AC3" s="1"/>
      <c r="AD3" s="148"/>
      <c r="AE3" s="1"/>
    </row>
    <row r="4" spans="1:31" s="80" customFormat="1" ht="83.25" thickBot="1" x14ac:dyDescent="0.2">
      <c r="A4" s="80" t="s">
        <v>337</v>
      </c>
      <c r="B4" s="81" t="s">
        <v>414</v>
      </c>
      <c r="C4" s="81" t="s">
        <v>608</v>
      </c>
      <c r="D4" s="81" t="s">
        <v>609</v>
      </c>
      <c r="E4" s="81" t="s">
        <v>415</v>
      </c>
      <c r="F4" s="81" t="s">
        <v>416</v>
      </c>
      <c r="G4" s="71" t="s">
        <v>355</v>
      </c>
      <c r="H4" s="82" t="s">
        <v>344</v>
      </c>
      <c r="I4" s="71" t="s">
        <v>354</v>
      </c>
      <c r="J4" s="82" t="s">
        <v>412</v>
      </c>
      <c r="K4" s="82" t="s">
        <v>870</v>
      </c>
      <c r="L4" s="82" t="s">
        <v>940</v>
      </c>
      <c r="M4" s="83" t="s">
        <v>410</v>
      </c>
      <c r="N4" s="83" t="s">
        <v>411</v>
      </c>
      <c r="O4" s="80" t="s">
        <v>323</v>
      </c>
      <c r="P4" s="82" t="s">
        <v>348</v>
      </c>
      <c r="Q4" s="82" t="s">
        <v>325</v>
      </c>
      <c r="R4" s="71" t="s">
        <v>942</v>
      </c>
      <c r="S4" s="80" t="s">
        <v>938</v>
      </c>
      <c r="T4" s="81" t="s">
        <v>939</v>
      </c>
      <c r="U4" s="71" t="s">
        <v>346</v>
      </c>
      <c r="V4" s="2" t="s">
        <v>413</v>
      </c>
      <c r="W4" s="71" t="s">
        <v>911</v>
      </c>
      <c r="X4" s="2" t="s">
        <v>912</v>
      </c>
      <c r="Y4" s="2" t="s">
        <v>910</v>
      </c>
      <c r="Z4" s="149" t="s">
        <v>915</v>
      </c>
      <c r="AA4" s="149" t="s">
        <v>916</v>
      </c>
      <c r="AB4" s="149" t="s">
        <v>919</v>
      </c>
      <c r="AC4" s="2" t="s">
        <v>920</v>
      </c>
      <c r="AD4" s="149" t="s">
        <v>917</v>
      </c>
      <c r="AE4" s="2" t="s">
        <v>918</v>
      </c>
    </row>
    <row r="5" spans="1:31" s="37" customFormat="1" x14ac:dyDescent="0.15">
      <c r="A5" s="37">
        <f t="shared" ref="A5:A10" si="0">B5*10000000+C5*1000000+D5*10000+E5*100+F5</f>
        <v>211010101</v>
      </c>
      <c r="B5" s="39">
        <v>21</v>
      </c>
      <c r="C5" s="116">
        <v>1</v>
      </c>
      <c r="D5" s="120">
        <v>1</v>
      </c>
      <c r="E5" s="39">
        <v>1</v>
      </c>
      <c r="F5" s="39">
        <f>H5</f>
        <v>1</v>
      </c>
      <c r="G5" s="72"/>
      <c r="H5" s="38">
        <v>1</v>
      </c>
      <c r="I5" s="73"/>
      <c r="J5" s="38" t="s">
        <v>383</v>
      </c>
      <c r="K5" s="38" t="s">
        <v>830</v>
      </c>
      <c r="L5" s="38">
        <v>1</v>
      </c>
      <c r="M5" s="39" t="s">
        <v>409</v>
      </c>
      <c r="N5" s="39" t="s">
        <v>406</v>
      </c>
      <c r="O5" s="37" t="s">
        <v>808</v>
      </c>
      <c r="P5" s="38"/>
      <c r="Q5" s="38" t="s">
        <v>726</v>
      </c>
      <c r="R5" s="73"/>
      <c r="S5" s="37">
        <f>T5*1000</f>
        <v>10</v>
      </c>
      <c r="T5" s="39">
        <v>0.01</v>
      </c>
      <c r="U5" s="73"/>
      <c r="V5" s="38">
        <v>1</v>
      </c>
      <c r="W5" s="73"/>
      <c r="X5" s="38">
        <v>1</v>
      </c>
      <c r="Y5" s="38"/>
      <c r="Z5" s="150">
        <v>10</v>
      </c>
      <c r="AA5" s="150"/>
      <c r="AB5" s="150">
        <v>1</v>
      </c>
      <c r="AC5" s="38">
        <v>50</v>
      </c>
      <c r="AD5" s="150">
        <v>1</v>
      </c>
      <c r="AE5" s="38">
        <v>50</v>
      </c>
    </row>
    <row r="6" spans="1:31" s="37" customFormat="1" x14ac:dyDescent="0.15">
      <c r="A6" s="37">
        <f t="shared" si="0"/>
        <v>211010201</v>
      </c>
      <c r="B6" s="39">
        <v>21</v>
      </c>
      <c r="C6" s="116">
        <v>1</v>
      </c>
      <c r="D6" s="120">
        <v>1</v>
      </c>
      <c r="E6" s="39">
        <v>2</v>
      </c>
      <c r="F6" s="39">
        <f t="shared" ref="F6:F19" si="1">H6</f>
        <v>1</v>
      </c>
      <c r="G6" s="73"/>
      <c r="H6" s="62">
        <v>1</v>
      </c>
      <c r="I6" s="76"/>
      <c r="J6" s="62" t="s">
        <v>384</v>
      </c>
      <c r="K6" s="62" t="s">
        <v>831</v>
      </c>
      <c r="L6" s="62">
        <v>2</v>
      </c>
      <c r="M6" s="39" t="s">
        <v>409</v>
      </c>
      <c r="N6" s="39" t="s">
        <v>406</v>
      </c>
      <c r="O6" s="69" t="s">
        <v>809</v>
      </c>
      <c r="P6" s="62"/>
      <c r="Q6" s="38" t="s">
        <v>727</v>
      </c>
      <c r="R6" s="76"/>
      <c r="S6" s="37">
        <f t="shared" ref="S6:S56" si="2">T6*1000</f>
        <v>20</v>
      </c>
      <c r="T6" s="152">
        <v>0.02</v>
      </c>
      <c r="U6" s="76"/>
      <c r="V6" s="62">
        <v>1</v>
      </c>
      <c r="W6" s="76"/>
      <c r="X6" s="62">
        <v>1</v>
      </c>
      <c r="Y6" s="62"/>
      <c r="Z6" s="151">
        <v>1</v>
      </c>
      <c r="AA6" s="151">
        <v>1</v>
      </c>
      <c r="AB6" s="151">
        <v>1</v>
      </c>
      <c r="AC6" s="62">
        <v>80</v>
      </c>
      <c r="AD6" s="151">
        <v>1</v>
      </c>
      <c r="AE6" s="62">
        <v>80</v>
      </c>
    </row>
    <row r="7" spans="1:31" s="37" customFormat="1" x14ac:dyDescent="0.15">
      <c r="A7" s="37">
        <f t="shared" si="0"/>
        <v>211010301</v>
      </c>
      <c r="B7" s="39">
        <v>21</v>
      </c>
      <c r="C7" s="116">
        <v>1</v>
      </c>
      <c r="D7" s="120">
        <v>1</v>
      </c>
      <c r="E7" s="39">
        <v>3</v>
      </c>
      <c r="F7" s="39">
        <f t="shared" si="1"/>
        <v>1</v>
      </c>
      <c r="G7" s="73"/>
      <c r="H7" s="62">
        <v>1</v>
      </c>
      <c r="I7" s="76"/>
      <c r="J7" s="62" t="s">
        <v>385</v>
      </c>
      <c r="K7" s="62" t="s">
        <v>832</v>
      </c>
      <c r="L7" s="62">
        <v>3</v>
      </c>
      <c r="M7" s="39" t="s">
        <v>409</v>
      </c>
      <c r="N7" s="39" t="s">
        <v>406</v>
      </c>
      <c r="O7" s="69" t="s">
        <v>810</v>
      </c>
      <c r="P7" s="62"/>
      <c r="Q7" s="38" t="s">
        <v>728</v>
      </c>
      <c r="R7" s="76"/>
      <c r="S7" s="37">
        <f t="shared" si="2"/>
        <v>20</v>
      </c>
      <c r="T7" s="152">
        <v>0.02</v>
      </c>
      <c r="U7" s="76"/>
      <c r="V7" s="62">
        <v>1</v>
      </c>
      <c r="W7" s="76"/>
      <c r="X7" s="62">
        <v>1</v>
      </c>
      <c r="Y7" s="62"/>
      <c r="Z7" s="151">
        <v>1</v>
      </c>
      <c r="AA7" s="151">
        <v>1</v>
      </c>
      <c r="AB7" s="151">
        <v>1</v>
      </c>
      <c r="AC7" s="62">
        <v>100</v>
      </c>
      <c r="AD7" s="151">
        <v>1</v>
      </c>
      <c r="AE7" s="62">
        <v>80</v>
      </c>
    </row>
    <row r="8" spans="1:31" s="37" customFormat="1" x14ac:dyDescent="0.15">
      <c r="A8" s="37">
        <f t="shared" si="0"/>
        <v>211020101</v>
      </c>
      <c r="B8" s="39">
        <v>21</v>
      </c>
      <c r="C8" s="116">
        <v>1</v>
      </c>
      <c r="D8" s="119">
        <v>2</v>
      </c>
      <c r="E8" s="39">
        <v>1</v>
      </c>
      <c r="F8" s="39">
        <f>H8</f>
        <v>1</v>
      </c>
      <c r="G8" s="73"/>
      <c r="H8" s="62">
        <v>1</v>
      </c>
      <c r="I8" s="76"/>
      <c r="J8" s="62" t="s">
        <v>450</v>
      </c>
      <c r="K8" s="62" t="s">
        <v>833</v>
      </c>
      <c r="L8" s="62">
        <v>4</v>
      </c>
      <c r="M8" s="39" t="s">
        <v>441</v>
      </c>
      <c r="N8" s="39" t="s">
        <v>451</v>
      </c>
      <c r="O8" s="69" t="s">
        <v>811</v>
      </c>
      <c r="P8" s="62"/>
      <c r="Q8" s="38" t="s">
        <v>729</v>
      </c>
      <c r="R8" s="76"/>
      <c r="S8" s="37">
        <f t="shared" si="2"/>
        <v>20</v>
      </c>
      <c r="T8" s="152">
        <v>0.02</v>
      </c>
      <c r="U8" s="76"/>
      <c r="V8" s="62">
        <v>1</v>
      </c>
      <c r="W8" s="76"/>
      <c r="X8" s="62">
        <v>0</v>
      </c>
      <c r="Y8" s="62"/>
      <c r="Z8" s="151"/>
      <c r="AA8" s="151"/>
      <c r="AB8" s="151"/>
      <c r="AC8" s="62"/>
      <c r="AD8" s="151"/>
      <c r="AE8" s="62"/>
    </row>
    <row r="9" spans="1:31" s="37" customFormat="1" x14ac:dyDescent="0.15">
      <c r="A9" s="37">
        <f t="shared" si="0"/>
        <v>211010501</v>
      </c>
      <c r="B9" s="39">
        <v>21</v>
      </c>
      <c r="C9" s="116">
        <v>1</v>
      </c>
      <c r="D9" s="120">
        <v>1</v>
      </c>
      <c r="E9" s="39">
        <v>5</v>
      </c>
      <c r="F9" s="39">
        <f t="shared" si="1"/>
        <v>1</v>
      </c>
      <c r="G9" s="73"/>
      <c r="H9" s="62">
        <v>1</v>
      </c>
      <c r="I9" s="76"/>
      <c r="J9" s="35" t="s">
        <v>386</v>
      </c>
      <c r="K9" s="35" t="s">
        <v>834</v>
      </c>
      <c r="L9" s="38">
        <v>5</v>
      </c>
      <c r="M9" s="39" t="s">
        <v>409</v>
      </c>
      <c r="N9" s="39" t="s">
        <v>406</v>
      </c>
      <c r="O9" s="69" t="s">
        <v>812</v>
      </c>
      <c r="P9" s="62"/>
      <c r="Q9" s="38" t="s">
        <v>730</v>
      </c>
      <c r="R9" s="76"/>
      <c r="S9" s="37">
        <f t="shared" si="2"/>
        <v>10</v>
      </c>
      <c r="T9" s="39">
        <v>0.01</v>
      </c>
      <c r="U9" s="76"/>
      <c r="V9" s="62">
        <v>1</v>
      </c>
      <c r="W9" s="76"/>
      <c r="X9" s="62">
        <v>1</v>
      </c>
      <c r="Y9" s="62"/>
      <c r="Z9" s="151"/>
      <c r="AA9" s="151">
        <v>50</v>
      </c>
      <c r="AB9" s="151"/>
      <c r="AC9" s="62"/>
      <c r="AD9" s="151"/>
      <c r="AE9" s="62"/>
    </row>
    <row r="10" spans="1:31" x14ac:dyDescent="0.15">
      <c r="A10" s="34">
        <f t="shared" si="0"/>
        <v>211020201</v>
      </c>
      <c r="B10" s="36">
        <v>21</v>
      </c>
      <c r="C10" s="116">
        <v>1</v>
      </c>
      <c r="D10" s="119">
        <v>2</v>
      </c>
      <c r="E10" s="36">
        <v>2</v>
      </c>
      <c r="F10" s="39">
        <f t="shared" si="1"/>
        <v>1</v>
      </c>
      <c r="G10" s="73"/>
      <c r="H10" s="38">
        <v>1</v>
      </c>
      <c r="J10" s="35" t="s">
        <v>531</v>
      </c>
      <c r="K10" s="35" t="s">
        <v>835</v>
      </c>
      <c r="L10" s="62">
        <v>6</v>
      </c>
      <c r="M10" s="39" t="s">
        <v>409</v>
      </c>
      <c r="N10" s="39" t="s">
        <v>406</v>
      </c>
      <c r="O10" s="34" t="s">
        <v>813</v>
      </c>
      <c r="Q10" s="38" t="s">
        <v>731</v>
      </c>
      <c r="S10" s="37">
        <f t="shared" si="2"/>
        <v>10</v>
      </c>
      <c r="T10" s="152">
        <v>0.01</v>
      </c>
      <c r="V10" s="35">
        <v>1</v>
      </c>
      <c r="X10" s="35">
        <v>0</v>
      </c>
    </row>
    <row r="11" spans="1:31" x14ac:dyDescent="0.15">
      <c r="A11" s="34">
        <f>B11*10000000+C11*1000000+D11*10000+E11*100+F11</f>
        <v>211020401</v>
      </c>
      <c r="B11" s="36">
        <v>21</v>
      </c>
      <c r="C11" s="116">
        <v>1</v>
      </c>
      <c r="D11" s="119">
        <v>2</v>
      </c>
      <c r="E11" s="36">
        <v>4</v>
      </c>
      <c r="F11" s="39">
        <f>H11</f>
        <v>1</v>
      </c>
      <c r="G11" s="73"/>
      <c r="H11" s="62">
        <v>1</v>
      </c>
      <c r="J11" s="35" t="s">
        <v>449</v>
      </c>
      <c r="K11" s="35" t="s">
        <v>836</v>
      </c>
      <c r="L11" s="62">
        <v>7</v>
      </c>
      <c r="M11" s="39" t="s">
        <v>406</v>
      </c>
      <c r="N11" s="39"/>
      <c r="O11" s="34" t="s">
        <v>814</v>
      </c>
      <c r="Q11" s="38" t="s">
        <v>732</v>
      </c>
      <c r="S11" s="37">
        <f t="shared" si="2"/>
        <v>10</v>
      </c>
      <c r="T11" s="152">
        <v>0.01</v>
      </c>
      <c r="V11" s="35">
        <v>1</v>
      </c>
      <c r="X11" s="35">
        <v>0</v>
      </c>
    </row>
    <row r="12" spans="1:31" x14ac:dyDescent="0.15">
      <c r="A12" s="34">
        <f t="shared" ref="A12:A56" si="3">B12*10000000+C12*1000000+D12*10000+E12*100+F12</f>
        <v>211021001</v>
      </c>
      <c r="B12" s="36">
        <v>21</v>
      </c>
      <c r="C12" s="117">
        <v>1</v>
      </c>
      <c r="D12" s="122">
        <v>2</v>
      </c>
      <c r="E12" s="36">
        <v>10</v>
      </c>
      <c r="F12" s="39">
        <f t="shared" si="1"/>
        <v>1</v>
      </c>
      <c r="G12" s="73"/>
      <c r="H12" s="62">
        <v>1</v>
      </c>
      <c r="J12" s="62" t="s">
        <v>405</v>
      </c>
      <c r="K12" s="62" t="s">
        <v>837</v>
      </c>
      <c r="L12" s="62">
        <v>8</v>
      </c>
      <c r="M12" s="39" t="s">
        <v>406</v>
      </c>
      <c r="O12" s="34" t="s">
        <v>815</v>
      </c>
      <c r="Q12" s="38" t="s">
        <v>913</v>
      </c>
      <c r="S12" s="37">
        <f t="shared" si="2"/>
        <v>5</v>
      </c>
      <c r="T12" s="152">
        <v>5.0000000000000001E-3</v>
      </c>
      <c r="V12" s="35">
        <v>1</v>
      </c>
      <c r="X12" s="35">
        <v>1</v>
      </c>
      <c r="Z12" s="150">
        <v>10</v>
      </c>
      <c r="AA12" s="150">
        <v>10</v>
      </c>
      <c r="AB12" s="150">
        <v>-10</v>
      </c>
    </row>
    <row r="13" spans="1:31" x14ac:dyDescent="0.15">
      <c r="A13" s="34">
        <f t="shared" si="3"/>
        <v>211020601</v>
      </c>
      <c r="B13" s="36">
        <v>21</v>
      </c>
      <c r="C13" s="117">
        <v>1</v>
      </c>
      <c r="D13" s="119">
        <v>2</v>
      </c>
      <c r="E13" s="36">
        <v>6</v>
      </c>
      <c r="F13" s="39">
        <f t="shared" si="1"/>
        <v>1</v>
      </c>
      <c r="G13" s="73"/>
      <c r="H13" s="38">
        <v>1</v>
      </c>
      <c r="J13" s="35" t="s">
        <v>390</v>
      </c>
      <c r="K13" s="35" t="s">
        <v>838</v>
      </c>
      <c r="L13" s="38">
        <v>9</v>
      </c>
      <c r="M13" s="36" t="s">
        <v>406</v>
      </c>
      <c r="O13" s="34" t="s">
        <v>816</v>
      </c>
      <c r="Q13" s="38" t="s">
        <v>733</v>
      </c>
      <c r="S13" s="37">
        <f t="shared" si="2"/>
        <v>100</v>
      </c>
      <c r="T13" s="152">
        <v>0.1</v>
      </c>
      <c r="V13" s="35">
        <v>1</v>
      </c>
      <c r="X13" s="35">
        <v>0</v>
      </c>
    </row>
    <row r="14" spans="1:31" x14ac:dyDescent="0.15">
      <c r="A14" s="34">
        <f t="shared" si="3"/>
        <v>211020801</v>
      </c>
      <c r="B14" s="36">
        <v>21</v>
      </c>
      <c r="C14" s="117">
        <v>1</v>
      </c>
      <c r="D14" s="122">
        <v>2</v>
      </c>
      <c r="E14" s="36">
        <v>8</v>
      </c>
      <c r="F14" s="39">
        <f t="shared" si="1"/>
        <v>1</v>
      </c>
      <c r="G14" s="73"/>
      <c r="H14" s="62">
        <v>1</v>
      </c>
      <c r="J14" s="35" t="s">
        <v>392</v>
      </c>
      <c r="K14" s="35" t="s">
        <v>839</v>
      </c>
      <c r="L14" s="62">
        <v>10</v>
      </c>
      <c r="M14" s="36" t="s">
        <v>406</v>
      </c>
      <c r="O14" s="34" t="s">
        <v>817</v>
      </c>
      <c r="Q14" s="38" t="s">
        <v>734</v>
      </c>
      <c r="S14" s="37">
        <f t="shared" si="2"/>
        <v>100</v>
      </c>
      <c r="T14" s="39">
        <v>0.1</v>
      </c>
      <c r="V14" s="35">
        <v>1</v>
      </c>
      <c r="X14" s="35">
        <v>0</v>
      </c>
    </row>
    <row r="15" spans="1:31" x14ac:dyDescent="0.15">
      <c r="A15" s="34">
        <f t="shared" ref="A15" si="4">B15*10000000+C15*1000000+D15*10000+E15*100+F15</f>
        <v>211021201</v>
      </c>
      <c r="B15" s="36">
        <v>21</v>
      </c>
      <c r="C15" s="117">
        <v>1</v>
      </c>
      <c r="D15" s="119">
        <v>2</v>
      </c>
      <c r="E15" s="36">
        <v>12</v>
      </c>
      <c r="F15" s="39">
        <f t="shared" ref="F15" si="5">H15</f>
        <v>1</v>
      </c>
      <c r="G15" s="73"/>
      <c r="H15" s="62">
        <v>1</v>
      </c>
      <c r="J15" s="35" t="s">
        <v>499</v>
      </c>
      <c r="K15" s="35" t="s">
        <v>840</v>
      </c>
      <c r="L15" s="62">
        <v>15</v>
      </c>
      <c r="M15" s="36" t="s">
        <v>500</v>
      </c>
      <c r="N15" s="36" t="s">
        <v>501</v>
      </c>
      <c r="O15" s="34" t="s">
        <v>1174</v>
      </c>
      <c r="Q15" s="38" t="s">
        <v>735</v>
      </c>
      <c r="S15" s="37">
        <f t="shared" si="2"/>
        <v>1000</v>
      </c>
      <c r="T15" s="152">
        <v>1</v>
      </c>
      <c r="V15" s="35">
        <v>1</v>
      </c>
      <c r="X15" s="35">
        <v>1</v>
      </c>
      <c r="Y15" s="35">
        <v>50</v>
      </c>
    </row>
    <row r="16" spans="1:31" x14ac:dyDescent="0.15">
      <c r="A16" s="34">
        <f t="shared" si="3"/>
        <v>213010101</v>
      </c>
      <c r="B16" s="36">
        <v>21</v>
      </c>
      <c r="C16" s="36">
        <v>3</v>
      </c>
      <c r="D16" s="121">
        <v>1</v>
      </c>
      <c r="E16" s="36">
        <v>1</v>
      </c>
      <c r="F16" s="39">
        <f t="shared" si="1"/>
        <v>1</v>
      </c>
      <c r="G16" s="73"/>
      <c r="H16" s="62">
        <v>1</v>
      </c>
      <c r="J16" s="35" t="s">
        <v>395</v>
      </c>
      <c r="K16" s="35" t="s">
        <v>841</v>
      </c>
      <c r="L16" s="35">
        <v>10</v>
      </c>
      <c r="M16" s="36" t="s">
        <v>406</v>
      </c>
      <c r="O16" s="34" t="s">
        <v>818</v>
      </c>
      <c r="Q16" s="38" t="s">
        <v>736</v>
      </c>
      <c r="S16" s="37">
        <f t="shared" si="2"/>
        <v>100000</v>
      </c>
      <c r="T16" s="152">
        <v>100</v>
      </c>
      <c r="V16" s="35">
        <v>1</v>
      </c>
      <c r="X16" s="35">
        <v>0</v>
      </c>
    </row>
    <row r="17" spans="1:24" x14ac:dyDescent="0.15">
      <c r="A17" s="34">
        <f t="shared" si="3"/>
        <v>213010201</v>
      </c>
      <c r="B17" s="36">
        <v>21</v>
      </c>
      <c r="C17" s="36">
        <v>3</v>
      </c>
      <c r="D17" s="121">
        <v>1</v>
      </c>
      <c r="E17" s="36">
        <v>2</v>
      </c>
      <c r="F17" s="39">
        <f t="shared" si="1"/>
        <v>1</v>
      </c>
      <c r="G17" s="73"/>
      <c r="H17" s="38">
        <v>1</v>
      </c>
      <c r="J17" s="35" t="s">
        <v>396</v>
      </c>
      <c r="K17" s="35" t="s">
        <v>842</v>
      </c>
      <c r="L17" s="35">
        <v>5</v>
      </c>
      <c r="M17" s="36" t="s">
        <v>406</v>
      </c>
      <c r="O17" s="34" t="s">
        <v>819</v>
      </c>
      <c r="Q17" s="38" t="s">
        <v>737</v>
      </c>
      <c r="S17" s="37">
        <f t="shared" si="2"/>
        <v>100000</v>
      </c>
      <c r="T17" s="39">
        <v>100</v>
      </c>
      <c r="V17" s="35">
        <v>1</v>
      </c>
      <c r="X17" s="35">
        <v>0</v>
      </c>
    </row>
    <row r="18" spans="1:24" x14ac:dyDescent="0.15">
      <c r="A18" s="34">
        <f t="shared" si="3"/>
        <v>213010301</v>
      </c>
      <c r="B18" s="36">
        <v>21</v>
      </c>
      <c r="C18" s="36">
        <v>3</v>
      </c>
      <c r="D18" s="121">
        <v>1</v>
      </c>
      <c r="E18" s="36">
        <v>3</v>
      </c>
      <c r="F18" s="39">
        <f t="shared" si="1"/>
        <v>1</v>
      </c>
      <c r="G18" s="73"/>
      <c r="H18" s="62">
        <v>1</v>
      </c>
      <c r="J18" s="35" t="s">
        <v>397</v>
      </c>
      <c r="K18" s="35" t="s">
        <v>843</v>
      </c>
      <c r="L18" s="35">
        <v>6</v>
      </c>
      <c r="M18" s="36" t="s">
        <v>406</v>
      </c>
      <c r="O18" s="34" t="s">
        <v>819</v>
      </c>
      <c r="Q18" s="38" t="s">
        <v>738</v>
      </c>
      <c r="S18" s="37">
        <f t="shared" si="2"/>
        <v>100000</v>
      </c>
      <c r="T18" s="39">
        <v>100</v>
      </c>
      <c r="V18" s="35">
        <v>1</v>
      </c>
      <c r="X18" s="35">
        <v>0</v>
      </c>
    </row>
    <row r="19" spans="1:24" x14ac:dyDescent="0.15">
      <c r="A19" s="34">
        <f t="shared" si="3"/>
        <v>213010401</v>
      </c>
      <c r="B19" s="36">
        <v>21</v>
      </c>
      <c r="C19" s="36">
        <v>3</v>
      </c>
      <c r="D19" s="121">
        <v>1</v>
      </c>
      <c r="E19" s="36">
        <v>4</v>
      </c>
      <c r="F19" s="39">
        <f t="shared" si="1"/>
        <v>1</v>
      </c>
      <c r="G19" s="73"/>
      <c r="H19" s="62">
        <v>1</v>
      </c>
      <c r="J19" s="35" t="s">
        <v>398</v>
      </c>
      <c r="K19" s="35" t="s">
        <v>844</v>
      </c>
      <c r="L19" s="35">
        <v>7</v>
      </c>
      <c r="M19" s="36" t="s">
        <v>406</v>
      </c>
      <c r="O19" s="34" t="s">
        <v>819</v>
      </c>
      <c r="Q19" s="38" t="s">
        <v>739</v>
      </c>
      <c r="S19" s="37">
        <f t="shared" si="2"/>
        <v>100000</v>
      </c>
      <c r="T19" s="39">
        <v>100</v>
      </c>
      <c r="V19" s="35">
        <v>1</v>
      </c>
      <c r="X19" s="35">
        <v>0</v>
      </c>
    </row>
    <row r="20" spans="1:24" x14ac:dyDescent="0.15">
      <c r="A20" s="34">
        <f t="shared" si="3"/>
        <v>213010501</v>
      </c>
      <c r="B20" s="36">
        <v>21</v>
      </c>
      <c r="C20" s="36">
        <v>3</v>
      </c>
      <c r="D20" s="121">
        <v>1</v>
      </c>
      <c r="E20" s="36">
        <v>5</v>
      </c>
      <c r="F20" s="39">
        <f>H20</f>
        <v>1</v>
      </c>
      <c r="G20" s="73"/>
      <c r="H20" s="62">
        <v>1</v>
      </c>
      <c r="J20" s="35" t="s">
        <v>453</v>
      </c>
      <c r="K20" s="35" t="s">
        <v>845</v>
      </c>
      <c r="L20" s="35">
        <v>8</v>
      </c>
      <c r="M20" s="36" t="s">
        <v>451</v>
      </c>
      <c r="O20" s="34" t="s">
        <v>818</v>
      </c>
      <c r="Q20" s="38" t="s">
        <v>740</v>
      </c>
      <c r="S20" s="37">
        <f t="shared" si="2"/>
        <v>100000</v>
      </c>
      <c r="T20" s="39">
        <v>100</v>
      </c>
      <c r="V20" s="35">
        <v>1</v>
      </c>
      <c r="X20" s="35">
        <v>0</v>
      </c>
    </row>
    <row r="21" spans="1:24" x14ac:dyDescent="0.15">
      <c r="A21" s="34">
        <f t="shared" si="3"/>
        <v>213010601</v>
      </c>
      <c r="B21" s="36">
        <v>21</v>
      </c>
      <c r="C21" s="36">
        <v>3</v>
      </c>
      <c r="D21" s="121">
        <v>1</v>
      </c>
      <c r="E21" s="36">
        <v>6</v>
      </c>
      <c r="F21" s="39">
        <f t="shared" ref="F21:F56" si="6">H21</f>
        <v>1</v>
      </c>
      <c r="G21" s="73"/>
      <c r="H21" s="62">
        <v>1</v>
      </c>
      <c r="J21" s="35" t="s">
        <v>454</v>
      </c>
      <c r="K21" s="35" t="s">
        <v>846</v>
      </c>
      <c r="L21" s="35">
        <v>9</v>
      </c>
      <c r="M21" s="36" t="s">
        <v>451</v>
      </c>
      <c r="O21" s="34" t="s">
        <v>818</v>
      </c>
      <c r="Q21" s="38" t="s">
        <v>741</v>
      </c>
      <c r="S21" s="37">
        <f t="shared" si="2"/>
        <v>100000</v>
      </c>
      <c r="T21" s="39">
        <v>100</v>
      </c>
      <c r="V21" s="35">
        <v>1</v>
      </c>
      <c r="X21" s="35">
        <v>0</v>
      </c>
    </row>
    <row r="22" spans="1:24" x14ac:dyDescent="0.15">
      <c r="A22" s="34">
        <f t="shared" si="3"/>
        <v>213010701</v>
      </c>
      <c r="B22" s="36">
        <v>21</v>
      </c>
      <c r="C22" s="36">
        <v>3</v>
      </c>
      <c r="D22" s="121">
        <v>1</v>
      </c>
      <c r="E22" s="36">
        <v>7</v>
      </c>
      <c r="F22" s="39">
        <f t="shared" si="6"/>
        <v>1</v>
      </c>
      <c r="G22" s="73"/>
      <c r="H22" s="62">
        <v>1</v>
      </c>
      <c r="J22" s="35" t="s">
        <v>455</v>
      </c>
      <c r="K22" s="35" t="s">
        <v>847</v>
      </c>
      <c r="L22" s="35">
        <v>10</v>
      </c>
      <c r="M22" s="36" t="s">
        <v>451</v>
      </c>
      <c r="O22" s="34" t="s">
        <v>818</v>
      </c>
      <c r="Q22" s="38" t="s">
        <v>742</v>
      </c>
      <c r="S22" s="37">
        <f t="shared" si="2"/>
        <v>500000</v>
      </c>
      <c r="T22" s="39">
        <v>500</v>
      </c>
      <c r="V22" s="35">
        <v>1</v>
      </c>
      <c r="X22" s="35">
        <v>0</v>
      </c>
    </row>
    <row r="23" spans="1:24" x14ac:dyDescent="0.15">
      <c r="A23" s="34">
        <f t="shared" si="3"/>
        <v>213010801</v>
      </c>
      <c r="B23" s="36">
        <v>21</v>
      </c>
      <c r="C23" s="36">
        <v>3</v>
      </c>
      <c r="D23" s="121">
        <v>1</v>
      </c>
      <c r="E23" s="36">
        <v>8</v>
      </c>
      <c r="F23" s="39">
        <f t="shared" si="6"/>
        <v>1</v>
      </c>
      <c r="G23" s="73"/>
      <c r="H23" s="62">
        <v>1</v>
      </c>
      <c r="J23" s="35" t="s">
        <v>462</v>
      </c>
      <c r="K23" s="35" t="s">
        <v>848</v>
      </c>
      <c r="L23" s="35">
        <v>11</v>
      </c>
      <c r="M23" s="36" t="s">
        <v>451</v>
      </c>
      <c r="O23" s="34" t="s">
        <v>818</v>
      </c>
      <c r="Q23" s="38" t="s">
        <v>743</v>
      </c>
      <c r="S23" s="37">
        <f t="shared" si="2"/>
        <v>100000</v>
      </c>
      <c r="T23" s="39">
        <v>100</v>
      </c>
      <c r="V23" s="35">
        <v>1</v>
      </c>
      <c r="X23" s="35">
        <v>0</v>
      </c>
    </row>
    <row r="24" spans="1:24" x14ac:dyDescent="0.15">
      <c r="A24" s="34">
        <f t="shared" si="3"/>
        <v>213010901</v>
      </c>
      <c r="B24" s="36">
        <v>21</v>
      </c>
      <c r="C24" s="36">
        <v>3</v>
      </c>
      <c r="D24" s="121">
        <v>1</v>
      </c>
      <c r="E24" s="36">
        <v>9</v>
      </c>
      <c r="F24" s="39">
        <f t="shared" si="6"/>
        <v>1</v>
      </c>
      <c r="G24" s="73"/>
      <c r="H24" s="62">
        <v>1</v>
      </c>
      <c r="J24" s="35" t="s">
        <v>456</v>
      </c>
      <c r="K24" s="35" t="s">
        <v>849</v>
      </c>
      <c r="L24" s="35">
        <v>12</v>
      </c>
      <c r="M24" s="36" t="s">
        <v>451</v>
      </c>
      <c r="O24" s="34" t="s">
        <v>818</v>
      </c>
      <c r="Q24" s="38" t="s">
        <v>745</v>
      </c>
      <c r="S24" s="37">
        <f t="shared" si="2"/>
        <v>100000</v>
      </c>
      <c r="T24" s="39">
        <v>100</v>
      </c>
      <c r="V24" s="35">
        <v>1</v>
      </c>
      <c r="X24" s="35">
        <v>0</v>
      </c>
    </row>
    <row r="25" spans="1:24" x14ac:dyDescent="0.15">
      <c r="A25" s="34">
        <f t="shared" si="3"/>
        <v>213011001</v>
      </c>
      <c r="B25" s="36">
        <v>21</v>
      </c>
      <c r="C25" s="36">
        <v>3</v>
      </c>
      <c r="D25" s="121">
        <v>1</v>
      </c>
      <c r="E25" s="36">
        <v>10</v>
      </c>
      <c r="F25" s="39">
        <f t="shared" si="6"/>
        <v>1</v>
      </c>
      <c r="G25" s="73"/>
      <c r="H25" s="62">
        <v>1</v>
      </c>
      <c r="J25" s="35" t="s">
        <v>457</v>
      </c>
      <c r="K25" s="35" t="s">
        <v>850</v>
      </c>
      <c r="L25" s="35">
        <v>13</v>
      </c>
      <c r="M25" s="36" t="s">
        <v>451</v>
      </c>
      <c r="O25" s="34" t="s">
        <v>818</v>
      </c>
      <c r="Q25" s="38" t="s">
        <v>744</v>
      </c>
      <c r="S25" s="37">
        <f t="shared" si="2"/>
        <v>500000</v>
      </c>
      <c r="T25" s="39">
        <v>500</v>
      </c>
      <c r="V25" s="35">
        <v>1</v>
      </c>
      <c r="X25" s="35">
        <v>0</v>
      </c>
    </row>
    <row r="26" spans="1:24" x14ac:dyDescent="0.15">
      <c r="A26" s="34">
        <f t="shared" si="3"/>
        <v>213011101</v>
      </c>
      <c r="B26" s="36">
        <v>21</v>
      </c>
      <c r="C26" s="36">
        <v>3</v>
      </c>
      <c r="D26" s="121">
        <v>1</v>
      </c>
      <c r="E26" s="36">
        <v>11</v>
      </c>
      <c r="F26" s="39">
        <f t="shared" si="6"/>
        <v>1</v>
      </c>
      <c r="G26" s="73"/>
      <c r="H26" s="62">
        <v>1</v>
      </c>
      <c r="J26" s="35" t="s">
        <v>458</v>
      </c>
      <c r="K26" s="35" t="s">
        <v>851</v>
      </c>
      <c r="L26" s="35">
        <v>14</v>
      </c>
      <c r="M26" s="36" t="s">
        <v>451</v>
      </c>
      <c r="O26" s="34" t="s">
        <v>818</v>
      </c>
      <c r="Q26" s="38" t="s">
        <v>746</v>
      </c>
      <c r="S26" s="37">
        <f t="shared" si="2"/>
        <v>1000000</v>
      </c>
      <c r="T26" s="39">
        <v>1000</v>
      </c>
      <c r="V26" s="35">
        <v>1</v>
      </c>
      <c r="X26" s="35">
        <v>0</v>
      </c>
    </row>
    <row r="27" spans="1:24" x14ac:dyDescent="0.15">
      <c r="A27" s="34">
        <f t="shared" si="3"/>
        <v>213011201</v>
      </c>
      <c r="B27" s="36">
        <v>21</v>
      </c>
      <c r="C27" s="36">
        <v>3</v>
      </c>
      <c r="D27" s="121">
        <v>1</v>
      </c>
      <c r="E27" s="36">
        <v>12</v>
      </c>
      <c r="F27" s="39">
        <f t="shared" si="6"/>
        <v>1</v>
      </c>
      <c r="G27" s="73"/>
      <c r="H27" s="62">
        <v>1</v>
      </c>
      <c r="J27" s="35" t="s">
        <v>468</v>
      </c>
      <c r="K27" s="35" t="s">
        <v>852</v>
      </c>
      <c r="L27" s="35">
        <v>15</v>
      </c>
      <c r="M27" s="36" t="s">
        <v>451</v>
      </c>
      <c r="O27" s="34" t="s">
        <v>818</v>
      </c>
      <c r="Q27" s="38" t="s">
        <v>747</v>
      </c>
      <c r="S27" s="37">
        <f t="shared" si="2"/>
        <v>300000</v>
      </c>
      <c r="T27" s="39">
        <v>300</v>
      </c>
      <c r="V27" s="35">
        <v>1</v>
      </c>
      <c r="X27" s="35">
        <v>0</v>
      </c>
    </row>
    <row r="28" spans="1:24" x14ac:dyDescent="0.15">
      <c r="A28" s="34">
        <f t="shared" si="3"/>
        <v>213011301</v>
      </c>
      <c r="B28" s="36">
        <v>21</v>
      </c>
      <c r="C28" s="36">
        <v>3</v>
      </c>
      <c r="D28" s="121">
        <v>1</v>
      </c>
      <c r="E28" s="36">
        <v>13</v>
      </c>
      <c r="F28" s="39">
        <f t="shared" si="6"/>
        <v>1</v>
      </c>
      <c r="G28" s="73"/>
      <c r="H28" s="62">
        <v>1</v>
      </c>
      <c r="J28" s="35" t="s">
        <v>472</v>
      </c>
      <c r="K28" s="35" t="s">
        <v>853</v>
      </c>
      <c r="L28" s="35">
        <v>15</v>
      </c>
      <c r="M28" s="36" t="s">
        <v>451</v>
      </c>
      <c r="O28" s="34" t="s">
        <v>818</v>
      </c>
      <c r="Q28" s="38" t="s">
        <v>748</v>
      </c>
      <c r="S28" s="37">
        <f t="shared" si="2"/>
        <v>500000</v>
      </c>
      <c r="T28" s="39">
        <v>500</v>
      </c>
      <c r="V28" s="35">
        <v>1</v>
      </c>
      <c r="X28" s="35">
        <v>0</v>
      </c>
    </row>
    <row r="29" spans="1:24" x14ac:dyDescent="0.15">
      <c r="A29" s="34">
        <f t="shared" si="3"/>
        <v>213011401</v>
      </c>
      <c r="B29" s="36">
        <v>21</v>
      </c>
      <c r="C29" s="36">
        <v>3</v>
      </c>
      <c r="D29" s="121">
        <v>1</v>
      </c>
      <c r="E29" s="36">
        <v>14</v>
      </c>
      <c r="F29" s="39">
        <f t="shared" si="6"/>
        <v>1</v>
      </c>
      <c r="G29" s="73"/>
      <c r="H29" s="62">
        <v>1</v>
      </c>
      <c r="J29" s="35" t="s">
        <v>473</v>
      </c>
      <c r="K29" s="35" t="s">
        <v>854</v>
      </c>
      <c r="L29" s="35">
        <v>15</v>
      </c>
      <c r="M29" s="36" t="s">
        <v>451</v>
      </c>
      <c r="O29" s="34" t="s">
        <v>818</v>
      </c>
      <c r="Q29" s="38" t="s">
        <v>749</v>
      </c>
      <c r="S29" s="37">
        <f t="shared" si="2"/>
        <v>100000</v>
      </c>
      <c r="T29" s="39">
        <v>100</v>
      </c>
      <c r="V29" s="35">
        <v>1</v>
      </c>
      <c r="X29" s="35">
        <v>0</v>
      </c>
    </row>
    <row r="30" spans="1:24" x14ac:dyDescent="0.15">
      <c r="A30" s="34">
        <f t="shared" si="3"/>
        <v>213011501</v>
      </c>
      <c r="B30" s="36">
        <v>21</v>
      </c>
      <c r="C30" s="36">
        <v>3</v>
      </c>
      <c r="D30" s="121">
        <v>1</v>
      </c>
      <c r="E30" s="36">
        <v>15</v>
      </c>
      <c r="F30" s="39">
        <f t="shared" si="6"/>
        <v>1</v>
      </c>
      <c r="G30" s="73"/>
      <c r="H30" s="62">
        <v>1</v>
      </c>
      <c r="J30" s="35" t="s">
        <v>477</v>
      </c>
      <c r="K30" s="35" t="s">
        <v>855</v>
      </c>
      <c r="L30" s="35">
        <v>15</v>
      </c>
      <c r="M30" s="36" t="s">
        <v>451</v>
      </c>
      <c r="O30" s="34" t="s">
        <v>818</v>
      </c>
      <c r="Q30" s="38" t="s">
        <v>750</v>
      </c>
      <c r="S30" s="37">
        <f t="shared" si="2"/>
        <v>100000</v>
      </c>
      <c r="T30" s="39">
        <v>100</v>
      </c>
      <c r="V30" s="35">
        <v>1</v>
      </c>
      <c r="X30" s="35">
        <v>0</v>
      </c>
    </row>
    <row r="31" spans="1:24" x14ac:dyDescent="0.15">
      <c r="A31" s="34">
        <f t="shared" si="3"/>
        <v>213011601</v>
      </c>
      <c r="B31" s="36">
        <v>21</v>
      </c>
      <c r="C31" s="36">
        <v>3</v>
      </c>
      <c r="D31" s="121">
        <v>1</v>
      </c>
      <c r="E31" s="36">
        <v>16</v>
      </c>
      <c r="F31" s="39">
        <f t="shared" si="6"/>
        <v>1</v>
      </c>
      <c r="G31" s="73"/>
      <c r="H31" s="62">
        <v>1</v>
      </c>
      <c r="J31" s="35" t="s">
        <v>483</v>
      </c>
      <c r="K31" s="35" t="s">
        <v>856</v>
      </c>
      <c r="L31" s="35">
        <v>15</v>
      </c>
      <c r="M31" s="36" t="s">
        <v>451</v>
      </c>
      <c r="O31" s="34" t="s">
        <v>818</v>
      </c>
      <c r="Q31" s="38" t="s">
        <v>751</v>
      </c>
      <c r="S31" s="37">
        <f t="shared" si="2"/>
        <v>500000</v>
      </c>
      <c r="T31" s="39">
        <v>500</v>
      </c>
      <c r="V31" s="35">
        <v>1</v>
      </c>
      <c r="X31" s="35">
        <v>0</v>
      </c>
    </row>
    <row r="32" spans="1:24" x14ac:dyDescent="0.15">
      <c r="A32" s="34">
        <f t="shared" si="3"/>
        <v>213011701</v>
      </c>
      <c r="B32" s="36">
        <v>21</v>
      </c>
      <c r="C32" s="36">
        <v>3</v>
      </c>
      <c r="D32" s="121">
        <v>1</v>
      </c>
      <c r="E32" s="36">
        <v>17</v>
      </c>
      <c r="F32" s="39">
        <f t="shared" si="6"/>
        <v>1</v>
      </c>
      <c r="G32" s="73"/>
      <c r="H32" s="62">
        <v>1</v>
      </c>
      <c r="J32" s="35" t="s">
        <v>479</v>
      </c>
      <c r="K32" s="35" t="s">
        <v>857</v>
      </c>
      <c r="L32" s="35">
        <v>15</v>
      </c>
      <c r="M32" s="36" t="s">
        <v>451</v>
      </c>
      <c r="O32" s="34" t="s">
        <v>818</v>
      </c>
      <c r="Q32" s="38" t="s">
        <v>752</v>
      </c>
      <c r="S32" s="37">
        <f t="shared" si="2"/>
        <v>1000000</v>
      </c>
      <c r="T32" s="39">
        <v>1000</v>
      </c>
      <c r="V32" s="35">
        <v>1</v>
      </c>
      <c r="X32" s="35">
        <v>0</v>
      </c>
    </row>
    <row r="33" spans="1:24" x14ac:dyDescent="0.15">
      <c r="A33" s="34">
        <f t="shared" si="3"/>
        <v>213011801</v>
      </c>
      <c r="B33" s="36">
        <v>21</v>
      </c>
      <c r="C33" s="36">
        <v>3</v>
      </c>
      <c r="D33" s="121">
        <v>1</v>
      </c>
      <c r="E33" s="36">
        <v>18</v>
      </c>
      <c r="F33" s="39">
        <f t="shared" si="6"/>
        <v>1</v>
      </c>
      <c r="G33" s="73"/>
      <c r="H33" s="62">
        <v>1</v>
      </c>
      <c r="J33" s="35" t="s">
        <v>480</v>
      </c>
      <c r="K33" s="35" t="s">
        <v>858</v>
      </c>
      <c r="L33" s="35">
        <v>15</v>
      </c>
      <c r="M33" s="36" t="s">
        <v>451</v>
      </c>
      <c r="O33" s="34" t="s">
        <v>818</v>
      </c>
      <c r="Q33" s="38" t="s">
        <v>753</v>
      </c>
      <c r="R33" s="88" t="s">
        <v>502</v>
      </c>
      <c r="S33" s="37">
        <f t="shared" si="2"/>
        <v>1000000</v>
      </c>
      <c r="T33" s="39">
        <v>1000</v>
      </c>
      <c r="V33" s="35">
        <v>1</v>
      </c>
      <c r="X33" s="35">
        <v>0</v>
      </c>
    </row>
    <row r="34" spans="1:24" x14ac:dyDescent="0.15">
      <c r="A34" s="34">
        <f t="shared" si="3"/>
        <v>213011901</v>
      </c>
      <c r="B34" s="36">
        <v>21</v>
      </c>
      <c r="C34" s="36">
        <v>3</v>
      </c>
      <c r="D34" s="121">
        <v>1</v>
      </c>
      <c r="E34" s="36">
        <v>19</v>
      </c>
      <c r="F34" s="39">
        <f t="shared" si="6"/>
        <v>1</v>
      </c>
      <c r="G34" s="73"/>
      <c r="H34" s="62">
        <v>1</v>
      </c>
      <c r="J34" s="35" t="s">
        <v>481</v>
      </c>
      <c r="K34" s="35" t="s">
        <v>859</v>
      </c>
      <c r="L34" s="35">
        <v>15</v>
      </c>
      <c r="M34" s="36" t="s">
        <v>451</v>
      </c>
      <c r="O34" s="34" t="s">
        <v>818</v>
      </c>
      <c r="Q34" s="38" t="s">
        <v>754</v>
      </c>
      <c r="S34" s="37">
        <f t="shared" si="2"/>
        <v>1000000</v>
      </c>
      <c r="T34" s="39">
        <v>1000</v>
      </c>
      <c r="V34" s="35">
        <v>1</v>
      </c>
      <c r="X34" s="35">
        <v>0</v>
      </c>
    </row>
    <row r="35" spans="1:24" x14ac:dyDescent="0.15">
      <c r="A35" s="34">
        <f t="shared" si="3"/>
        <v>212010101</v>
      </c>
      <c r="B35" s="36">
        <v>21</v>
      </c>
      <c r="C35" s="118">
        <v>2</v>
      </c>
      <c r="D35" s="121">
        <v>1</v>
      </c>
      <c r="E35" s="36">
        <v>1</v>
      </c>
      <c r="F35" s="39">
        <f t="shared" si="6"/>
        <v>1</v>
      </c>
      <c r="G35" s="73"/>
      <c r="H35" s="62">
        <v>1</v>
      </c>
      <c r="J35" s="35" t="s">
        <v>489</v>
      </c>
      <c r="K35" s="35" t="s">
        <v>921</v>
      </c>
      <c r="L35" s="35">
        <v>5</v>
      </c>
      <c r="M35" s="36" t="s">
        <v>498</v>
      </c>
      <c r="O35" s="34" t="s">
        <v>1148</v>
      </c>
      <c r="Q35" s="38" t="s">
        <v>755</v>
      </c>
      <c r="S35" s="37">
        <f t="shared" si="2"/>
        <v>10000</v>
      </c>
      <c r="T35" s="39">
        <v>10</v>
      </c>
      <c r="V35" s="35">
        <v>1</v>
      </c>
      <c r="X35" s="35">
        <v>0</v>
      </c>
    </row>
    <row r="36" spans="1:24" x14ac:dyDescent="0.15">
      <c r="A36" s="34">
        <f t="shared" si="3"/>
        <v>212010201</v>
      </c>
      <c r="B36" s="36">
        <v>21</v>
      </c>
      <c r="C36" s="118">
        <v>2</v>
      </c>
      <c r="D36" s="121">
        <v>1</v>
      </c>
      <c r="E36" s="36">
        <v>2</v>
      </c>
      <c r="F36" s="39">
        <f t="shared" si="6"/>
        <v>1</v>
      </c>
      <c r="G36" s="73"/>
      <c r="H36" s="62">
        <v>1</v>
      </c>
      <c r="J36" s="35" t="s">
        <v>490</v>
      </c>
      <c r="K36" s="35" t="s">
        <v>922</v>
      </c>
      <c r="L36" s="35">
        <v>6</v>
      </c>
      <c r="M36" s="36" t="s">
        <v>498</v>
      </c>
      <c r="O36" s="34" t="s">
        <v>1149</v>
      </c>
      <c r="Q36" s="38" t="s">
        <v>755</v>
      </c>
      <c r="S36" s="37">
        <f t="shared" si="2"/>
        <v>100000</v>
      </c>
      <c r="T36" s="39">
        <v>100</v>
      </c>
      <c r="V36" s="35">
        <v>1</v>
      </c>
      <c r="X36" s="35">
        <v>0</v>
      </c>
    </row>
    <row r="37" spans="1:24" x14ac:dyDescent="0.15">
      <c r="A37" s="34">
        <f t="shared" si="3"/>
        <v>212010301</v>
      </c>
      <c r="B37" s="36">
        <v>21</v>
      </c>
      <c r="C37" s="118">
        <v>2</v>
      </c>
      <c r="D37" s="121">
        <v>1</v>
      </c>
      <c r="E37" s="36">
        <v>3</v>
      </c>
      <c r="F37" s="39">
        <f t="shared" si="6"/>
        <v>1</v>
      </c>
      <c r="G37" s="73"/>
      <c r="H37" s="62">
        <v>1</v>
      </c>
      <c r="J37" s="35" t="s">
        <v>491</v>
      </c>
      <c r="K37" s="35" t="s">
        <v>923</v>
      </c>
      <c r="L37" s="35">
        <v>7</v>
      </c>
      <c r="M37" s="36" t="s">
        <v>498</v>
      </c>
      <c r="O37" s="34" t="s">
        <v>1150</v>
      </c>
      <c r="Q37" s="38" t="s">
        <v>755</v>
      </c>
      <c r="S37" s="37">
        <f t="shared" si="2"/>
        <v>1000000</v>
      </c>
      <c r="T37" s="39">
        <v>1000</v>
      </c>
      <c r="V37" s="35">
        <v>1</v>
      </c>
      <c r="X37" s="35">
        <v>0</v>
      </c>
    </row>
    <row r="38" spans="1:24" x14ac:dyDescent="0.15">
      <c r="A38" s="34">
        <f t="shared" si="3"/>
        <v>212020101</v>
      </c>
      <c r="B38" s="36">
        <v>21</v>
      </c>
      <c r="C38" s="118">
        <v>2</v>
      </c>
      <c r="D38" s="122">
        <v>2</v>
      </c>
      <c r="E38" s="36">
        <v>1</v>
      </c>
      <c r="F38" s="39">
        <f t="shared" si="6"/>
        <v>1</v>
      </c>
      <c r="G38" s="73"/>
      <c r="H38" s="62">
        <v>1</v>
      </c>
      <c r="J38" s="35" t="s">
        <v>399</v>
      </c>
      <c r="K38" s="35" t="s">
        <v>924</v>
      </c>
      <c r="L38" s="35">
        <v>8</v>
      </c>
      <c r="M38" s="36" t="s">
        <v>406</v>
      </c>
      <c r="O38" s="34" t="s">
        <v>1151</v>
      </c>
      <c r="Q38" s="38" t="s">
        <v>756</v>
      </c>
      <c r="S38" s="37">
        <f t="shared" si="2"/>
        <v>10000</v>
      </c>
      <c r="T38" s="39">
        <v>10</v>
      </c>
      <c r="V38" s="35">
        <v>1</v>
      </c>
      <c r="X38" s="35">
        <v>0</v>
      </c>
    </row>
    <row r="39" spans="1:24" x14ac:dyDescent="0.15">
      <c r="A39" s="34">
        <f t="shared" si="3"/>
        <v>212020201</v>
      </c>
      <c r="B39" s="36">
        <v>21</v>
      </c>
      <c r="C39" s="118">
        <v>2</v>
      </c>
      <c r="D39" s="122">
        <v>2</v>
      </c>
      <c r="E39" s="36">
        <v>2</v>
      </c>
      <c r="F39" s="39">
        <f t="shared" si="6"/>
        <v>1</v>
      </c>
      <c r="G39" s="73"/>
      <c r="H39" s="38">
        <v>1</v>
      </c>
      <c r="J39" s="35" t="s">
        <v>400</v>
      </c>
      <c r="K39" s="35" t="s">
        <v>925</v>
      </c>
      <c r="L39" s="35">
        <v>9</v>
      </c>
      <c r="M39" s="36" t="s">
        <v>406</v>
      </c>
      <c r="O39" s="34" t="s">
        <v>1152</v>
      </c>
      <c r="Q39" s="38" t="s">
        <v>757</v>
      </c>
      <c r="S39" s="37">
        <f t="shared" si="2"/>
        <v>100000</v>
      </c>
      <c r="T39" s="39">
        <v>100</v>
      </c>
      <c r="V39" s="35">
        <v>1</v>
      </c>
      <c r="X39" s="35">
        <v>0</v>
      </c>
    </row>
    <row r="40" spans="1:24" x14ac:dyDescent="0.15">
      <c r="A40" s="34">
        <f t="shared" si="3"/>
        <v>212020301</v>
      </c>
      <c r="B40" s="36">
        <v>21</v>
      </c>
      <c r="C40" s="118">
        <v>2</v>
      </c>
      <c r="D40" s="122">
        <v>2</v>
      </c>
      <c r="E40" s="36">
        <v>3</v>
      </c>
      <c r="F40" s="39">
        <f t="shared" si="6"/>
        <v>1</v>
      </c>
      <c r="G40" s="73"/>
      <c r="H40" s="62">
        <v>1</v>
      </c>
      <c r="J40" s="35" t="s">
        <v>401</v>
      </c>
      <c r="K40" s="35" t="s">
        <v>926</v>
      </c>
      <c r="L40" s="35">
        <v>10</v>
      </c>
      <c r="M40" s="36" t="s">
        <v>406</v>
      </c>
      <c r="O40" s="34" t="s">
        <v>1153</v>
      </c>
      <c r="Q40" s="38" t="s">
        <v>758</v>
      </c>
      <c r="S40" s="37">
        <f t="shared" si="2"/>
        <v>1000000</v>
      </c>
      <c r="T40" s="39">
        <v>1000</v>
      </c>
      <c r="V40" s="35">
        <v>1</v>
      </c>
      <c r="X40" s="35">
        <v>0</v>
      </c>
    </row>
    <row r="41" spans="1:24" x14ac:dyDescent="0.15">
      <c r="A41" s="34">
        <f t="shared" si="3"/>
        <v>212030101</v>
      </c>
      <c r="B41" s="36">
        <v>21</v>
      </c>
      <c r="C41" s="118">
        <v>2</v>
      </c>
      <c r="D41" s="123">
        <v>3</v>
      </c>
      <c r="E41" s="36">
        <v>1</v>
      </c>
      <c r="F41" s="39">
        <f t="shared" si="6"/>
        <v>1</v>
      </c>
      <c r="G41" s="73"/>
      <c r="H41" s="62">
        <v>1</v>
      </c>
      <c r="J41" s="35" t="s">
        <v>402</v>
      </c>
      <c r="K41" s="35" t="s">
        <v>927</v>
      </c>
      <c r="L41" s="35">
        <v>11</v>
      </c>
      <c r="M41" s="36" t="s">
        <v>406</v>
      </c>
      <c r="O41" s="34" t="s">
        <v>1154</v>
      </c>
      <c r="Q41" s="38" t="s">
        <v>759</v>
      </c>
      <c r="S41" s="37">
        <f t="shared" si="2"/>
        <v>10000</v>
      </c>
      <c r="T41" s="39">
        <v>10</v>
      </c>
      <c r="V41" s="35">
        <v>1</v>
      </c>
      <c r="X41" s="35">
        <v>0</v>
      </c>
    </row>
    <row r="42" spans="1:24" x14ac:dyDescent="0.15">
      <c r="A42" s="34">
        <f t="shared" si="3"/>
        <v>212030201</v>
      </c>
      <c r="B42" s="36">
        <v>21</v>
      </c>
      <c r="C42" s="118">
        <v>2</v>
      </c>
      <c r="D42" s="123">
        <v>3</v>
      </c>
      <c r="E42" s="36">
        <v>2</v>
      </c>
      <c r="F42" s="39">
        <f t="shared" si="6"/>
        <v>1</v>
      </c>
      <c r="G42" s="73"/>
      <c r="H42" s="62">
        <v>1</v>
      </c>
      <c r="J42" s="35" t="s">
        <v>403</v>
      </c>
      <c r="K42" s="35" t="s">
        <v>928</v>
      </c>
      <c r="L42" s="35">
        <v>12</v>
      </c>
      <c r="M42" s="36" t="s">
        <v>406</v>
      </c>
      <c r="O42" s="34" t="s">
        <v>1155</v>
      </c>
      <c r="Q42" s="38" t="s">
        <v>760</v>
      </c>
      <c r="S42" s="37">
        <f t="shared" si="2"/>
        <v>100000</v>
      </c>
      <c r="T42" s="39">
        <v>100</v>
      </c>
      <c r="V42" s="35">
        <v>1</v>
      </c>
      <c r="X42" s="35">
        <v>0</v>
      </c>
    </row>
    <row r="43" spans="1:24" x14ac:dyDescent="0.15">
      <c r="A43" s="34">
        <f t="shared" si="3"/>
        <v>212030301</v>
      </c>
      <c r="B43" s="36">
        <v>21</v>
      </c>
      <c r="C43" s="118">
        <v>2</v>
      </c>
      <c r="D43" s="123">
        <v>3</v>
      </c>
      <c r="E43" s="36">
        <v>3</v>
      </c>
      <c r="F43" s="39">
        <f t="shared" si="6"/>
        <v>1</v>
      </c>
      <c r="G43" s="73"/>
      <c r="H43" s="38">
        <v>1</v>
      </c>
      <c r="J43" s="35" t="s">
        <v>404</v>
      </c>
      <c r="K43" s="35" t="s">
        <v>929</v>
      </c>
      <c r="L43" s="35">
        <v>13</v>
      </c>
      <c r="M43" s="36" t="s">
        <v>406</v>
      </c>
      <c r="O43" s="34" t="s">
        <v>1156</v>
      </c>
      <c r="Q43" s="38" t="s">
        <v>761</v>
      </c>
      <c r="S43" s="37">
        <f t="shared" si="2"/>
        <v>1000000</v>
      </c>
      <c r="T43" s="39">
        <v>1000</v>
      </c>
      <c r="V43" s="35">
        <v>1</v>
      </c>
      <c r="X43" s="35">
        <v>0</v>
      </c>
    </row>
    <row r="44" spans="1:24" x14ac:dyDescent="0.15">
      <c r="A44" s="34">
        <f t="shared" ref="A44:A46" si="7">B44*10000000+C44*1000000+D44*10000+E44*100+F44</f>
        <v>212040101</v>
      </c>
      <c r="B44" s="36">
        <v>21</v>
      </c>
      <c r="C44" s="118">
        <v>2</v>
      </c>
      <c r="D44" s="124">
        <v>4</v>
      </c>
      <c r="E44" s="36">
        <v>1</v>
      </c>
      <c r="F44" s="39">
        <f t="shared" si="6"/>
        <v>1</v>
      </c>
      <c r="G44" s="73"/>
      <c r="H44" s="62">
        <v>1</v>
      </c>
      <c r="J44" s="35" t="s">
        <v>492</v>
      </c>
      <c r="K44" s="35" t="s">
        <v>930</v>
      </c>
      <c r="L44" s="35">
        <v>14</v>
      </c>
      <c r="M44" s="36" t="s">
        <v>406</v>
      </c>
      <c r="O44" s="34" t="s">
        <v>1157</v>
      </c>
      <c r="Q44" s="38" t="s">
        <v>762</v>
      </c>
      <c r="S44" s="37">
        <f t="shared" si="2"/>
        <v>10000</v>
      </c>
      <c r="T44" s="39">
        <v>10</v>
      </c>
      <c r="V44" s="35">
        <v>1</v>
      </c>
      <c r="X44" s="35">
        <v>0</v>
      </c>
    </row>
    <row r="45" spans="1:24" x14ac:dyDescent="0.15">
      <c r="A45" s="34">
        <f t="shared" si="7"/>
        <v>212040201</v>
      </c>
      <c r="B45" s="36">
        <v>21</v>
      </c>
      <c r="C45" s="118">
        <v>2</v>
      </c>
      <c r="D45" s="124">
        <v>4</v>
      </c>
      <c r="E45" s="36">
        <v>2</v>
      </c>
      <c r="F45" s="39">
        <f t="shared" si="6"/>
        <v>1</v>
      </c>
      <c r="G45" s="73"/>
      <c r="H45" s="62">
        <v>1</v>
      </c>
      <c r="J45" s="35" t="s">
        <v>493</v>
      </c>
      <c r="K45" s="35" t="s">
        <v>931</v>
      </c>
      <c r="L45" s="35">
        <v>15</v>
      </c>
      <c r="M45" s="36" t="s">
        <v>406</v>
      </c>
      <c r="O45" s="34" t="s">
        <v>1158</v>
      </c>
      <c r="Q45" s="38" t="s">
        <v>763</v>
      </c>
      <c r="S45" s="37">
        <f t="shared" si="2"/>
        <v>100000</v>
      </c>
      <c r="T45" s="39">
        <v>100</v>
      </c>
      <c r="V45" s="35">
        <v>1</v>
      </c>
      <c r="X45" s="35">
        <v>0</v>
      </c>
    </row>
    <row r="46" spans="1:24" x14ac:dyDescent="0.15">
      <c r="A46" s="34">
        <f t="shared" si="7"/>
        <v>212040301</v>
      </c>
      <c r="B46" s="36">
        <v>21</v>
      </c>
      <c r="C46" s="118">
        <v>2</v>
      </c>
      <c r="D46" s="124">
        <v>4</v>
      </c>
      <c r="E46" s="36">
        <v>3</v>
      </c>
      <c r="F46" s="39">
        <f t="shared" si="6"/>
        <v>1</v>
      </c>
      <c r="G46" s="73"/>
      <c r="H46" s="38">
        <v>1</v>
      </c>
      <c r="J46" s="35" t="s">
        <v>494</v>
      </c>
      <c r="K46" s="35" t="s">
        <v>932</v>
      </c>
      <c r="L46" s="35">
        <v>16</v>
      </c>
      <c r="M46" s="36" t="s">
        <v>406</v>
      </c>
      <c r="O46" s="34" t="s">
        <v>1159</v>
      </c>
      <c r="Q46" s="38" t="s">
        <v>764</v>
      </c>
      <c r="S46" s="37">
        <f t="shared" si="2"/>
        <v>1000000</v>
      </c>
      <c r="T46" s="39">
        <v>1000</v>
      </c>
      <c r="V46" s="35">
        <v>1</v>
      </c>
      <c r="X46" s="35">
        <v>0</v>
      </c>
    </row>
    <row r="47" spans="1:24" x14ac:dyDescent="0.15">
      <c r="A47" s="34">
        <f t="shared" ref="A47:A49" si="8">B47*10000000+C47*1000000+D47*10000+E47*100+F47</f>
        <v>212050101</v>
      </c>
      <c r="B47" s="36">
        <v>21</v>
      </c>
      <c r="C47" s="118">
        <v>2</v>
      </c>
      <c r="D47" s="125">
        <v>5</v>
      </c>
      <c r="E47" s="36">
        <v>1</v>
      </c>
      <c r="F47" s="39">
        <f t="shared" si="6"/>
        <v>1</v>
      </c>
      <c r="G47" s="73"/>
      <c r="H47" s="62">
        <v>1</v>
      </c>
      <c r="J47" s="35" t="s">
        <v>495</v>
      </c>
      <c r="K47" s="35" t="s">
        <v>933</v>
      </c>
      <c r="L47" s="35">
        <v>17</v>
      </c>
      <c r="M47" s="36" t="s">
        <v>406</v>
      </c>
      <c r="O47" s="34" t="s">
        <v>1160</v>
      </c>
      <c r="Q47" s="38" t="s">
        <v>765</v>
      </c>
      <c r="S47" s="37">
        <f t="shared" si="2"/>
        <v>10000</v>
      </c>
      <c r="T47" s="39">
        <v>10</v>
      </c>
      <c r="V47" s="35">
        <v>1</v>
      </c>
      <c r="X47" s="35">
        <v>0</v>
      </c>
    </row>
    <row r="48" spans="1:24" x14ac:dyDescent="0.15">
      <c r="A48" s="34">
        <f t="shared" si="8"/>
        <v>212050201</v>
      </c>
      <c r="B48" s="36">
        <v>21</v>
      </c>
      <c r="C48" s="118">
        <v>2</v>
      </c>
      <c r="D48" s="125">
        <v>5</v>
      </c>
      <c r="E48" s="36">
        <v>2</v>
      </c>
      <c r="F48" s="39">
        <f t="shared" si="6"/>
        <v>1</v>
      </c>
      <c r="G48" s="73"/>
      <c r="H48" s="62">
        <v>1</v>
      </c>
      <c r="J48" s="35" t="s">
        <v>496</v>
      </c>
      <c r="K48" s="35" t="s">
        <v>934</v>
      </c>
      <c r="L48" s="35">
        <v>18</v>
      </c>
      <c r="M48" s="36" t="s">
        <v>406</v>
      </c>
      <c r="O48" s="34" t="s">
        <v>1161</v>
      </c>
      <c r="Q48" s="38" t="s">
        <v>766</v>
      </c>
      <c r="S48" s="37">
        <f t="shared" si="2"/>
        <v>100000</v>
      </c>
      <c r="T48" s="39">
        <v>100</v>
      </c>
      <c r="V48" s="35">
        <v>1</v>
      </c>
      <c r="X48" s="35">
        <v>0</v>
      </c>
    </row>
    <row r="49" spans="1:28" x14ac:dyDescent="0.15">
      <c r="A49" s="34">
        <f t="shared" si="8"/>
        <v>212050301</v>
      </c>
      <c r="B49" s="36">
        <v>21</v>
      </c>
      <c r="C49" s="118">
        <v>2</v>
      </c>
      <c r="D49" s="125">
        <v>5</v>
      </c>
      <c r="E49" s="36">
        <v>3</v>
      </c>
      <c r="F49" s="39">
        <f t="shared" si="6"/>
        <v>1</v>
      </c>
      <c r="G49" s="73"/>
      <c r="H49" s="38">
        <v>1</v>
      </c>
      <c r="J49" s="35" t="s">
        <v>497</v>
      </c>
      <c r="K49" s="35" t="s">
        <v>935</v>
      </c>
      <c r="L49" s="35">
        <v>19</v>
      </c>
      <c r="M49" s="36" t="s">
        <v>406</v>
      </c>
      <c r="O49" s="34" t="s">
        <v>1162</v>
      </c>
      <c r="Q49" s="38" t="s">
        <v>767</v>
      </c>
      <c r="S49" s="37">
        <f t="shared" si="2"/>
        <v>1000000</v>
      </c>
      <c r="T49" s="39">
        <v>1000</v>
      </c>
      <c r="V49" s="35">
        <v>1</v>
      </c>
      <c r="X49" s="35">
        <v>0</v>
      </c>
    </row>
    <row r="50" spans="1:28" x14ac:dyDescent="0.15">
      <c r="A50" s="34">
        <f t="shared" si="3"/>
        <v>211010601</v>
      </c>
      <c r="B50" s="36">
        <v>21</v>
      </c>
      <c r="C50" s="117">
        <v>1</v>
      </c>
      <c r="D50" s="121">
        <v>1</v>
      </c>
      <c r="E50" s="36">
        <v>6</v>
      </c>
      <c r="F50" s="39">
        <f t="shared" si="6"/>
        <v>1</v>
      </c>
      <c r="G50" s="73"/>
      <c r="H50" s="62">
        <v>1</v>
      </c>
      <c r="J50" s="35" t="s">
        <v>387</v>
      </c>
      <c r="K50" s="35" t="s">
        <v>936</v>
      </c>
      <c r="L50" s="35">
        <v>10</v>
      </c>
      <c r="M50" s="36" t="s">
        <v>408</v>
      </c>
      <c r="O50" s="34" t="s">
        <v>820</v>
      </c>
      <c r="Q50" s="38" t="s">
        <v>768</v>
      </c>
      <c r="S50" s="37">
        <f t="shared" si="2"/>
        <v>20</v>
      </c>
      <c r="T50" s="39">
        <v>0.02</v>
      </c>
      <c r="V50" s="35">
        <v>1</v>
      </c>
      <c r="X50" s="35">
        <v>1</v>
      </c>
      <c r="AA50" s="150">
        <v>100</v>
      </c>
    </row>
    <row r="51" spans="1:28" x14ac:dyDescent="0.15">
      <c r="A51" s="34">
        <f t="shared" si="3"/>
        <v>211021101</v>
      </c>
      <c r="B51" s="36">
        <v>21</v>
      </c>
      <c r="C51" s="117">
        <v>1</v>
      </c>
      <c r="D51" s="122">
        <v>2</v>
      </c>
      <c r="E51" s="36">
        <v>11</v>
      </c>
      <c r="F51" s="39">
        <f t="shared" si="6"/>
        <v>1</v>
      </c>
      <c r="G51" s="73"/>
      <c r="H51" s="62">
        <v>1</v>
      </c>
      <c r="J51" s="35" t="s">
        <v>389</v>
      </c>
      <c r="K51" s="35" t="s">
        <v>861</v>
      </c>
      <c r="L51" s="35">
        <v>11</v>
      </c>
      <c r="M51" s="36" t="s">
        <v>408</v>
      </c>
      <c r="O51" s="34" t="s">
        <v>821</v>
      </c>
      <c r="Q51" s="38" t="s">
        <v>914</v>
      </c>
      <c r="S51" s="37">
        <f t="shared" si="2"/>
        <v>10</v>
      </c>
      <c r="T51" s="152">
        <v>0.01</v>
      </c>
      <c r="V51" s="35">
        <v>1</v>
      </c>
      <c r="X51" s="35">
        <v>1</v>
      </c>
      <c r="Z51" s="150">
        <v>10</v>
      </c>
      <c r="AA51" s="150">
        <v>-10</v>
      </c>
      <c r="AB51" s="150">
        <v>-10</v>
      </c>
    </row>
    <row r="52" spans="1:28" x14ac:dyDescent="0.15">
      <c r="A52" s="34">
        <f t="shared" si="3"/>
        <v>211010401</v>
      </c>
      <c r="B52" s="36">
        <v>21</v>
      </c>
      <c r="C52" s="117">
        <v>1</v>
      </c>
      <c r="D52" s="121">
        <v>1</v>
      </c>
      <c r="E52" s="36">
        <v>4</v>
      </c>
      <c r="F52" s="39">
        <f t="shared" si="6"/>
        <v>1</v>
      </c>
      <c r="G52" s="73"/>
      <c r="H52" s="62">
        <v>1</v>
      </c>
      <c r="J52" s="35" t="s">
        <v>388</v>
      </c>
      <c r="K52" s="35" t="s">
        <v>862</v>
      </c>
      <c r="L52" s="35">
        <v>12</v>
      </c>
      <c r="M52" s="36" t="s">
        <v>407</v>
      </c>
      <c r="O52" s="34" t="s">
        <v>822</v>
      </c>
      <c r="Q52" s="38" t="s">
        <v>769</v>
      </c>
      <c r="S52" s="37">
        <f t="shared" si="2"/>
        <v>200</v>
      </c>
      <c r="T52" s="39">
        <v>0.2</v>
      </c>
      <c r="V52" s="35">
        <v>1</v>
      </c>
      <c r="X52" s="35">
        <v>1</v>
      </c>
      <c r="Z52" s="150">
        <v>50</v>
      </c>
      <c r="AB52" s="150">
        <v>10</v>
      </c>
    </row>
    <row r="53" spans="1:28" x14ac:dyDescent="0.15">
      <c r="A53" s="34">
        <f t="shared" si="3"/>
        <v>211020701</v>
      </c>
      <c r="B53" s="36">
        <v>21</v>
      </c>
      <c r="C53" s="117">
        <v>1</v>
      </c>
      <c r="D53" s="122">
        <v>2</v>
      </c>
      <c r="E53" s="36">
        <v>7</v>
      </c>
      <c r="F53" s="39">
        <f t="shared" si="6"/>
        <v>1</v>
      </c>
      <c r="G53" s="73"/>
      <c r="H53" s="38">
        <v>1</v>
      </c>
      <c r="J53" s="35" t="s">
        <v>391</v>
      </c>
      <c r="K53" s="35" t="s">
        <v>863</v>
      </c>
      <c r="L53" s="35">
        <v>13</v>
      </c>
      <c r="M53" s="36" t="s">
        <v>407</v>
      </c>
      <c r="O53" s="34" t="s">
        <v>823</v>
      </c>
      <c r="Q53" s="38" t="s">
        <v>770</v>
      </c>
      <c r="S53" s="37">
        <f t="shared" si="2"/>
        <v>200</v>
      </c>
      <c r="T53" s="152">
        <v>0.2</v>
      </c>
      <c r="V53" s="35">
        <v>1</v>
      </c>
      <c r="X53" s="35">
        <v>0</v>
      </c>
    </row>
    <row r="54" spans="1:28" x14ac:dyDescent="0.15">
      <c r="A54" s="34">
        <f t="shared" si="3"/>
        <v>211020901</v>
      </c>
      <c r="B54" s="36">
        <v>21</v>
      </c>
      <c r="C54" s="117">
        <v>1</v>
      </c>
      <c r="D54" s="122">
        <v>2</v>
      </c>
      <c r="E54" s="36">
        <v>9</v>
      </c>
      <c r="F54" s="39">
        <f t="shared" si="6"/>
        <v>1</v>
      </c>
      <c r="G54" s="73"/>
      <c r="H54" s="62">
        <v>1</v>
      </c>
      <c r="J54" s="35" t="s">
        <v>393</v>
      </c>
      <c r="K54" s="35" t="s">
        <v>864</v>
      </c>
      <c r="L54" s="35">
        <v>14</v>
      </c>
      <c r="M54" s="36" t="s">
        <v>407</v>
      </c>
      <c r="O54" s="34" t="s">
        <v>824</v>
      </c>
      <c r="Q54" s="38" t="s">
        <v>771</v>
      </c>
      <c r="S54" s="37">
        <f t="shared" si="2"/>
        <v>200</v>
      </c>
      <c r="T54" s="39">
        <v>0.2</v>
      </c>
      <c r="V54" s="35">
        <v>1</v>
      </c>
      <c r="X54" s="35">
        <v>0</v>
      </c>
    </row>
    <row r="55" spans="1:28" x14ac:dyDescent="0.15">
      <c r="A55" s="34">
        <f t="shared" si="3"/>
        <v>211020301</v>
      </c>
      <c r="B55" s="36">
        <v>21</v>
      </c>
      <c r="C55" s="117">
        <v>1</v>
      </c>
      <c r="D55" s="122">
        <v>2</v>
      </c>
      <c r="E55" s="36">
        <v>3</v>
      </c>
      <c r="F55" s="39">
        <f t="shared" si="6"/>
        <v>1</v>
      </c>
      <c r="G55" s="73"/>
      <c r="H55" s="62">
        <v>1</v>
      </c>
      <c r="J55" s="35" t="s">
        <v>394</v>
      </c>
      <c r="K55" s="35" t="s">
        <v>865</v>
      </c>
      <c r="L55" s="35">
        <v>15</v>
      </c>
      <c r="M55" s="36" t="s">
        <v>407</v>
      </c>
      <c r="O55" s="34" t="s">
        <v>825</v>
      </c>
      <c r="Q55" s="38" t="s">
        <v>772</v>
      </c>
      <c r="S55" s="37">
        <f t="shared" si="2"/>
        <v>200</v>
      </c>
      <c r="T55" s="152">
        <v>0.2</v>
      </c>
      <c r="V55" s="35">
        <v>1</v>
      </c>
      <c r="X55" s="35">
        <v>0</v>
      </c>
    </row>
    <row r="56" spans="1:28" x14ac:dyDescent="0.15">
      <c r="A56" s="34">
        <f t="shared" si="3"/>
        <v>211020501</v>
      </c>
      <c r="B56" s="36">
        <v>21</v>
      </c>
      <c r="C56" s="117">
        <v>1</v>
      </c>
      <c r="D56" s="122">
        <v>2</v>
      </c>
      <c r="E56" s="36">
        <v>5</v>
      </c>
      <c r="F56" s="39">
        <f t="shared" si="6"/>
        <v>1</v>
      </c>
      <c r="G56" s="73"/>
      <c r="H56" s="62">
        <v>1</v>
      </c>
      <c r="J56" s="35" t="s">
        <v>425</v>
      </c>
      <c r="K56" s="35" t="s">
        <v>866</v>
      </c>
      <c r="L56" s="35">
        <v>16</v>
      </c>
      <c r="M56" s="36" t="s">
        <v>407</v>
      </c>
      <c r="O56" s="34" t="s">
        <v>826</v>
      </c>
      <c r="Q56" s="38" t="s">
        <v>773</v>
      </c>
      <c r="S56" s="37">
        <f t="shared" si="2"/>
        <v>200</v>
      </c>
      <c r="T56" s="39">
        <v>0.2</v>
      </c>
      <c r="V56" s="35">
        <v>1</v>
      </c>
      <c r="X56" s="35">
        <v>0</v>
      </c>
    </row>
    <row r="57" spans="1:28" x14ac:dyDescent="0.15">
      <c r="G57" s="73"/>
    </row>
    <row r="58" spans="1:28" x14ac:dyDescent="0.15">
      <c r="G58" s="73"/>
    </row>
    <row r="59" spans="1:28" x14ac:dyDescent="0.15">
      <c r="G59" s="73"/>
    </row>
    <row r="60" spans="1:28" x14ac:dyDescent="0.15">
      <c r="G60" s="73"/>
    </row>
    <row r="61" spans="1:28" x14ac:dyDescent="0.15">
      <c r="G61" s="73"/>
    </row>
    <row r="62" spans="1:28" x14ac:dyDescent="0.15">
      <c r="G62" s="73"/>
    </row>
    <row r="63" spans="1:28" x14ac:dyDescent="0.15">
      <c r="G63" s="73"/>
    </row>
    <row r="64" spans="1:28" x14ac:dyDescent="0.15">
      <c r="G64" s="73"/>
    </row>
    <row r="65" spans="7:7" ht="17.25" thickBot="1" x14ac:dyDescent="0.2">
      <c r="G65" s="73"/>
    </row>
    <row r="66" spans="7:7" x14ac:dyDescent="0.15">
      <c r="G66" s="72"/>
    </row>
    <row r="67" spans="7:7" x14ac:dyDescent="0.15">
      <c r="G67" s="73"/>
    </row>
    <row r="68" spans="7:7" x14ac:dyDescent="0.15">
      <c r="G68" s="73"/>
    </row>
    <row r="69" spans="7:7" x14ac:dyDescent="0.15">
      <c r="G69" s="73"/>
    </row>
    <row r="70" spans="7:7" x14ac:dyDescent="0.15">
      <c r="G70" s="73"/>
    </row>
    <row r="71" spans="7:7" x14ac:dyDescent="0.15">
      <c r="G71" s="73"/>
    </row>
    <row r="72" spans="7:7" x14ac:dyDescent="0.15">
      <c r="G72" s="73"/>
    </row>
    <row r="73" spans="7:7" x14ac:dyDescent="0.15">
      <c r="G73" s="73"/>
    </row>
    <row r="74" spans="7:7" x14ac:dyDescent="0.15">
      <c r="G74" s="73"/>
    </row>
    <row r="75" spans="7:7" x14ac:dyDescent="0.15">
      <c r="G75" s="73"/>
    </row>
    <row r="76" spans="7:7" x14ac:dyDescent="0.15">
      <c r="G76" s="73"/>
    </row>
    <row r="77" spans="7:7" x14ac:dyDescent="0.15">
      <c r="G77" s="73"/>
    </row>
    <row r="78" spans="7:7" x14ac:dyDescent="0.15">
      <c r="G78" s="73"/>
    </row>
    <row r="79" spans="7:7" x14ac:dyDescent="0.15">
      <c r="G79" s="73"/>
    </row>
    <row r="80" spans="7:7" x14ac:dyDescent="0.15">
      <c r="G80" s="73"/>
    </row>
    <row r="81" spans="7:7" x14ac:dyDescent="0.15">
      <c r="G81" s="73"/>
    </row>
    <row r="82" spans="7:7" x14ac:dyDescent="0.15">
      <c r="G82" s="73"/>
    </row>
    <row r="83" spans="7:7" x14ac:dyDescent="0.15">
      <c r="G83" s="73"/>
    </row>
    <row r="84" spans="7:7" x14ac:dyDescent="0.15">
      <c r="G84" s="73"/>
    </row>
    <row r="85" spans="7:7" ht="17.25" thickBot="1" x14ac:dyDescent="0.2">
      <c r="G85" s="73"/>
    </row>
    <row r="86" spans="7:7" x14ac:dyDescent="0.15">
      <c r="G86" s="72"/>
    </row>
    <row r="87" spans="7:7" x14ac:dyDescent="0.15">
      <c r="G87" s="73"/>
    </row>
    <row r="88" spans="7:7" x14ac:dyDescent="0.15">
      <c r="G88" s="73"/>
    </row>
    <row r="89" spans="7:7" x14ac:dyDescent="0.15">
      <c r="G89" s="73"/>
    </row>
    <row r="90" spans="7:7" x14ac:dyDescent="0.15">
      <c r="G90" s="73"/>
    </row>
    <row r="91" spans="7:7" x14ac:dyDescent="0.15">
      <c r="G91" s="73"/>
    </row>
    <row r="92" spans="7:7" x14ac:dyDescent="0.15">
      <c r="G92" s="73"/>
    </row>
    <row r="93" spans="7:7" x14ac:dyDescent="0.15">
      <c r="G93" s="73"/>
    </row>
    <row r="94" spans="7:7" x14ac:dyDescent="0.15">
      <c r="G94" s="73"/>
    </row>
    <row r="95" spans="7:7" x14ac:dyDescent="0.15">
      <c r="G95" s="73"/>
    </row>
    <row r="96" spans="7:7" x14ac:dyDescent="0.15">
      <c r="G96" s="73"/>
    </row>
    <row r="97" spans="7:7" x14ac:dyDescent="0.15">
      <c r="G97" s="73"/>
    </row>
    <row r="98" spans="7:7" x14ac:dyDescent="0.15">
      <c r="G98" s="73"/>
    </row>
    <row r="99" spans="7:7" x14ac:dyDescent="0.15">
      <c r="G99" s="73"/>
    </row>
    <row r="100" spans="7:7" x14ac:dyDescent="0.15">
      <c r="G100" s="73"/>
    </row>
    <row r="101" spans="7:7" x14ac:dyDescent="0.15">
      <c r="G101" s="73"/>
    </row>
    <row r="102" spans="7:7" x14ac:dyDescent="0.15">
      <c r="G102" s="73"/>
    </row>
    <row r="103" spans="7:7" x14ac:dyDescent="0.15">
      <c r="G103" s="73"/>
    </row>
    <row r="104" spans="7:7" x14ac:dyDescent="0.15">
      <c r="G104" s="73"/>
    </row>
    <row r="105" spans="7:7" ht="17.25" thickBot="1" x14ac:dyDescent="0.2">
      <c r="G105" s="74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A24"/>
  <sheetViews>
    <sheetView workbookViewId="0">
      <selection activeCell="C25" sqref="C25"/>
    </sheetView>
  </sheetViews>
  <sheetFormatPr defaultRowHeight="16.5" x14ac:dyDescent="0.15"/>
  <cols>
    <col min="1" max="1" width="9" style="95"/>
    <col min="2" max="2" width="14.125" style="95" customWidth="1"/>
    <col min="3" max="12" width="9" style="95"/>
    <col min="13" max="31" width="13.375" style="95" customWidth="1"/>
    <col min="32" max="16384" width="9" style="95"/>
  </cols>
  <sheetData>
    <row r="1" spans="1:53" x14ac:dyDescent="0.15">
      <c r="A1" s="56" t="s">
        <v>60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N1" s="56" t="s">
        <v>60</v>
      </c>
      <c r="O1" s="56" t="s">
        <v>60</v>
      </c>
      <c r="P1" s="56" t="s">
        <v>60</v>
      </c>
      <c r="Q1" s="56" t="s">
        <v>60</v>
      </c>
      <c r="R1" s="56" t="s">
        <v>60</v>
      </c>
      <c r="S1" s="56" t="s">
        <v>60</v>
      </c>
      <c r="T1" s="56" t="s">
        <v>60</v>
      </c>
      <c r="U1" s="56" t="s">
        <v>60</v>
      </c>
      <c r="V1" s="56" t="s">
        <v>60</v>
      </c>
      <c r="W1" s="56" t="s">
        <v>60</v>
      </c>
      <c r="X1" s="56" t="s">
        <v>60</v>
      </c>
      <c r="Y1" s="56" t="s">
        <v>60</v>
      </c>
      <c r="Z1" s="56" t="s">
        <v>60</v>
      </c>
      <c r="AA1" s="56" t="s">
        <v>60</v>
      </c>
      <c r="AB1" s="56" t="s">
        <v>60</v>
      </c>
      <c r="AC1" s="56" t="s">
        <v>60</v>
      </c>
      <c r="AD1" s="56" t="s">
        <v>60</v>
      </c>
      <c r="AE1" s="56" t="s">
        <v>60</v>
      </c>
      <c r="AF1" s="56" t="s">
        <v>60</v>
      </c>
      <c r="AG1" s="56" t="s">
        <v>60</v>
      </c>
      <c r="AH1" s="56" t="s">
        <v>60</v>
      </c>
      <c r="AI1" s="56" t="s">
        <v>60</v>
      </c>
      <c r="AJ1" s="56" t="s">
        <v>60</v>
      </c>
      <c r="AK1" s="56" t="s">
        <v>60</v>
      </c>
      <c r="AL1" s="56" t="s">
        <v>60</v>
      </c>
      <c r="AM1" s="56" t="s">
        <v>60</v>
      </c>
      <c r="AN1" s="56" t="s">
        <v>60</v>
      </c>
      <c r="AO1" s="56" t="s">
        <v>60</v>
      </c>
      <c r="AP1" s="56" t="s">
        <v>60</v>
      </c>
      <c r="AQ1" s="56" t="s">
        <v>60</v>
      </c>
      <c r="AR1" s="56" t="s">
        <v>60</v>
      </c>
      <c r="AS1" s="56" t="s">
        <v>60</v>
      </c>
      <c r="AT1" s="56" t="s">
        <v>60</v>
      </c>
      <c r="AU1" s="56" t="s">
        <v>60</v>
      </c>
      <c r="AV1" s="56" t="s">
        <v>60</v>
      </c>
      <c r="AW1" s="56" t="s">
        <v>60</v>
      </c>
      <c r="AX1" s="56" t="s">
        <v>60</v>
      </c>
      <c r="AY1" s="56" t="s">
        <v>60</v>
      </c>
      <c r="AZ1" s="56" t="s">
        <v>60</v>
      </c>
      <c r="BA1" s="56" t="s">
        <v>60</v>
      </c>
    </row>
    <row r="2" spans="1:53" x14ac:dyDescent="0.15">
      <c r="A2" s="56" t="s">
        <v>61</v>
      </c>
      <c r="B2" s="56" t="s">
        <v>61</v>
      </c>
      <c r="C2" s="56" t="s">
        <v>61</v>
      </c>
      <c r="D2" s="56" t="s">
        <v>61</v>
      </c>
      <c r="E2" s="56" t="s">
        <v>61</v>
      </c>
      <c r="F2" s="56" t="s">
        <v>61</v>
      </c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O2" s="56" t="s">
        <v>61</v>
      </c>
      <c r="P2" s="56" t="s">
        <v>61</v>
      </c>
      <c r="Q2" s="56" t="s">
        <v>61</v>
      </c>
      <c r="R2" s="56" t="s">
        <v>61</v>
      </c>
      <c r="S2" s="56" t="s">
        <v>61</v>
      </c>
      <c r="T2" s="56" t="s">
        <v>61</v>
      </c>
      <c r="U2" s="56" t="s">
        <v>61</v>
      </c>
      <c r="V2" s="56" t="s">
        <v>61</v>
      </c>
      <c r="W2" s="56" t="s">
        <v>61</v>
      </c>
      <c r="X2" s="56" t="s">
        <v>61</v>
      </c>
      <c r="Y2" s="56" t="s">
        <v>61</v>
      </c>
      <c r="Z2" s="56" t="s">
        <v>61</v>
      </c>
      <c r="AA2" s="56" t="s">
        <v>61</v>
      </c>
      <c r="AB2" s="56" t="s">
        <v>61</v>
      </c>
      <c r="AC2" s="56" t="s">
        <v>61</v>
      </c>
      <c r="AD2" s="56" t="s">
        <v>61</v>
      </c>
      <c r="AE2" s="56" t="s">
        <v>61</v>
      </c>
      <c r="AF2" s="56" t="s">
        <v>61</v>
      </c>
      <c r="AG2" s="56" t="s">
        <v>61</v>
      </c>
      <c r="AH2" s="56" t="s">
        <v>61</v>
      </c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61</v>
      </c>
      <c r="BA2" s="56" t="s">
        <v>61</v>
      </c>
    </row>
    <row r="3" spans="1:53" x14ac:dyDescent="0.15">
      <c r="A3" s="56" t="s">
        <v>577</v>
      </c>
      <c r="B3" s="38" t="s">
        <v>830</v>
      </c>
      <c r="C3" s="62" t="s">
        <v>831</v>
      </c>
      <c r="D3" s="62" t="s">
        <v>832</v>
      </c>
      <c r="E3" s="62" t="s">
        <v>833</v>
      </c>
      <c r="F3" s="35" t="s">
        <v>834</v>
      </c>
      <c r="G3" s="35" t="s">
        <v>835</v>
      </c>
      <c r="H3" s="35" t="s">
        <v>836</v>
      </c>
      <c r="I3" s="62" t="s">
        <v>837</v>
      </c>
      <c r="J3" s="35" t="s">
        <v>838</v>
      </c>
      <c r="K3" s="35" t="s">
        <v>839</v>
      </c>
      <c r="L3" s="35" t="s">
        <v>840</v>
      </c>
      <c r="M3" s="35" t="s">
        <v>841</v>
      </c>
      <c r="N3" s="35" t="s">
        <v>842</v>
      </c>
      <c r="O3" s="35" t="s">
        <v>843</v>
      </c>
      <c r="P3" s="35" t="s">
        <v>844</v>
      </c>
      <c r="Q3" s="35" t="s">
        <v>845</v>
      </c>
      <c r="R3" s="35" t="s">
        <v>846</v>
      </c>
      <c r="S3" s="35" t="s">
        <v>847</v>
      </c>
      <c r="T3" s="35" t="s">
        <v>848</v>
      </c>
      <c r="U3" s="35" t="s">
        <v>849</v>
      </c>
      <c r="V3" s="35" t="s">
        <v>850</v>
      </c>
      <c r="W3" s="35" t="s">
        <v>851</v>
      </c>
      <c r="X3" s="35" t="s">
        <v>852</v>
      </c>
      <c r="Y3" s="35" t="s">
        <v>853</v>
      </c>
      <c r="Z3" s="35" t="s">
        <v>854</v>
      </c>
      <c r="AA3" s="35" t="s">
        <v>855</v>
      </c>
      <c r="AB3" s="35" t="s">
        <v>856</v>
      </c>
      <c r="AC3" s="35" t="s">
        <v>857</v>
      </c>
      <c r="AD3" s="35" t="s">
        <v>858</v>
      </c>
      <c r="AE3" s="35" t="s">
        <v>859</v>
      </c>
      <c r="AF3" s="35" t="s">
        <v>921</v>
      </c>
      <c r="AG3" s="35" t="s">
        <v>922</v>
      </c>
      <c r="AH3" s="35" t="s">
        <v>923</v>
      </c>
      <c r="AI3" s="35" t="s">
        <v>924</v>
      </c>
      <c r="AJ3" s="35" t="s">
        <v>925</v>
      </c>
      <c r="AK3" s="35" t="s">
        <v>926</v>
      </c>
      <c r="AL3" s="35" t="s">
        <v>927</v>
      </c>
      <c r="AM3" s="35" t="s">
        <v>928</v>
      </c>
      <c r="AN3" s="35" t="s">
        <v>929</v>
      </c>
      <c r="AO3" s="35" t="s">
        <v>930</v>
      </c>
      <c r="AP3" s="35" t="s">
        <v>931</v>
      </c>
      <c r="AQ3" s="35" t="s">
        <v>932</v>
      </c>
      <c r="AR3" s="35" t="s">
        <v>933</v>
      </c>
      <c r="AS3" s="35" t="s">
        <v>934</v>
      </c>
      <c r="AT3" s="35" t="s">
        <v>935</v>
      </c>
      <c r="AU3" s="35" t="s">
        <v>860</v>
      </c>
      <c r="AV3" s="35" t="s">
        <v>861</v>
      </c>
      <c r="AW3" s="35" t="s">
        <v>862</v>
      </c>
      <c r="AX3" s="35" t="s">
        <v>863</v>
      </c>
      <c r="AY3" s="35" t="s">
        <v>864</v>
      </c>
      <c r="AZ3" s="35" t="s">
        <v>865</v>
      </c>
      <c r="BA3" s="35" t="s">
        <v>866</v>
      </c>
    </row>
    <row r="4" spans="1:53" ht="18" customHeight="1" thickBot="1" x14ac:dyDescent="0.2">
      <c r="A4" s="90" t="s">
        <v>560</v>
      </c>
      <c r="B4" s="38" t="s">
        <v>383</v>
      </c>
      <c r="C4" s="62" t="s">
        <v>384</v>
      </c>
      <c r="D4" s="62" t="s">
        <v>385</v>
      </c>
      <c r="E4" s="62" t="s">
        <v>448</v>
      </c>
      <c r="F4" s="35" t="s">
        <v>386</v>
      </c>
      <c r="G4" s="35" t="s">
        <v>431</v>
      </c>
      <c r="H4" s="35" t="s">
        <v>436</v>
      </c>
      <c r="I4" s="62" t="s">
        <v>405</v>
      </c>
      <c r="J4" s="35" t="s">
        <v>390</v>
      </c>
      <c r="K4" s="35" t="s">
        <v>392</v>
      </c>
      <c r="L4" s="35" t="s">
        <v>499</v>
      </c>
      <c r="M4" s="35" t="s">
        <v>395</v>
      </c>
      <c r="N4" s="35" t="s">
        <v>396</v>
      </c>
      <c r="O4" s="35" t="s">
        <v>397</v>
      </c>
      <c r="P4" s="35" t="s">
        <v>398</v>
      </c>
      <c r="Q4" s="35" t="s">
        <v>453</v>
      </c>
      <c r="R4" s="35" t="s">
        <v>454</v>
      </c>
      <c r="S4" s="35" t="s">
        <v>455</v>
      </c>
      <c r="T4" s="35" t="s">
        <v>462</v>
      </c>
      <c r="U4" s="35" t="s">
        <v>456</v>
      </c>
      <c r="V4" s="35" t="s">
        <v>457</v>
      </c>
      <c r="W4" s="35" t="s">
        <v>458</v>
      </c>
      <c r="X4" s="35" t="s">
        <v>468</v>
      </c>
      <c r="Y4" s="35" t="s">
        <v>470</v>
      </c>
      <c r="Z4" s="35" t="s">
        <v>471</v>
      </c>
      <c r="AA4" s="35" t="s">
        <v>477</v>
      </c>
      <c r="AB4" s="35" t="s">
        <v>483</v>
      </c>
      <c r="AC4" s="35" t="s">
        <v>479</v>
      </c>
      <c r="AD4" s="35" t="s">
        <v>480</v>
      </c>
      <c r="AE4" s="35" t="s">
        <v>481</v>
      </c>
      <c r="AF4" s="35" t="s">
        <v>489</v>
      </c>
      <c r="AG4" s="35" t="s">
        <v>490</v>
      </c>
      <c r="AH4" s="35" t="s">
        <v>491</v>
      </c>
      <c r="AI4" s="35" t="s">
        <v>399</v>
      </c>
      <c r="AJ4" s="35" t="s">
        <v>400</v>
      </c>
      <c r="AK4" s="35" t="s">
        <v>401</v>
      </c>
      <c r="AL4" s="35" t="s">
        <v>402</v>
      </c>
      <c r="AM4" s="35" t="s">
        <v>403</v>
      </c>
      <c r="AN4" s="35" t="s">
        <v>404</v>
      </c>
      <c r="AO4" s="35" t="s">
        <v>492</v>
      </c>
      <c r="AP4" s="35" t="s">
        <v>493</v>
      </c>
      <c r="AQ4" s="35" t="s">
        <v>494</v>
      </c>
      <c r="AR4" s="35" t="s">
        <v>495</v>
      </c>
      <c r="AS4" s="35" t="s">
        <v>496</v>
      </c>
      <c r="AT4" s="35" t="s">
        <v>497</v>
      </c>
      <c r="AU4" s="35" t="s">
        <v>387</v>
      </c>
      <c r="AV4" s="35" t="s">
        <v>389</v>
      </c>
      <c r="AW4" s="35" t="s">
        <v>388</v>
      </c>
      <c r="AX4" s="35" t="s">
        <v>391</v>
      </c>
      <c r="AY4" s="35" t="s">
        <v>393</v>
      </c>
      <c r="AZ4" s="35" t="s">
        <v>394</v>
      </c>
      <c r="BA4" s="35" t="s">
        <v>425</v>
      </c>
    </row>
    <row r="5" spans="1:53" s="114" customFormat="1" x14ac:dyDescent="0.15">
      <c r="A5" s="57">
        <v>1</v>
      </c>
      <c r="B5" s="114">
        <v>1000</v>
      </c>
      <c r="C5" s="114">
        <v>0</v>
      </c>
      <c r="D5" s="114">
        <v>0</v>
      </c>
      <c r="E5" s="114">
        <v>0</v>
      </c>
      <c r="F5" s="114">
        <v>0</v>
      </c>
      <c r="G5" s="114">
        <v>0</v>
      </c>
      <c r="H5" s="114">
        <v>0</v>
      </c>
      <c r="I5" s="114">
        <v>0</v>
      </c>
      <c r="J5" s="114">
        <v>0</v>
      </c>
      <c r="K5" s="114">
        <v>0</v>
      </c>
      <c r="L5" s="114">
        <v>0</v>
      </c>
      <c r="M5" s="114">
        <v>0</v>
      </c>
      <c r="N5" s="114">
        <v>0</v>
      </c>
      <c r="O5" s="114">
        <v>0</v>
      </c>
      <c r="P5" s="114">
        <v>0</v>
      </c>
      <c r="Q5" s="114">
        <v>0</v>
      </c>
      <c r="R5" s="114">
        <v>0</v>
      </c>
      <c r="S5" s="114">
        <v>0</v>
      </c>
      <c r="T5" s="114">
        <v>0</v>
      </c>
      <c r="U5" s="114">
        <v>0</v>
      </c>
      <c r="V5" s="114">
        <v>0</v>
      </c>
      <c r="W5" s="114">
        <v>0</v>
      </c>
      <c r="X5" s="114">
        <v>0</v>
      </c>
      <c r="Y5" s="114">
        <v>0</v>
      </c>
      <c r="Z5" s="114">
        <v>0</v>
      </c>
      <c r="AA5" s="114">
        <v>0</v>
      </c>
      <c r="AB5" s="114">
        <v>0</v>
      </c>
      <c r="AC5" s="114">
        <v>0</v>
      </c>
      <c r="AD5" s="114">
        <v>0</v>
      </c>
      <c r="AE5" s="114">
        <v>0</v>
      </c>
      <c r="AF5" s="114">
        <v>1</v>
      </c>
      <c r="AG5" s="114">
        <v>0</v>
      </c>
      <c r="AH5" s="114">
        <v>0</v>
      </c>
      <c r="AI5" s="114">
        <v>1</v>
      </c>
      <c r="AJ5" s="114">
        <v>0</v>
      </c>
      <c r="AK5" s="114">
        <v>0</v>
      </c>
      <c r="AL5" s="114">
        <v>1</v>
      </c>
      <c r="AM5" s="114">
        <v>0</v>
      </c>
      <c r="AN5" s="114">
        <v>0</v>
      </c>
      <c r="AO5" s="114">
        <v>1</v>
      </c>
      <c r="AP5" s="114">
        <v>0</v>
      </c>
      <c r="AQ5" s="114">
        <v>0</v>
      </c>
      <c r="AR5" s="114">
        <v>1</v>
      </c>
      <c r="AS5" s="114">
        <v>0</v>
      </c>
      <c r="AT5" s="114">
        <v>0</v>
      </c>
      <c r="AU5" s="114">
        <v>0</v>
      </c>
      <c r="AV5" s="114">
        <v>0</v>
      </c>
      <c r="AW5" s="114">
        <v>0</v>
      </c>
      <c r="AX5" s="114">
        <v>0</v>
      </c>
      <c r="AY5" s="114">
        <v>0</v>
      </c>
      <c r="AZ5" s="114">
        <v>0</v>
      </c>
      <c r="BA5" s="114">
        <v>0</v>
      </c>
    </row>
    <row r="6" spans="1:53" x14ac:dyDescent="0.15">
      <c r="A6" s="56">
        <v>2</v>
      </c>
      <c r="B6" s="95">
        <v>2000</v>
      </c>
      <c r="C6" s="95">
        <v>2000</v>
      </c>
      <c r="D6" s="95">
        <v>0</v>
      </c>
      <c r="E6" s="95">
        <v>0</v>
      </c>
      <c r="F6" s="95">
        <v>0</v>
      </c>
      <c r="G6" s="95">
        <v>0</v>
      </c>
      <c r="H6" s="95">
        <v>0</v>
      </c>
      <c r="I6" s="95">
        <v>0</v>
      </c>
      <c r="J6" s="95">
        <v>0</v>
      </c>
      <c r="K6" s="95">
        <v>0</v>
      </c>
      <c r="L6" s="95">
        <v>0</v>
      </c>
      <c r="M6" s="95">
        <v>0</v>
      </c>
      <c r="N6" s="95">
        <v>0</v>
      </c>
      <c r="O6" s="95">
        <v>0</v>
      </c>
      <c r="P6" s="95">
        <v>0</v>
      </c>
      <c r="Q6" s="95">
        <v>0</v>
      </c>
      <c r="R6" s="95">
        <v>0</v>
      </c>
      <c r="S6" s="95">
        <v>0</v>
      </c>
      <c r="T6" s="95">
        <v>0</v>
      </c>
      <c r="U6" s="95">
        <v>0</v>
      </c>
      <c r="V6" s="95">
        <v>0</v>
      </c>
      <c r="W6" s="95">
        <v>0</v>
      </c>
      <c r="X6" s="95">
        <v>0</v>
      </c>
      <c r="Y6" s="95">
        <v>0</v>
      </c>
      <c r="Z6" s="95">
        <v>0</v>
      </c>
      <c r="AA6" s="95">
        <v>0</v>
      </c>
      <c r="AB6" s="95">
        <v>0</v>
      </c>
      <c r="AC6" s="95">
        <v>0</v>
      </c>
      <c r="AD6" s="95">
        <v>0</v>
      </c>
      <c r="AE6" s="95">
        <v>0</v>
      </c>
      <c r="AF6" s="95">
        <v>1</v>
      </c>
      <c r="AG6" s="95">
        <v>0</v>
      </c>
      <c r="AH6" s="95">
        <v>0</v>
      </c>
      <c r="AI6" s="95">
        <v>1</v>
      </c>
      <c r="AJ6" s="95">
        <v>0</v>
      </c>
      <c r="AK6" s="95">
        <v>0</v>
      </c>
      <c r="AL6" s="95">
        <v>1</v>
      </c>
      <c r="AM6" s="95">
        <v>0</v>
      </c>
      <c r="AN6" s="95">
        <v>0</v>
      </c>
      <c r="AO6" s="95">
        <v>1</v>
      </c>
      <c r="AP6" s="95">
        <v>0</v>
      </c>
      <c r="AQ6" s="95">
        <v>0</v>
      </c>
      <c r="AR6" s="95">
        <v>1</v>
      </c>
      <c r="AS6" s="95">
        <v>0</v>
      </c>
      <c r="AT6" s="95">
        <v>0</v>
      </c>
      <c r="AU6" s="95">
        <v>0</v>
      </c>
      <c r="AV6" s="95">
        <v>0</v>
      </c>
      <c r="AW6" s="95">
        <v>0</v>
      </c>
      <c r="AX6" s="95">
        <v>0</v>
      </c>
      <c r="AY6" s="95">
        <v>0</v>
      </c>
      <c r="AZ6" s="95">
        <v>0</v>
      </c>
      <c r="BA6" s="95">
        <v>0</v>
      </c>
    </row>
    <row r="7" spans="1:53" x14ac:dyDescent="0.15">
      <c r="A7" s="56">
        <v>3</v>
      </c>
      <c r="B7" s="95">
        <v>3000</v>
      </c>
      <c r="C7" s="95">
        <v>3000</v>
      </c>
      <c r="D7" s="95">
        <v>3000</v>
      </c>
      <c r="E7" s="95">
        <v>0</v>
      </c>
      <c r="F7" s="95">
        <v>0</v>
      </c>
      <c r="G7" s="95">
        <v>0</v>
      </c>
      <c r="H7" s="95">
        <v>0</v>
      </c>
      <c r="I7" s="95">
        <v>0</v>
      </c>
      <c r="J7" s="95">
        <v>0</v>
      </c>
      <c r="K7" s="95">
        <v>0</v>
      </c>
      <c r="L7" s="95">
        <v>0</v>
      </c>
      <c r="M7" s="95">
        <v>0</v>
      </c>
      <c r="N7" s="95">
        <v>0</v>
      </c>
      <c r="O7" s="95">
        <v>0</v>
      </c>
      <c r="P7" s="95">
        <v>0</v>
      </c>
      <c r="Q7" s="95">
        <v>0</v>
      </c>
      <c r="R7" s="95">
        <v>0</v>
      </c>
      <c r="S7" s="95">
        <v>0</v>
      </c>
      <c r="T7" s="95">
        <v>0</v>
      </c>
      <c r="U7" s="95">
        <v>0</v>
      </c>
      <c r="V7" s="95">
        <v>0</v>
      </c>
      <c r="W7" s="95">
        <v>0</v>
      </c>
      <c r="X7" s="95">
        <v>0</v>
      </c>
      <c r="Y7" s="95">
        <v>0</v>
      </c>
      <c r="Z7" s="95">
        <v>0</v>
      </c>
      <c r="AA7" s="95">
        <v>0</v>
      </c>
      <c r="AB7" s="95">
        <v>0</v>
      </c>
      <c r="AC7" s="95">
        <v>0</v>
      </c>
      <c r="AD7" s="95">
        <v>0</v>
      </c>
      <c r="AE7" s="95">
        <v>0</v>
      </c>
      <c r="AF7" s="95">
        <v>1</v>
      </c>
      <c r="AG7" s="95">
        <v>0</v>
      </c>
      <c r="AH7" s="95">
        <v>0</v>
      </c>
      <c r="AI7" s="95">
        <v>1</v>
      </c>
      <c r="AJ7" s="95">
        <v>0</v>
      </c>
      <c r="AK7" s="95">
        <v>0</v>
      </c>
      <c r="AL7" s="95">
        <v>1</v>
      </c>
      <c r="AM7" s="95">
        <v>0</v>
      </c>
      <c r="AN7" s="95">
        <v>0</v>
      </c>
      <c r="AO7" s="95">
        <v>1</v>
      </c>
      <c r="AP7" s="95">
        <v>0</v>
      </c>
      <c r="AQ7" s="95">
        <v>0</v>
      </c>
      <c r="AR7" s="95">
        <v>1</v>
      </c>
      <c r="AS7" s="95">
        <v>0</v>
      </c>
      <c r="AT7" s="95">
        <v>0</v>
      </c>
      <c r="AU7" s="95">
        <v>0</v>
      </c>
      <c r="AV7" s="95">
        <v>0</v>
      </c>
      <c r="AW7" s="95">
        <v>0</v>
      </c>
      <c r="AX7" s="95">
        <v>0</v>
      </c>
      <c r="AY7" s="95">
        <v>0</v>
      </c>
      <c r="AZ7" s="95">
        <v>0</v>
      </c>
      <c r="BA7" s="95">
        <v>0</v>
      </c>
    </row>
    <row r="8" spans="1:53" x14ac:dyDescent="0.15">
      <c r="A8" s="56">
        <v>4</v>
      </c>
      <c r="B8" s="95">
        <v>6000</v>
      </c>
      <c r="C8" s="95">
        <v>6000</v>
      </c>
      <c r="D8" s="95">
        <v>6000</v>
      </c>
      <c r="E8" s="95">
        <v>6000</v>
      </c>
      <c r="F8" s="95">
        <v>0</v>
      </c>
      <c r="G8" s="95">
        <v>0</v>
      </c>
      <c r="H8" s="95">
        <v>0</v>
      </c>
      <c r="I8" s="95">
        <v>0</v>
      </c>
      <c r="J8" s="95">
        <v>0</v>
      </c>
      <c r="K8" s="95">
        <v>0</v>
      </c>
      <c r="L8" s="95">
        <v>0</v>
      </c>
      <c r="M8" s="95">
        <v>0</v>
      </c>
      <c r="N8" s="95">
        <v>0</v>
      </c>
      <c r="O8" s="95">
        <v>0</v>
      </c>
      <c r="P8" s="95">
        <v>0</v>
      </c>
      <c r="Q8" s="95">
        <v>0</v>
      </c>
      <c r="R8" s="95">
        <v>0</v>
      </c>
      <c r="S8" s="95">
        <v>0</v>
      </c>
      <c r="T8" s="95">
        <v>0</v>
      </c>
      <c r="U8" s="95">
        <v>0</v>
      </c>
      <c r="V8" s="95">
        <v>0</v>
      </c>
      <c r="W8" s="95">
        <v>0</v>
      </c>
      <c r="X8" s="95">
        <v>0</v>
      </c>
      <c r="Y8" s="95">
        <v>0</v>
      </c>
      <c r="Z8" s="95">
        <v>0</v>
      </c>
      <c r="AA8" s="95">
        <v>0</v>
      </c>
      <c r="AB8" s="95">
        <v>0</v>
      </c>
      <c r="AC8" s="95">
        <v>0</v>
      </c>
      <c r="AD8" s="95">
        <v>0</v>
      </c>
      <c r="AE8" s="95">
        <v>0</v>
      </c>
      <c r="AF8" s="95">
        <v>1</v>
      </c>
      <c r="AG8" s="95">
        <v>0</v>
      </c>
      <c r="AH8" s="95">
        <v>0</v>
      </c>
      <c r="AI8" s="95">
        <v>1</v>
      </c>
      <c r="AJ8" s="95">
        <v>0</v>
      </c>
      <c r="AK8" s="95">
        <v>0</v>
      </c>
      <c r="AL8" s="95">
        <v>1</v>
      </c>
      <c r="AM8" s="95">
        <v>0</v>
      </c>
      <c r="AN8" s="95">
        <v>0</v>
      </c>
      <c r="AO8" s="95">
        <v>1</v>
      </c>
      <c r="AP8" s="95">
        <v>0</v>
      </c>
      <c r="AQ8" s="95">
        <v>0</v>
      </c>
      <c r="AR8" s="95">
        <v>1</v>
      </c>
      <c r="AS8" s="95">
        <v>0</v>
      </c>
      <c r="AT8" s="95">
        <v>0</v>
      </c>
      <c r="AU8" s="95">
        <v>0</v>
      </c>
      <c r="AV8" s="95">
        <v>0</v>
      </c>
      <c r="AW8" s="95">
        <v>0</v>
      </c>
      <c r="AX8" s="95">
        <v>0</v>
      </c>
      <c r="AY8" s="95">
        <v>0</v>
      </c>
      <c r="AZ8" s="95">
        <v>0</v>
      </c>
      <c r="BA8" s="95">
        <v>0</v>
      </c>
    </row>
    <row r="9" spans="1:53" x14ac:dyDescent="0.15">
      <c r="A9" s="56">
        <v>5</v>
      </c>
      <c r="B9" s="95">
        <v>9000</v>
      </c>
      <c r="C9" s="95">
        <v>9000</v>
      </c>
      <c r="D9" s="95">
        <v>9000</v>
      </c>
      <c r="E9" s="95">
        <v>9000</v>
      </c>
      <c r="F9" s="95">
        <v>9000</v>
      </c>
      <c r="G9" s="95">
        <v>9000</v>
      </c>
      <c r="H9" s="95">
        <v>9000</v>
      </c>
      <c r="I9" s="95">
        <v>9000</v>
      </c>
      <c r="J9" s="95">
        <v>9000</v>
      </c>
      <c r="K9" s="95">
        <v>9000</v>
      </c>
      <c r="L9" s="95">
        <v>1</v>
      </c>
      <c r="M9" s="95">
        <v>0</v>
      </c>
      <c r="N9" s="95">
        <v>0</v>
      </c>
      <c r="O9" s="95">
        <v>0</v>
      </c>
      <c r="P9" s="95">
        <v>0</v>
      </c>
      <c r="Q9" s="95">
        <v>0</v>
      </c>
      <c r="R9" s="95">
        <v>0</v>
      </c>
      <c r="S9" s="95">
        <v>0</v>
      </c>
      <c r="T9" s="95">
        <v>0</v>
      </c>
      <c r="U9" s="95">
        <v>0</v>
      </c>
      <c r="V9" s="95">
        <v>0</v>
      </c>
      <c r="W9" s="95">
        <v>0</v>
      </c>
      <c r="X9" s="95">
        <v>0</v>
      </c>
      <c r="Y9" s="95">
        <v>0</v>
      </c>
      <c r="Z9" s="95">
        <v>0</v>
      </c>
      <c r="AA9" s="95">
        <v>0</v>
      </c>
      <c r="AB9" s="95">
        <v>0</v>
      </c>
      <c r="AC9" s="95">
        <v>0</v>
      </c>
      <c r="AD9" s="95">
        <v>0</v>
      </c>
      <c r="AE9" s="95">
        <v>0</v>
      </c>
      <c r="AF9" s="95">
        <v>1</v>
      </c>
      <c r="AG9" s="95">
        <v>0</v>
      </c>
      <c r="AH9" s="95">
        <v>0</v>
      </c>
      <c r="AI9" s="95">
        <v>1</v>
      </c>
      <c r="AJ9" s="95">
        <v>0</v>
      </c>
      <c r="AK9" s="95">
        <v>0</v>
      </c>
      <c r="AL9" s="95">
        <v>1</v>
      </c>
      <c r="AM9" s="95">
        <v>0</v>
      </c>
      <c r="AN9" s="95">
        <v>0</v>
      </c>
      <c r="AO9" s="95">
        <v>1</v>
      </c>
      <c r="AP9" s="95">
        <v>0</v>
      </c>
      <c r="AQ9" s="95">
        <v>0</v>
      </c>
      <c r="AR9" s="95">
        <v>1</v>
      </c>
      <c r="AS9" s="95">
        <v>0</v>
      </c>
      <c r="AT9" s="95">
        <v>0</v>
      </c>
      <c r="AU9" s="95">
        <v>0</v>
      </c>
      <c r="AV9" s="95">
        <v>0</v>
      </c>
      <c r="AW9" s="95">
        <v>0</v>
      </c>
      <c r="AX9" s="95">
        <v>0</v>
      </c>
      <c r="AY9" s="95">
        <v>0</v>
      </c>
      <c r="AZ9" s="95">
        <v>0</v>
      </c>
      <c r="BA9" s="95">
        <v>0</v>
      </c>
    </row>
    <row r="10" spans="1:53" x14ac:dyDescent="0.15">
      <c r="A10" s="56">
        <v>6</v>
      </c>
      <c r="B10" s="95">
        <v>12000</v>
      </c>
      <c r="C10" s="95">
        <v>12000</v>
      </c>
      <c r="D10" s="95">
        <v>12000</v>
      </c>
      <c r="E10" s="95">
        <v>12000</v>
      </c>
      <c r="F10" s="95">
        <v>12000</v>
      </c>
      <c r="G10" s="95">
        <v>12000</v>
      </c>
      <c r="H10" s="95">
        <v>12000</v>
      </c>
      <c r="I10" s="95">
        <v>12000</v>
      </c>
      <c r="J10" s="95">
        <v>12000</v>
      </c>
      <c r="K10" s="95">
        <v>12000</v>
      </c>
      <c r="L10" s="95">
        <v>1</v>
      </c>
      <c r="M10" s="95">
        <v>0</v>
      </c>
      <c r="N10" s="95">
        <v>0</v>
      </c>
      <c r="O10" s="95">
        <v>0</v>
      </c>
      <c r="P10" s="95">
        <v>0</v>
      </c>
      <c r="Q10" s="95">
        <v>0</v>
      </c>
      <c r="R10" s="95">
        <v>0</v>
      </c>
      <c r="S10" s="95">
        <v>0</v>
      </c>
      <c r="T10" s="95">
        <v>0</v>
      </c>
      <c r="U10" s="95">
        <v>0</v>
      </c>
      <c r="V10" s="95">
        <v>0</v>
      </c>
      <c r="W10" s="95">
        <v>0</v>
      </c>
      <c r="X10" s="95">
        <v>0</v>
      </c>
      <c r="Y10" s="95">
        <v>0</v>
      </c>
      <c r="Z10" s="95">
        <v>0</v>
      </c>
      <c r="AA10" s="95">
        <v>0</v>
      </c>
      <c r="AB10" s="95">
        <v>0</v>
      </c>
      <c r="AC10" s="95">
        <v>0</v>
      </c>
      <c r="AD10" s="95">
        <v>0</v>
      </c>
      <c r="AE10" s="95">
        <v>0</v>
      </c>
      <c r="AF10" s="95">
        <v>1</v>
      </c>
      <c r="AG10" s="95">
        <v>1</v>
      </c>
      <c r="AH10" s="95">
        <v>0</v>
      </c>
      <c r="AI10" s="95">
        <v>1</v>
      </c>
      <c r="AJ10" s="95">
        <v>0</v>
      </c>
      <c r="AK10" s="95">
        <v>0</v>
      </c>
      <c r="AL10" s="95">
        <v>1</v>
      </c>
      <c r="AM10" s="95">
        <v>0</v>
      </c>
      <c r="AN10" s="95">
        <v>0</v>
      </c>
      <c r="AO10" s="95">
        <v>1</v>
      </c>
      <c r="AP10" s="95">
        <v>0</v>
      </c>
      <c r="AQ10" s="95">
        <v>0</v>
      </c>
      <c r="AR10" s="95">
        <v>1</v>
      </c>
      <c r="AS10" s="95">
        <v>0</v>
      </c>
      <c r="AT10" s="95">
        <v>0</v>
      </c>
      <c r="AU10" s="95">
        <v>0</v>
      </c>
      <c r="AV10" s="95">
        <v>0</v>
      </c>
      <c r="AW10" s="95">
        <v>0</v>
      </c>
      <c r="AX10" s="95">
        <v>0</v>
      </c>
      <c r="AY10" s="95">
        <v>0</v>
      </c>
      <c r="AZ10" s="95">
        <v>0</v>
      </c>
      <c r="BA10" s="95">
        <v>0</v>
      </c>
    </row>
    <row r="11" spans="1:53" x14ac:dyDescent="0.15">
      <c r="A11" s="56">
        <v>7</v>
      </c>
      <c r="B11" s="95">
        <v>15000</v>
      </c>
      <c r="C11" s="95">
        <v>15000</v>
      </c>
      <c r="D11" s="95">
        <v>15000</v>
      </c>
      <c r="E11" s="95">
        <v>15000</v>
      </c>
      <c r="F11" s="95">
        <v>15000</v>
      </c>
      <c r="G11" s="95">
        <v>15000</v>
      </c>
      <c r="H11" s="95">
        <v>15000</v>
      </c>
      <c r="I11" s="95">
        <v>15000</v>
      </c>
      <c r="J11" s="95">
        <v>15000</v>
      </c>
      <c r="K11" s="95">
        <v>15000</v>
      </c>
      <c r="L11" s="95">
        <v>1</v>
      </c>
      <c r="M11" s="95">
        <v>0</v>
      </c>
      <c r="N11" s="95">
        <v>0</v>
      </c>
      <c r="O11" s="95">
        <v>0</v>
      </c>
      <c r="P11" s="95">
        <v>0</v>
      </c>
      <c r="Q11" s="95">
        <v>0</v>
      </c>
      <c r="R11" s="95">
        <v>0</v>
      </c>
      <c r="S11" s="95">
        <v>0</v>
      </c>
      <c r="T11" s="95">
        <v>0</v>
      </c>
      <c r="U11" s="95">
        <v>0</v>
      </c>
      <c r="V11" s="95">
        <v>0</v>
      </c>
      <c r="W11" s="95">
        <v>0</v>
      </c>
      <c r="X11" s="95">
        <v>0</v>
      </c>
      <c r="Y11" s="95">
        <v>0</v>
      </c>
      <c r="Z11" s="95">
        <v>0</v>
      </c>
      <c r="AA11" s="95">
        <v>0</v>
      </c>
      <c r="AB11" s="95">
        <v>0</v>
      </c>
      <c r="AC11" s="95">
        <v>0</v>
      </c>
      <c r="AD11" s="95">
        <v>0</v>
      </c>
      <c r="AE11" s="95">
        <v>0</v>
      </c>
      <c r="AF11" s="95">
        <v>1</v>
      </c>
      <c r="AG11" s="95">
        <v>1</v>
      </c>
      <c r="AH11" s="95">
        <v>0</v>
      </c>
      <c r="AI11" s="95">
        <v>1</v>
      </c>
      <c r="AJ11" s="95">
        <v>0</v>
      </c>
      <c r="AK11" s="95">
        <v>0</v>
      </c>
      <c r="AL11" s="95">
        <v>1</v>
      </c>
      <c r="AM11" s="95">
        <v>0</v>
      </c>
      <c r="AN11" s="95">
        <v>0</v>
      </c>
      <c r="AO11" s="95">
        <v>1</v>
      </c>
      <c r="AP11" s="95">
        <v>0</v>
      </c>
      <c r="AQ11" s="95">
        <v>0</v>
      </c>
      <c r="AR11" s="95">
        <v>1</v>
      </c>
      <c r="AS11" s="95">
        <v>0</v>
      </c>
      <c r="AT11" s="95">
        <v>0</v>
      </c>
      <c r="AU11" s="95">
        <v>0</v>
      </c>
      <c r="AV11" s="95">
        <v>0</v>
      </c>
      <c r="AW11" s="95">
        <v>0</v>
      </c>
      <c r="AX11" s="95">
        <v>0</v>
      </c>
      <c r="AY11" s="95">
        <v>0</v>
      </c>
      <c r="AZ11" s="95">
        <v>0</v>
      </c>
      <c r="BA11" s="95">
        <v>0</v>
      </c>
    </row>
    <row r="12" spans="1:53" x14ac:dyDescent="0.15">
      <c r="A12" s="56">
        <v>8</v>
      </c>
      <c r="B12" s="95">
        <v>18000</v>
      </c>
      <c r="C12" s="95">
        <v>18000</v>
      </c>
      <c r="D12" s="95">
        <v>18000</v>
      </c>
      <c r="E12" s="95">
        <v>18000</v>
      </c>
      <c r="F12" s="95">
        <v>18000</v>
      </c>
      <c r="G12" s="95">
        <v>18000</v>
      </c>
      <c r="H12" s="95">
        <v>18000</v>
      </c>
      <c r="I12" s="95">
        <v>18000</v>
      </c>
      <c r="J12" s="95">
        <v>18000</v>
      </c>
      <c r="K12" s="95">
        <v>18000</v>
      </c>
      <c r="L12" s="95">
        <v>1</v>
      </c>
      <c r="M12" s="95">
        <v>0</v>
      </c>
      <c r="N12" s="95">
        <v>0</v>
      </c>
      <c r="O12" s="95">
        <v>0</v>
      </c>
      <c r="P12" s="95">
        <v>0</v>
      </c>
      <c r="Q12" s="95">
        <v>0</v>
      </c>
      <c r="R12" s="95">
        <v>0</v>
      </c>
      <c r="S12" s="95">
        <v>0</v>
      </c>
      <c r="T12" s="95">
        <v>0</v>
      </c>
      <c r="U12" s="95">
        <v>0</v>
      </c>
      <c r="V12" s="95">
        <v>0</v>
      </c>
      <c r="W12" s="95">
        <v>0</v>
      </c>
      <c r="X12" s="95">
        <v>0</v>
      </c>
      <c r="Y12" s="95">
        <v>0</v>
      </c>
      <c r="Z12" s="95">
        <v>0</v>
      </c>
      <c r="AA12" s="95">
        <v>0</v>
      </c>
      <c r="AB12" s="95">
        <v>0</v>
      </c>
      <c r="AC12" s="95">
        <v>0</v>
      </c>
      <c r="AD12" s="95">
        <v>0</v>
      </c>
      <c r="AE12" s="95">
        <v>0</v>
      </c>
      <c r="AF12" s="95">
        <v>1</v>
      </c>
      <c r="AG12" s="95">
        <v>1</v>
      </c>
      <c r="AH12" s="95">
        <v>0</v>
      </c>
      <c r="AI12" s="95">
        <v>1</v>
      </c>
      <c r="AJ12" s="95">
        <v>0</v>
      </c>
      <c r="AK12" s="95">
        <v>0</v>
      </c>
      <c r="AL12" s="95">
        <v>1</v>
      </c>
      <c r="AM12" s="95">
        <v>0</v>
      </c>
      <c r="AN12" s="95">
        <v>0</v>
      </c>
      <c r="AO12" s="95">
        <v>1</v>
      </c>
      <c r="AP12" s="95">
        <v>0</v>
      </c>
      <c r="AQ12" s="95">
        <v>0</v>
      </c>
      <c r="AR12" s="95">
        <v>1</v>
      </c>
      <c r="AS12" s="95">
        <v>0</v>
      </c>
      <c r="AT12" s="95">
        <v>0</v>
      </c>
      <c r="AU12" s="95">
        <v>0</v>
      </c>
      <c r="AV12" s="95">
        <v>0</v>
      </c>
      <c r="AW12" s="95">
        <v>0</v>
      </c>
      <c r="AX12" s="95">
        <v>0</v>
      </c>
      <c r="AY12" s="95">
        <v>0</v>
      </c>
      <c r="AZ12" s="95">
        <v>0</v>
      </c>
      <c r="BA12" s="95">
        <v>0</v>
      </c>
    </row>
    <row r="13" spans="1:53" x14ac:dyDescent="0.15">
      <c r="A13" s="56">
        <v>9</v>
      </c>
      <c r="B13" s="95">
        <v>21000</v>
      </c>
      <c r="C13" s="95">
        <v>21000</v>
      </c>
      <c r="D13" s="95">
        <v>21000</v>
      </c>
      <c r="E13" s="95">
        <v>21000</v>
      </c>
      <c r="F13" s="95">
        <v>21000</v>
      </c>
      <c r="G13" s="95">
        <v>21000</v>
      </c>
      <c r="H13" s="95">
        <v>21000</v>
      </c>
      <c r="I13" s="95">
        <v>21000</v>
      </c>
      <c r="J13" s="95">
        <v>21000</v>
      </c>
      <c r="K13" s="95">
        <v>21000</v>
      </c>
      <c r="L13" s="95">
        <v>1</v>
      </c>
      <c r="M13" s="95">
        <v>0</v>
      </c>
      <c r="N13" s="95">
        <v>0</v>
      </c>
      <c r="O13" s="95">
        <v>0</v>
      </c>
      <c r="P13" s="95">
        <v>0</v>
      </c>
      <c r="Q13" s="95">
        <v>0</v>
      </c>
      <c r="R13" s="95">
        <v>0</v>
      </c>
      <c r="S13" s="95">
        <v>0</v>
      </c>
      <c r="T13" s="95">
        <v>0</v>
      </c>
      <c r="U13" s="95">
        <v>0</v>
      </c>
      <c r="V13" s="95">
        <v>0</v>
      </c>
      <c r="W13" s="95">
        <v>0</v>
      </c>
      <c r="X13" s="95">
        <v>0</v>
      </c>
      <c r="Y13" s="95">
        <v>0</v>
      </c>
      <c r="Z13" s="95">
        <v>0</v>
      </c>
      <c r="AA13" s="95">
        <v>0</v>
      </c>
      <c r="AB13" s="95">
        <v>0</v>
      </c>
      <c r="AC13" s="95">
        <v>0</v>
      </c>
      <c r="AD13" s="95">
        <v>0</v>
      </c>
      <c r="AE13" s="95">
        <v>0</v>
      </c>
      <c r="AF13" s="95">
        <v>1</v>
      </c>
      <c r="AG13" s="95">
        <v>1</v>
      </c>
      <c r="AH13" s="95">
        <v>0</v>
      </c>
      <c r="AI13" s="95">
        <v>1</v>
      </c>
      <c r="AJ13" s="95">
        <v>0</v>
      </c>
      <c r="AK13" s="95">
        <v>0</v>
      </c>
      <c r="AL13" s="95">
        <v>1</v>
      </c>
      <c r="AM13" s="95">
        <v>0</v>
      </c>
      <c r="AN13" s="95">
        <v>0</v>
      </c>
      <c r="AO13" s="95">
        <v>1</v>
      </c>
      <c r="AP13" s="95">
        <v>0</v>
      </c>
      <c r="AQ13" s="95">
        <v>0</v>
      </c>
      <c r="AR13" s="95">
        <v>1</v>
      </c>
      <c r="AS13" s="95">
        <v>0</v>
      </c>
      <c r="AT13" s="95">
        <v>0</v>
      </c>
      <c r="AU13" s="95">
        <v>0</v>
      </c>
      <c r="AV13" s="95">
        <v>0</v>
      </c>
      <c r="AW13" s="95">
        <v>0</v>
      </c>
      <c r="AX13" s="95">
        <v>0</v>
      </c>
      <c r="AY13" s="95">
        <v>0</v>
      </c>
      <c r="AZ13" s="95">
        <v>0</v>
      </c>
      <c r="BA13" s="95">
        <v>0</v>
      </c>
    </row>
    <row r="14" spans="1:53" x14ac:dyDescent="0.15">
      <c r="A14" s="56">
        <v>10</v>
      </c>
      <c r="B14" s="95">
        <v>24000</v>
      </c>
      <c r="C14" s="95">
        <v>24000</v>
      </c>
      <c r="D14" s="95">
        <v>24000</v>
      </c>
      <c r="E14" s="95">
        <v>24000</v>
      </c>
      <c r="F14" s="95">
        <v>24000</v>
      </c>
      <c r="G14" s="95">
        <v>24000</v>
      </c>
      <c r="H14" s="95">
        <v>24000</v>
      </c>
      <c r="I14" s="95">
        <v>24000</v>
      </c>
      <c r="J14" s="95">
        <v>24000</v>
      </c>
      <c r="K14" s="95">
        <v>24000</v>
      </c>
      <c r="L14" s="95">
        <v>1</v>
      </c>
      <c r="M14" s="95">
        <v>0</v>
      </c>
      <c r="N14" s="95">
        <v>0</v>
      </c>
      <c r="O14" s="95">
        <v>0</v>
      </c>
      <c r="P14" s="95">
        <v>0</v>
      </c>
      <c r="Q14" s="95">
        <v>0</v>
      </c>
      <c r="R14" s="95">
        <v>0</v>
      </c>
      <c r="S14" s="95">
        <v>0</v>
      </c>
      <c r="T14" s="95">
        <v>0</v>
      </c>
      <c r="U14" s="95">
        <v>0</v>
      </c>
      <c r="V14" s="95">
        <v>0</v>
      </c>
      <c r="W14" s="95">
        <v>0</v>
      </c>
      <c r="X14" s="95">
        <v>0</v>
      </c>
      <c r="Y14" s="95">
        <v>0</v>
      </c>
      <c r="Z14" s="95">
        <v>0</v>
      </c>
      <c r="AA14" s="95">
        <v>0</v>
      </c>
      <c r="AB14" s="95">
        <v>0</v>
      </c>
      <c r="AC14" s="95">
        <v>0</v>
      </c>
      <c r="AD14" s="95">
        <v>0</v>
      </c>
      <c r="AE14" s="95">
        <v>0</v>
      </c>
      <c r="AF14" s="95">
        <v>1</v>
      </c>
      <c r="AG14" s="95">
        <v>1</v>
      </c>
      <c r="AH14" s="95">
        <v>0</v>
      </c>
      <c r="AI14" s="95">
        <v>1</v>
      </c>
      <c r="AJ14" s="95">
        <v>0</v>
      </c>
      <c r="AK14" s="95">
        <v>0</v>
      </c>
      <c r="AL14" s="95">
        <v>1</v>
      </c>
      <c r="AM14" s="95">
        <v>0</v>
      </c>
      <c r="AN14" s="95">
        <v>0</v>
      </c>
      <c r="AO14" s="95">
        <v>1</v>
      </c>
      <c r="AP14" s="95">
        <v>0</v>
      </c>
      <c r="AQ14" s="95">
        <v>0</v>
      </c>
      <c r="AR14" s="95">
        <v>1</v>
      </c>
      <c r="AS14" s="95">
        <v>0</v>
      </c>
      <c r="AT14" s="95">
        <v>0</v>
      </c>
      <c r="AU14" s="95">
        <v>0</v>
      </c>
      <c r="AV14" s="95">
        <v>0</v>
      </c>
      <c r="AW14" s="95">
        <v>0</v>
      </c>
      <c r="AX14" s="95">
        <v>0</v>
      </c>
      <c r="AY14" s="95">
        <v>0</v>
      </c>
      <c r="AZ14" s="95">
        <v>0</v>
      </c>
      <c r="BA14" s="95">
        <v>0</v>
      </c>
    </row>
    <row r="15" spans="1:53" x14ac:dyDescent="0.15">
      <c r="A15" s="56">
        <v>11</v>
      </c>
      <c r="B15" s="95">
        <v>27000</v>
      </c>
      <c r="C15" s="95">
        <v>27000</v>
      </c>
      <c r="D15" s="95">
        <v>27000</v>
      </c>
      <c r="E15" s="95">
        <v>27000</v>
      </c>
      <c r="F15" s="95">
        <v>27000</v>
      </c>
      <c r="G15" s="95">
        <v>27000</v>
      </c>
      <c r="H15" s="95">
        <v>27000</v>
      </c>
      <c r="I15" s="95">
        <v>27000</v>
      </c>
      <c r="J15" s="95">
        <v>27000</v>
      </c>
      <c r="K15" s="95">
        <v>27000</v>
      </c>
      <c r="L15" s="95">
        <v>1</v>
      </c>
      <c r="M15" s="95">
        <v>0</v>
      </c>
      <c r="N15" s="95">
        <v>0</v>
      </c>
      <c r="O15" s="95">
        <v>0</v>
      </c>
      <c r="P15" s="95">
        <v>0</v>
      </c>
      <c r="Q15" s="95">
        <v>0</v>
      </c>
      <c r="R15" s="95">
        <v>0</v>
      </c>
      <c r="S15" s="95">
        <v>0</v>
      </c>
      <c r="T15" s="95">
        <v>0</v>
      </c>
      <c r="U15" s="95">
        <v>0</v>
      </c>
      <c r="V15" s="95">
        <v>0</v>
      </c>
      <c r="W15" s="95">
        <v>0</v>
      </c>
      <c r="X15" s="95">
        <v>0</v>
      </c>
      <c r="Y15" s="95">
        <v>0</v>
      </c>
      <c r="Z15" s="95">
        <v>0</v>
      </c>
      <c r="AA15" s="95">
        <v>0</v>
      </c>
      <c r="AB15" s="95">
        <v>0</v>
      </c>
      <c r="AC15" s="95">
        <v>0</v>
      </c>
      <c r="AD15" s="95">
        <v>0</v>
      </c>
      <c r="AE15" s="95">
        <v>0</v>
      </c>
      <c r="AF15" s="95">
        <v>1</v>
      </c>
      <c r="AG15" s="95">
        <v>1</v>
      </c>
      <c r="AH15" s="95">
        <v>1</v>
      </c>
      <c r="AI15" s="95">
        <v>1</v>
      </c>
      <c r="AJ15" s="95">
        <v>1</v>
      </c>
      <c r="AK15" s="95">
        <v>1</v>
      </c>
      <c r="AL15" s="95">
        <v>1</v>
      </c>
      <c r="AM15" s="95">
        <v>1</v>
      </c>
      <c r="AN15" s="95">
        <v>1</v>
      </c>
      <c r="AO15" s="95">
        <v>1</v>
      </c>
      <c r="AP15" s="95">
        <v>1</v>
      </c>
      <c r="AQ15" s="95">
        <v>1</v>
      </c>
      <c r="AR15" s="95">
        <v>1</v>
      </c>
      <c r="AS15" s="95">
        <v>1</v>
      </c>
      <c r="AT15" s="95">
        <v>1</v>
      </c>
      <c r="AU15" s="95">
        <v>9000</v>
      </c>
      <c r="AV15" s="95">
        <v>9000</v>
      </c>
      <c r="AW15" s="95">
        <v>9000</v>
      </c>
      <c r="AX15" s="95">
        <v>9000</v>
      </c>
      <c r="AY15" s="95">
        <v>9000</v>
      </c>
      <c r="AZ15" s="95">
        <v>9000</v>
      </c>
      <c r="BA15" s="95">
        <v>9000</v>
      </c>
    </row>
    <row r="16" spans="1:53" x14ac:dyDescent="0.15">
      <c r="A16" s="56">
        <v>12</v>
      </c>
      <c r="B16" s="95">
        <v>30000</v>
      </c>
      <c r="C16" s="95">
        <v>30000</v>
      </c>
      <c r="D16" s="95">
        <v>30000</v>
      </c>
      <c r="E16" s="95">
        <v>30000</v>
      </c>
      <c r="F16" s="95">
        <v>30000</v>
      </c>
      <c r="G16" s="95">
        <v>30000</v>
      </c>
      <c r="H16" s="95">
        <v>30000</v>
      </c>
      <c r="I16" s="95">
        <v>30000</v>
      </c>
      <c r="J16" s="95">
        <v>30000</v>
      </c>
      <c r="K16" s="95">
        <v>30000</v>
      </c>
      <c r="L16" s="95">
        <v>1</v>
      </c>
      <c r="M16" s="95">
        <v>0</v>
      </c>
      <c r="N16" s="95">
        <v>0</v>
      </c>
      <c r="O16" s="95">
        <v>0</v>
      </c>
      <c r="P16" s="95">
        <v>0</v>
      </c>
      <c r="Q16" s="95">
        <v>0</v>
      </c>
      <c r="R16" s="95">
        <v>0</v>
      </c>
      <c r="S16" s="95">
        <v>0</v>
      </c>
      <c r="T16" s="95">
        <v>0</v>
      </c>
      <c r="U16" s="95">
        <v>0</v>
      </c>
      <c r="V16" s="95">
        <v>0</v>
      </c>
      <c r="W16" s="95">
        <v>0</v>
      </c>
      <c r="X16" s="95">
        <v>0</v>
      </c>
      <c r="Y16" s="95">
        <v>0</v>
      </c>
      <c r="Z16" s="95">
        <v>0</v>
      </c>
      <c r="AA16" s="95">
        <v>0</v>
      </c>
      <c r="AB16" s="95">
        <v>0</v>
      </c>
      <c r="AC16" s="95">
        <v>0</v>
      </c>
      <c r="AD16" s="95">
        <v>0</v>
      </c>
      <c r="AE16" s="95">
        <v>0</v>
      </c>
      <c r="AF16" s="95">
        <v>1</v>
      </c>
      <c r="AG16" s="95">
        <v>1</v>
      </c>
      <c r="AH16" s="95">
        <v>1</v>
      </c>
      <c r="AI16" s="95">
        <v>1</v>
      </c>
      <c r="AJ16" s="95">
        <v>1</v>
      </c>
      <c r="AK16" s="95">
        <v>1</v>
      </c>
      <c r="AL16" s="95">
        <v>1</v>
      </c>
      <c r="AM16" s="95">
        <v>1</v>
      </c>
      <c r="AN16" s="95">
        <v>1</v>
      </c>
      <c r="AO16" s="95">
        <v>1</v>
      </c>
      <c r="AP16" s="95">
        <v>1</v>
      </c>
      <c r="AQ16" s="95">
        <v>1</v>
      </c>
      <c r="AR16" s="95">
        <v>1</v>
      </c>
      <c r="AS16" s="95">
        <v>1</v>
      </c>
      <c r="AT16" s="95">
        <v>1</v>
      </c>
      <c r="AU16" s="95">
        <v>12000</v>
      </c>
      <c r="AV16" s="95">
        <v>12000</v>
      </c>
      <c r="AW16" s="95">
        <v>12000</v>
      </c>
      <c r="AX16" s="95">
        <v>12000</v>
      </c>
      <c r="AY16" s="95">
        <v>12000</v>
      </c>
      <c r="AZ16" s="95">
        <v>12000</v>
      </c>
      <c r="BA16" s="95">
        <v>12000</v>
      </c>
    </row>
    <row r="17" spans="1:53" x14ac:dyDescent="0.15">
      <c r="A17" s="56">
        <v>13</v>
      </c>
      <c r="B17" s="95">
        <v>33000</v>
      </c>
      <c r="C17" s="95">
        <v>33000</v>
      </c>
      <c r="D17" s="95">
        <v>33000</v>
      </c>
      <c r="E17" s="95">
        <v>33000</v>
      </c>
      <c r="F17" s="95">
        <v>33000</v>
      </c>
      <c r="G17" s="95">
        <v>33000</v>
      </c>
      <c r="H17" s="95">
        <v>33000</v>
      </c>
      <c r="I17" s="95">
        <v>33000</v>
      </c>
      <c r="J17" s="95">
        <v>33000</v>
      </c>
      <c r="K17" s="95">
        <v>33000</v>
      </c>
      <c r="L17" s="95">
        <v>1</v>
      </c>
      <c r="M17" s="95">
        <v>0</v>
      </c>
      <c r="N17" s="95">
        <v>0</v>
      </c>
      <c r="O17" s="95">
        <v>0</v>
      </c>
      <c r="P17" s="95">
        <v>0</v>
      </c>
      <c r="Q17" s="95">
        <v>0</v>
      </c>
      <c r="R17" s="95">
        <v>0</v>
      </c>
      <c r="S17" s="95">
        <v>0</v>
      </c>
      <c r="T17" s="95">
        <v>0</v>
      </c>
      <c r="U17" s="95">
        <v>0</v>
      </c>
      <c r="V17" s="95">
        <v>0</v>
      </c>
      <c r="W17" s="95">
        <v>0</v>
      </c>
      <c r="X17" s="95">
        <v>0</v>
      </c>
      <c r="Y17" s="95">
        <v>0</v>
      </c>
      <c r="Z17" s="95">
        <v>0</v>
      </c>
      <c r="AA17" s="95">
        <v>0</v>
      </c>
      <c r="AB17" s="95">
        <v>0</v>
      </c>
      <c r="AC17" s="95">
        <v>0</v>
      </c>
      <c r="AD17" s="95">
        <v>0</v>
      </c>
      <c r="AE17" s="95">
        <v>0</v>
      </c>
      <c r="AF17" s="95">
        <v>1</v>
      </c>
      <c r="AG17" s="95">
        <v>1</v>
      </c>
      <c r="AH17" s="95">
        <v>1</v>
      </c>
      <c r="AI17" s="95">
        <v>1</v>
      </c>
      <c r="AJ17" s="95">
        <v>1</v>
      </c>
      <c r="AK17" s="95">
        <v>1</v>
      </c>
      <c r="AL17" s="95">
        <v>1</v>
      </c>
      <c r="AM17" s="95">
        <v>1</v>
      </c>
      <c r="AN17" s="95">
        <v>1</v>
      </c>
      <c r="AO17" s="95">
        <v>1</v>
      </c>
      <c r="AP17" s="95">
        <v>1</v>
      </c>
      <c r="AQ17" s="95">
        <v>1</v>
      </c>
      <c r="AR17" s="95">
        <v>1</v>
      </c>
      <c r="AS17" s="95">
        <v>1</v>
      </c>
      <c r="AT17" s="95">
        <v>1</v>
      </c>
      <c r="AU17" s="95">
        <v>15000</v>
      </c>
      <c r="AV17" s="95">
        <v>15000</v>
      </c>
      <c r="AW17" s="95">
        <v>15000</v>
      </c>
      <c r="AX17" s="95">
        <v>15000</v>
      </c>
      <c r="AY17" s="95">
        <v>15000</v>
      </c>
      <c r="AZ17" s="95">
        <v>15000</v>
      </c>
      <c r="BA17" s="95">
        <v>15000</v>
      </c>
    </row>
    <row r="18" spans="1:53" x14ac:dyDescent="0.15">
      <c r="A18" s="56">
        <v>14</v>
      </c>
      <c r="B18" s="95">
        <v>36000</v>
      </c>
      <c r="C18" s="95">
        <v>36000</v>
      </c>
      <c r="D18" s="95">
        <v>36000</v>
      </c>
      <c r="E18" s="95">
        <v>36000</v>
      </c>
      <c r="F18" s="95">
        <v>36000</v>
      </c>
      <c r="G18" s="95">
        <v>36000</v>
      </c>
      <c r="H18" s="95">
        <v>36000</v>
      </c>
      <c r="I18" s="95">
        <v>36000</v>
      </c>
      <c r="J18" s="95">
        <v>36000</v>
      </c>
      <c r="K18" s="95">
        <v>36000</v>
      </c>
      <c r="L18" s="95">
        <v>1</v>
      </c>
      <c r="M18" s="95">
        <v>0</v>
      </c>
      <c r="N18" s="95">
        <v>0</v>
      </c>
      <c r="O18" s="95">
        <v>0</v>
      </c>
      <c r="P18" s="95">
        <v>0</v>
      </c>
      <c r="Q18" s="95">
        <v>0</v>
      </c>
      <c r="R18" s="95">
        <v>0</v>
      </c>
      <c r="S18" s="95">
        <v>0</v>
      </c>
      <c r="T18" s="95">
        <v>0</v>
      </c>
      <c r="U18" s="95">
        <v>0</v>
      </c>
      <c r="V18" s="95">
        <v>0</v>
      </c>
      <c r="W18" s="95">
        <v>0</v>
      </c>
      <c r="X18" s="95">
        <v>0</v>
      </c>
      <c r="Y18" s="95">
        <v>0</v>
      </c>
      <c r="Z18" s="95">
        <v>0</v>
      </c>
      <c r="AA18" s="95">
        <v>0</v>
      </c>
      <c r="AB18" s="95">
        <v>0</v>
      </c>
      <c r="AC18" s="95">
        <v>0</v>
      </c>
      <c r="AD18" s="95">
        <v>0</v>
      </c>
      <c r="AE18" s="95">
        <v>0</v>
      </c>
      <c r="AF18" s="95">
        <v>1</v>
      </c>
      <c r="AG18" s="95">
        <v>1</v>
      </c>
      <c r="AH18" s="95">
        <v>1</v>
      </c>
      <c r="AI18" s="95">
        <v>1</v>
      </c>
      <c r="AJ18" s="95">
        <v>1</v>
      </c>
      <c r="AK18" s="95">
        <v>1</v>
      </c>
      <c r="AL18" s="95">
        <v>1</v>
      </c>
      <c r="AM18" s="95">
        <v>1</v>
      </c>
      <c r="AN18" s="95">
        <v>1</v>
      </c>
      <c r="AO18" s="95">
        <v>1</v>
      </c>
      <c r="AP18" s="95">
        <v>1</v>
      </c>
      <c r="AQ18" s="95">
        <v>1</v>
      </c>
      <c r="AR18" s="95">
        <v>1</v>
      </c>
      <c r="AS18" s="95">
        <v>1</v>
      </c>
      <c r="AT18" s="95">
        <v>1</v>
      </c>
      <c r="AU18" s="95">
        <v>18000</v>
      </c>
      <c r="AV18" s="95">
        <v>18000</v>
      </c>
      <c r="AW18" s="95">
        <v>18000</v>
      </c>
      <c r="AX18" s="95">
        <v>18000</v>
      </c>
      <c r="AY18" s="95">
        <v>18000</v>
      </c>
      <c r="AZ18" s="95">
        <v>18000</v>
      </c>
      <c r="BA18" s="95">
        <v>18000</v>
      </c>
    </row>
    <row r="19" spans="1:53" x14ac:dyDescent="0.15">
      <c r="A19" s="56">
        <v>15</v>
      </c>
      <c r="B19" s="95">
        <v>39000</v>
      </c>
      <c r="C19" s="95">
        <v>39000</v>
      </c>
      <c r="D19" s="95">
        <v>39000</v>
      </c>
      <c r="E19" s="95">
        <v>39000</v>
      </c>
      <c r="F19" s="95">
        <v>39000</v>
      </c>
      <c r="G19" s="95">
        <v>39000</v>
      </c>
      <c r="H19" s="95">
        <v>39000</v>
      </c>
      <c r="I19" s="95">
        <v>39000</v>
      </c>
      <c r="J19" s="95">
        <v>39000</v>
      </c>
      <c r="K19" s="95">
        <v>39000</v>
      </c>
      <c r="L19" s="95">
        <v>1</v>
      </c>
      <c r="M19" s="95">
        <v>0</v>
      </c>
      <c r="N19" s="95">
        <v>0</v>
      </c>
      <c r="O19" s="95">
        <v>0</v>
      </c>
      <c r="P19" s="95">
        <v>0</v>
      </c>
      <c r="Q19" s="95">
        <v>0</v>
      </c>
      <c r="R19" s="95">
        <v>0</v>
      </c>
      <c r="S19" s="95">
        <v>0</v>
      </c>
      <c r="T19" s="95">
        <v>0</v>
      </c>
      <c r="U19" s="95">
        <v>0</v>
      </c>
      <c r="V19" s="95">
        <v>0</v>
      </c>
      <c r="W19" s="95">
        <v>0</v>
      </c>
      <c r="X19" s="95">
        <v>0</v>
      </c>
      <c r="Y19" s="95">
        <v>0</v>
      </c>
      <c r="Z19" s="95">
        <v>0</v>
      </c>
      <c r="AA19" s="95">
        <v>0</v>
      </c>
      <c r="AB19" s="95">
        <v>0</v>
      </c>
      <c r="AC19" s="95">
        <v>0</v>
      </c>
      <c r="AD19" s="95">
        <v>0</v>
      </c>
      <c r="AE19" s="95">
        <v>0</v>
      </c>
      <c r="AF19" s="95">
        <v>1</v>
      </c>
      <c r="AG19" s="95">
        <v>1</v>
      </c>
      <c r="AH19" s="95">
        <v>1</v>
      </c>
      <c r="AI19" s="95">
        <v>1</v>
      </c>
      <c r="AJ19" s="95">
        <v>1</v>
      </c>
      <c r="AK19" s="95">
        <v>1</v>
      </c>
      <c r="AL19" s="95">
        <v>1</v>
      </c>
      <c r="AM19" s="95">
        <v>1</v>
      </c>
      <c r="AN19" s="95">
        <v>1</v>
      </c>
      <c r="AO19" s="95">
        <v>1</v>
      </c>
      <c r="AP19" s="95">
        <v>1</v>
      </c>
      <c r="AQ19" s="95">
        <v>1</v>
      </c>
      <c r="AR19" s="95">
        <v>1</v>
      </c>
      <c r="AS19" s="95">
        <v>1</v>
      </c>
      <c r="AT19" s="95">
        <v>1</v>
      </c>
      <c r="AU19" s="95">
        <v>21000</v>
      </c>
      <c r="AV19" s="95">
        <v>21000</v>
      </c>
      <c r="AW19" s="95">
        <v>21000</v>
      </c>
      <c r="AX19" s="95">
        <v>21000</v>
      </c>
      <c r="AY19" s="95">
        <v>21000</v>
      </c>
      <c r="AZ19" s="95">
        <v>21000</v>
      </c>
      <c r="BA19" s="95">
        <v>21000</v>
      </c>
    </row>
    <row r="20" spans="1:53" x14ac:dyDescent="0.15">
      <c r="A20" s="56">
        <v>16</v>
      </c>
      <c r="B20" s="95">
        <v>42000</v>
      </c>
      <c r="C20" s="95">
        <v>42000</v>
      </c>
      <c r="D20" s="95">
        <v>42000</v>
      </c>
      <c r="E20" s="95">
        <v>42000</v>
      </c>
      <c r="F20" s="95">
        <v>42000</v>
      </c>
      <c r="G20" s="95">
        <v>42000</v>
      </c>
      <c r="H20" s="95">
        <v>42000</v>
      </c>
      <c r="I20" s="95">
        <v>42000</v>
      </c>
      <c r="J20" s="95">
        <v>42000</v>
      </c>
      <c r="K20" s="95">
        <v>42000</v>
      </c>
      <c r="L20" s="95">
        <v>1</v>
      </c>
      <c r="M20" s="95">
        <v>0</v>
      </c>
      <c r="N20" s="95">
        <v>0</v>
      </c>
      <c r="O20" s="95">
        <v>0</v>
      </c>
      <c r="P20" s="95">
        <v>0</v>
      </c>
      <c r="Q20" s="95">
        <v>0</v>
      </c>
      <c r="R20" s="95">
        <v>0</v>
      </c>
      <c r="S20" s="95">
        <v>0</v>
      </c>
      <c r="T20" s="95">
        <v>0</v>
      </c>
      <c r="U20" s="95">
        <v>0</v>
      </c>
      <c r="V20" s="95">
        <v>0</v>
      </c>
      <c r="W20" s="95">
        <v>0</v>
      </c>
      <c r="X20" s="95">
        <v>0</v>
      </c>
      <c r="Y20" s="95">
        <v>0</v>
      </c>
      <c r="Z20" s="95">
        <v>0</v>
      </c>
      <c r="AA20" s="95">
        <v>0</v>
      </c>
      <c r="AB20" s="95">
        <v>0</v>
      </c>
      <c r="AC20" s="95">
        <v>0</v>
      </c>
      <c r="AD20" s="95">
        <v>0</v>
      </c>
      <c r="AE20" s="95">
        <v>0</v>
      </c>
      <c r="AF20" s="95">
        <v>1</v>
      </c>
      <c r="AG20" s="95">
        <v>1</v>
      </c>
      <c r="AH20" s="95">
        <v>1</v>
      </c>
      <c r="AI20" s="95">
        <v>1</v>
      </c>
      <c r="AJ20" s="95">
        <v>1</v>
      </c>
      <c r="AK20" s="95">
        <v>1</v>
      </c>
      <c r="AL20" s="95">
        <v>1</v>
      </c>
      <c r="AM20" s="95">
        <v>1</v>
      </c>
      <c r="AN20" s="95">
        <v>1</v>
      </c>
      <c r="AO20" s="95">
        <v>1</v>
      </c>
      <c r="AP20" s="95">
        <v>1</v>
      </c>
      <c r="AQ20" s="95">
        <v>1</v>
      </c>
      <c r="AR20" s="95">
        <v>1</v>
      </c>
      <c r="AS20" s="95">
        <v>1</v>
      </c>
      <c r="AT20" s="95">
        <v>1</v>
      </c>
      <c r="AU20" s="95">
        <v>24000</v>
      </c>
      <c r="AV20" s="95">
        <v>24000</v>
      </c>
      <c r="AW20" s="95">
        <v>24000</v>
      </c>
      <c r="AX20" s="95">
        <v>24000</v>
      </c>
      <c r="AY20" s="95">
        <v>24000</v>
      </c>
      <c r="AZ20" s="95">
        <v>24000</v>
      </c>
      <c r="BA20" s="95">
        <v>24000</v>
      </c>
    </row>
    <row r="21" spans="1:53" x14ac:dyDescent="0.15">
      <c r="A21" s="56">
        <v>17</v>
      </c>
      <c r="B21" s="95">
        <v>45000</v>
      </c>
      <c r="C21" s="95">
        <v>45000</v>
      </c>
      <c r="D21" s="95">
        <v>45000</v>
      </c>
      <c r="E21" s="95">
        <v>45000</v>
      </c>
      <c r="F21" s="95">
        <v>45000</v>
      </c>
      <c r="G21" s="95">
        <v>45000</v>
      </c>
      <c r="H21" s="95">
        <v>45000</v>
      </c>
      <c r="I21" s="95">
        <v>45000</v>
      </c>
      <c r="J21" s="95">
        <v>45000</v>
      </c>
      <c r="K21" s="95">
        <v>45000</v>
      </c>
      <c r="L21" s="95">
        <v>1</v>
      </c>
      <c r="M21" s="95">
        <v>0</v>
      </c>
      <c r="N21" s="95">
        <v>0</v>
      </c>
      <c r="O21" s="95">
        <v>0</v>
      </c>
      <c r="P21" s="95">
        <v>0</v>
      </c>
      <c r="Q21" s="95">
        <v>0</v>
      </c>
      <c r="R21" s="95">
        <v>0</v>
      </c>
      <c r="S21" s="95">
        <v>0</v>
      </c>
      <c r="T21" s="95">
        <v>0</v>
      </c>
      <c r="U21" s="95">
        <v>0</v>
      </c>
      <c r="V21" s="95">
        <v>0</v>
      </c>
      <c r="W21" s="95">
        <v>0</v>
      </c>
      <c r="X21" s="95">
        <v>0</v>
      </c>
      <c r="Y21" s="95">
        <v>0</v>
      </c>
      <c r="Z21" s="95">
        <v>0</v>
      </c>
      <c r="AA21" s="95">
        <v>0</v>
      </c>
      <c r="AB21" s="95">
        <v>0</v>
      </c>
      <c r="AC21" s="95">
        <v>0</v>
      </c>
      <c r="AD21" s="95">
        <v>0</v>
      </c>
      <c r="AE21" s="95">
        <v>0</v>
      </c>
      <c r="AF21" s="95">
        <v>1</v>
      </c>
      <c r="AG21" s="95">
        <v>1</v>
      </c>
      <c r="AH21" s="95">
        <v>1</v>
      </c>
      <c r="AI21" s="95">
        <v>1</v>
      </c>
      <c r="AJ21" s="95">
        <v>1</v>
      </c>
      <c r="AK21" s="95">
        <v>1</v>
      </c>
      <c r="AL21" s="95">
        <v>1</v>
      </c>
      <c r="AM21" s="95">
        <v>1</v>
      </c>
      <c r="AN21" s="95">
        <v>1</v>
      </c>
      <c r="AO21" s="95">
        <v>1</v>
      </c>
      <c r="AP21" s="95">
        <v>1</v>
      </c>
      <c r="AQ21" s="95">
        <v>1</v>
      </c>
      <c r="AR21" s="95">
        <v>1</v>
      </c>
      <c r="AS21" s="95">
        <v>1</v>
      </c>
      <c r="AT21" s="95">
        <v>1</v>
      </c>
      <c r="AU21" s="95">
        <v>27000</v>
      </c>
      <c r="AV21" s="95">
        <v>27000</v>
      </c>
      <c r="AW21" s="95">
        <v>27000</v>
      </c>
      <c r="AX21" s="95">
        <v>27000</v>
      </c>
      <c r="AY21" s="95">
        <v>27000</v>
      </c>
      <c r="AZ21" s="95">
        <v>27000</v>
      </c>
      <c r="BA21" s="95">
        <v>27000</v>
      </c>
    </row>
    <row r="22" spans="1:53" x14ac:dyDescent="0.15">
      <c r="A22" s="56">
        <v>18</v>
      </c>
      <c r="B22" s="95">
        <v>48000</v>
      </c>
      <c r="C22" s="95">
        <v>48000</v>
      </c>
      <c r="D22" s="95">
        <v>48000</v>
      </c>
      <c r="E22" s="95">
        <v>48000</v>
      </c>
      <c r="F22" s="95">
        <v>48000</v>
      </c>
      <c r="G22" s="95">
        <v>48000</v>
      </c>
      <c r="H22" s="95">
        <v>48000</v>
      </c>
      <c r="I22" s="95">
        <v>48000</v>
      </c>
      <c r="J22" s="95">
        <v>48000</v>
      </c>
      <c r="K22" s="95">
        <v>48000</v>
      </c>
      <c r="L22" s="95">
        <v>1</v>
      </c>
      <c r="M22" s="95">
        <v>0</v>
      </c>
      <c r="N22" s="95">
        <v>0</v>
      </c>
      <c r="O22" s="95">
        <v>0</v>
      </c>
      <c r="P22" s="95">
        <v>0</v>
      </c>
      <c r="Q22" s="95">
        <v>0</v>
      </c>
      <c r="R22" s="95">
        <v>0</v>
      </c>
      <c r="S22" s="95">
        <v>0</v>
      </c>
      <c r="T22" s="95">
        <v>0</v>
      </c>
      <c r="U22" s="95">
        <v>0</v>
      </c>
      <c r="V22" s="95">
        <v>0</v>
      </c>
      <c r="W22" s="95">
        <v>0</v>
      </c>
      <c r="X22" s="95">
        <v>0</v>
      </c>
      <c r="Y22" s="95">
        <v>0</v>
      </c>
      <c r="Z22" s="95">
        <v>0</v>
      </c>
      <c r="AA22" s="95">
        <v>0</v>
      </c>
      <c r="AB22" s="95">
        <v>0</v>
      </c>
      <c r="AC22" s="95">
        <v>0</v>
      </c>
      <c r="AD22" s="95">
        <v>0</v>
      </c>
      <c r="AE22" s="95">
        <v>0</v>
      </c>
      <c r="AF22" s="95">
        <v>1</v>
      </c>
      <c r="AG22" s="95">
        <v>1</v>
      </c>
      <c r="AH22" s="95">
        <v>1</v>
      </c>
      <c r="AI22" s="95">
        <v>1</v>
      </c>
      <c r="AJ22" s="95">
        <v>1</v>
      </c>
      <c r="AK22" s="95">
        <v>1</v>
      </c>
      <c r="AL22" s="95">
        <v>1</v>
      </c>
      <c r="AM22" s="95">
        <v>1</v>
      </c>
      <c r="AN22" s="95">
        <v>1</v>
      </c>
      <c r="AO22" s="95">
        <v>1</v>
      </c>
      <c r="AP22" s="95">
        <v>1</v>
      </c>
      <c r="AQ22" s="95">
        <v>1</v>
      </c>
      <c r="AR22" s="95">
        <v>1</v>
      </c>
      <c r="AS22" s="95">
        <v>1</v>
      </c>
      <c r="AT22" s="95">
        <v>1</v>
      </c>
      <c r="AU22" s="95">
        <v>30000</v>
      </c>
      <c r="AV22" s="95">
        <v>30000</v>
      </c>
      <c r="AW22" s="95">
        <v>30000</v>
      </c>
      <c r="AX22" s="95">
        <v>30000</v>
      </c>
      <c r="AY22" s="95">
        <v>30000</v>
      </c>
      <c r="AZ22" s="95">
        <v>30000</v>
      </c>
      <c r="BA22" s="95">
        <v>30000</v>
      </c>
    </row>
    <row r="23" spans="1:53" x14ac:dyDescent="0.15">
      <c r="A23" s="56">
        <v>19</v>
      </c>
      <c r="B23" s="95">
        <v>51000</v>
      </c>
      <c r="C23" s="95">
        <v>51000</v>
      </c>
      <c r="D23" s="95">
        <v>51000</v>
      </c>
      <c r="E23" s="95">
        <v>51000</v>
      </c>
      <c r="F23" s="95">
        <v>51000</v>
      </c>
      <c r="G23" s="95">
        <v>51000</v>
      </c>
      <c r="H23" s="95">
        <v>51000</v>
      </c>
      <c r="I23" s="95">
        <v>51000</v>
      </c>
      <c r="J23" s="95">
        <v>51000</v>
      </c>
      <c r="K23" s="95">
        <v>51000</v>
      </c>
      <c r="L23" s="95">
        <v>1</v>
      </c>
      <c r="M23" s="95">
        <v>0</v>
      </c>
      <c r="N23" s="95">
        <v>0</v>
      </c>
      <c r="O23" s="95">
        <v>0</v>
      </c>
      <c r="P23" s="95">
        <v>0</v>
      </c>
      <c r="Q23" s="95">
        <v>0</v>
      </c>
      <c r="R23" s="95">
        <v>0</v>
      </c>
      <c r="S23" s="95">
        <v>0</v>
      </c>
      <c r="T23" s="95">
        <v>0</v>
      </c>
      <c r="U23" s="95">
        <v>0</v>
      </c>
      <c r="V23" s="95">
        <v>0</v>
      </c>
      <c r="W23" s="95">
        <v>0</v>
      </c>
      <c r="X23" s="95">
        <v>0</v>
      </c>
      <c r="Y23" s="95">
        <v>0</v>
      </c>
      <c r="Z23" s="95">
        <v>0</v>
      </c>
      <c r="AA23" s="95">
        <v>0</v>
      </c>
      <c r="AB23" s="95">
        <v>0</v>
      </c>
      <c r="AC23" s="95">
        <v>0</v>
      </c>
      <c r="AD23" s="95">
        <v>0</v>
      </c>
      <c r="AE23" s="95">
        <v>0</v>
      </c>
      <c r="AF23" s="95">
        <v>1</v>
      </c>
      <c r="AG23" s="95">
        <v>1</v>
      </c>
      <c r="AH23" s="95">
        <v>1</v>
      </c>
      <c r="AI23" s="95">
        <v>1</v>
      </c>
      <c r="AJ23" s="95">
        <v>1</v>
      </c>
      <c r="AK23" s="95">
        <v>1</v>
      </c>
      <c r="AL23" s="95">
        <v>1</v>
      </c>
      <c r="AM23" s="95">
        <v>1</v>
      </c>
      <c r="AN23" s="95">
        <v>1</v>
      </c>
      <c r="AO23" s="95">
        <v>1</v>
      </c>
      <c r="AP23" s="95">
        <v>1</v>
      </c>
      <c r="AQ23" s="95">
        <v>1</v>
      </c>
      <c r="AR23" s="95">
        <v>1</v>
      </c>
      <c r="AS23" s="95">
        <v>1</v>
      </c>
      <c r="AT23" s="95">
        <v>1</v>
      </c>
      <c r="AU23" s="95">
        <v>33000</v>
      </c>
      <c r="AV23" s="95">
        <v>33000</v>
      </c>
      <c r="AW23" s="95">
        <v>33000</v>
      </c>
      <c r="AX23" s="95">
        <v>33000</v>
      </c>
      <c r="AY23" s="95">
        <v>33000</v>
      </c>
      <c r="AZ23" s="95">
        <v>33000</v>
      </c>
      <c r="BA23" s="95">
        <v>33000</v>
      </c>
    </row>
    <row r="24" spans="1:53" x14ac:dyDescent="0.15">
      <c r="A24" s="56">
        <v>20</v>
      </c>
      <c r="B24" s="95">
        <v>54000</v>
      </c>
      <c r="C24" s="95">
        <v>54000</v>
      </c>
      <c r="D24" s="95">
        <v>54000</v>
      </c>
      <c r="E24" s="95">
        <v>54000</v>
      </c>
      <c r="F24" s="95">
        <v>54000</v>
      </c>
      <c r="G24" s="95">
        <v>54000</v>
      </c>
      <c r="H24" s="95">
        <v>54000</v>
      </c>
      <c r="I24" s="95">
        <v>54000</v>
      </c>
      <c r="J24" s="95">
        <v>54000</v>
      </c>
      <c r="K24" s="95">
        <v>54000</v>
      </c>
      <c r="L24" s="95">
        <v>1</v>
      </c>
      <c r="M24" s="95">
        <v>0</v>
      </c>
      <c r="N24" s="95">
        <v>0</v>
      </c>
      <c r="O24" s="95">
        <v>0</v>
      </c>
      <c r="P24" s="95">
        <v>0</v>
      </c>
      <c r="Q24" s="95">
        <v>0</v>
      </c>
      <c r="R24" s="95">
        <v>0</v>
      </c>
      <c r="S24" s="95">
        <v>0</v>
      </c>
      <c r="T24" s="95">
        <v>0</v>
      </c>
      <c r="U24" s="95">
        <v>0</v>
      </c>
      <c r="V24" s="95">
        <v>0</v>
      </c>
      <c r="W24" s="95">
        <v>0</v>
      </c>
      <c r="X24" s="95">
        <v>0</v>
      </c>
      <c r="Y24" s="95">
        <v>0</v>
      </c>
      <c r="Z24" s="95">
        <v>0</v>
      </c>
      <c r="AA24" s="95">
        <v>0</v>
      </c>
      <c r="AB24" s="95">
        <v>0</v>
      </c>
      <c r="AC24" s="95">
        <v>0</v>
      </c>
      <c r="AD24" s="95">
        <v>0</v>
      </c>
      <c r="AE24" s="95">
        <v>0</v>
      </c>
      <c r="AF24" s="95">
        <v>1</v>
      </c>
      <c r="AG24" s="95">
        <v>1</v>
      </c>
      <c r="AH24" s="95">
        <v>1</v>
      </c>
      <c r="AI24" s="95">
        <v>1</v>
      </c>
      <c r="AJ24" s="95">
        <v>1</v>
      </c>
      <c r="AK24" s="95">
        <v>1</v>
      </c>
      <c r="AL24" s="95">
        <v>1</v>
      </c>
      <c r="AM24" s="95">
        <v>1</v>
      </c>
      <c r="AN24" s="95">
        <v>1</v>
      </c>
      <c r="AO24" s="95">
        <v>1</v>
      </c>
      <c r="AP24" s="95">
        <v>1</v>
      </c>
      <c r="AQ24" s="95">
        <v>1</v>
      </c>
      <c r="AR24" s="95">
        <v>1</v>
      </c>
      <c r="AS24" s="95">
        <v>1</v>
      </c>
      <c r="AT24" s="95">
        <v>1</v>
      </c>
      <c r="AU24" s="95">
        <v>36000</v>
      </c>
      <c r="AV24" s="95">
        <v>36000</v>
      </c>
      <c r="AW24" s="95">
        <v>36000</v>
      </c>
      <c r="AX24" s="95">
        <v>36000</v>
      </c>
      <c r="AY24" s="95">
        <v>36000</v>
      </c>
      <c r="AZ24" s="95">
        <v>36000</v>
      </c>
      <c r="BA24" s="95">
        <v>36000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5" sqref="B5:B24"/>
    </sheetView>
  </sheetViews>
  <sheetFormatPr defaultRowHeight="16.5" x14ac:dyDescent="0.15"/>
  <cols>
    <col min="1" max="2" width="11.25" style="56" bestFit="1" customWidth="1"/>
    <col min="3" max="16384" width="9" style="115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679</v>
      </c>
      <c r="B3" s="56" t="s">
        <v>559</v>
      </c>
    </row>
    <row r="4" spans="1:2" ht="17.25" thickBot="1" x14ac:dyDescent="0.2">
      <c r="A4" s="58" t="s">
        <v>560</v>
      </c>
      <c r="B4" s="58" t="s">
        <v>561</v>
      </c>
    </row>
    <row r="5" spans="1:2" x14ac:dyDescent="0.15">
      <c r="A5" s="56">
        <v>1</v>
      </c>
      <c r="B5" s="56">
        <v>111</v>
      </c>
    </row>
    <row r="6" spans="1:2" x14ac:dyDescent="0.15">
      <c r="A6" s="56">
        <v>2</v>
      </c>
      <c r="B6" s="56">
        <v>132</v>
      </c>
    </row>
    <row r="7" spans="1:2" x14ac:dyDescent="0.15">
      <c r="A7" s="56">
        <v>3</v>
      </c>
      <c r="B7" s="56">
        <v>200</v>
      </c>
    </row>
    <row r="8" spans="1:2" x14ac:dyDescent="0.15">
      <c r="A8" s="56">
        <v>4</v>
      </c>
      <c r="B8" s="56">
        <v>375</v>
      </c>
    </row>
    <row r="9" spans="1:2" x14ac:dyDescent="0.15">
      <c r="A9" s="56">
        <v>5</v>
      </c>
      <c r="B9" s="56">
        <v>968</v>
      </c>
    </row>
    <row r="10" spans="1:2" x14ac:dyDescent="0.15">
      <c r="A10" s="56">
        <v>6</v>
      </c>
      <c r="B10" s="56">
        <v>8160</v>
      </c>
    </row>
    <row r="11" spans="1:2" x14ac:dyDescent="0.15">
      <c r="A11" s="56">
        <v>7</v>
      </c>
      <c r="B11" s="56">
        <v>23700</v>
      </c>
    </row>
    <row r="12" spans="1:2" x14ac:dyDescent="0.15">
      <c r="A12" s="56">
        <v>8</v>
      </c>
      <c r="B12" s="56">
        <v>46600</v>
      </c>
    </row>
    <row r="13" spans="1:2" x14ac:dyDescent="0.15">
      <c r="A13" s="56">
        <v>9</v>
      </c>
      <c r="B13" s="56">
        <v>77900</v>
      </c>
    </row>
    <row r="14" spans="1:2" x14ac:dyDescent="0.15">
      <c r="A14" s="56">
        <v>10</v>
      </c>
      <c r="B14" s="56">
        <v>114200</v>
      </c>
    </row>
    <row r="15" spans="1:2" x14ac:dyDescent="0.15">
      <c r="A15" s="56">
        <v>11</v>
      </c>
      <c r="B15" s="56">
        <v>199000</v>
      </c>
    </row>
    <row r="16" spans="1:2" x14ac:dyDescent="0.15">
      <c r="A16" s="56">
        <v>12</v>
      </c>
      <c r="B16" s="56">
        <v>289100</v>
      </c>
    </row>
    <row r="17" spans="1:2" x14ac:dyDescent="0.15">
      <c r="A17" s="56">
        <v>13</v>
      </c>
      <c r="B17" s="56">
        <v>415300</v>
      </c>
    </row>
    <row r="18" spans="1:2" x14ac:dyDescent="0.15">
      <c r="A18" s="56">
        <v>14</v>
      </c>
      <c r="B18" s="56">
        <v>655600</v>
      </c>
    </row>
    <row r="19" spans="1:2" x14ac:dyDescent="0.15">
      <c r="A19" s="56">
        <v>15</v>
      </c>
      <c r="B19" s="56">
        <v>1058000</v>
      </c>
    </row>
    <row r="20" spans="1:2" x14ac:dyDescent="0.15">
      <c r="A20" s="56">
        <v>16</v>
      </c>
      <c r="B20" s="56">
        <v>1862500</v>
      </c>
    </row>
    <row r="21" spans="1:2" x14ac:dyDescent="0.15">
      <c r="A21" s="56">
        <v>17</v>
      </c>
      <c r="B21" s="56">
        <v>3043100</v>
      </c>
    </row>
    <row r="22" spans="1:2" x14ac:dyDescent="0.15">
      <c r="A22" s="56">
        <v>18</v>
      </c>
      <c r="B22" s="56">
        <v>4643800</v>
      </c>
    </row>
    <row r="23" spans="1:2" x14ac:dyDescent="0.15">
      <c r="A23" s="56">
        <v>19</v>
      </c>
      <c r="B23" s="56">
        <v>6644600</v>
      </c>
    </row>
    <row r="24" spans="1:2" x14ac:dyDescent="0.15">
      <c r="A24" s="56">
        <v>20</v>
      </c>
      <c r="B24" s="56">
        <v>9925500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G11" sqref="G11"/>
    </sheetView>
  </sheetViews>
  <sheetFormatPr defaultRowHeight="16.5" x14ac:dyDescent="0.15"/>
  <cols>
    <col min="1" max="2" width="11.25" style="56" bestFit="1" customWidth="1"/>
    <col min="3" max="16384" width="9" style="92"/>
  </cols>
  <sheetData>
    <row r="1" spans="1:2" x14ac:dyDescent="0.15">
      <c r="A1" s="56" t="s">
        <v>568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679</v>
      </c>
      <c r="B3" s="56" t="s">
        <v>564</v>
      </c>
    </row>
    <row r="4" spans="1:2" ht="17.25" thickBot="1" x14ac:dyDescent="0.2">
      <c r="A4" s="58" t="s">
        <v>562</v>
      </c>
      <c r="B4" s="58" t="s">
        <v>563</v>
      </c>
    </row>
    <row r="5" spans="1:2" x14ac:dyDescent="0.15">
      <c r="A5" s="56">
        <v>1</v>
      </c>
      <c r="B5" s="56">
        <v>444</v>
      </c>
    </row>
    <row r="6" spans="1:2" x14ac:dyDescent="0.15">
      <c r="A6" s="56">
        <v>2</v>
      </c>
      <c r="B6" s="56">
        <v>528</v>
      </c>
    </row>
    <row r="7" spans="1:2" x14ac:dyDescent="0.15">
      <c r="A7" s="56">
        <v>3</v>
      </c>
      <c r="B7" s="56">
        <v>800</v>
      </c>
    </row>
    <row r="8" spans="1:2" x14ac:dyDescent="0.15">
      <c r="A8" s="56">
        <v>4</v>
      </c>
      <c r="B8" s="56">
        <v>1500</v>
      </c>
    </row>
    <row r="9" spans="1:2" x14ac:dyDescent="0.15">
      <c r="A9" s="56">
        <v>5</v>
      </c>
      <c r="B9" s="56">
        <v>3872</v>
      </c>
    </row>
    <row r="10" spans="1:2" x14ac:dyDescent="0.15">
      <c r="A10" s="56">
        <v>6</v>
      </c>
      <c r="B10" s="56">
        <v>32640</v>
      </c>
    </row>
    <row r="11" spans="1:2" x14ac:dyDescent="0.15">
      <c r="A11" s="56">
        <v>7</v>
      </c>
      <c r="B11" s="56">
        <v>94800</v>
      </c>
    </row>
    <row r="12" spans="1:2" x14ac:dyDescent="0.15">
      <c r="A12" s="56">
        <v>8</v>
      </c>
      <c r="B12" s="56">
        <v>186400</v>
      </c>
    </row>
    <row r="13" spans="1:2" x14ac:dyDescent="0.15">
      <c r="A13" s="56">
        <v>9</v>
      </c>
      <c r="B13" s="56">
        <v>311600</v>
      </c>
    </row>
    <row r="14" spans="1:2" x14ac:dyDescent="0.15">
      <c r="A14" s="56">
        <v>10</v>
      </c>
      <c r="B14" s="56">
        <v>456800</v>
      </c>
    </row>
    <row r="15" spans="1:2" x14ac:dyDescent="0.15">
      <c r="A15" s="56">
        <v>11</v>
      </c>
      <c r="B15" s="56">
        <v>796000</v>
      </c>
    </row>
    <row r="16" spans="1:2" x14ac:dyDescent="0.15">
      <c r="A16" s="56">
        <v>12</v>
      </c>
      <c r="B16" s="56">
        <v>1156400</v>
      </c>
    </row>
    <row r="17" spans="1:2" x14ac:dyDescent="0.15">
      <c r="A17" s="56">
        <v>13</v>
      </c>
      <c r="B17" s="56">
        <v>1661200</v>
      </c>
    </row>
    <row r="18" spans="1:2" x14ac:dyDescent="0.15">
      <c r="A18" s="56">
        <v>14</v>
      </c>
      <c r="B18" s="56">
        <v>2622400</v>
      </c>
    </row>
    <row r="19" spans="1:2" x14ac:dyDescent="0.15">
      <c r="A19" s="56">
        <v>15</v>
      </c>
      <c r="B19" s="56">
        <v>4232000</v>
      </c>
    </row>
    <row r="20" spans="1:2" x14ac:dyDescent="0.15">
      <c r="A20" s="56">
        <v>16</v>
      </c>
      <c r="B20" s="56">
        <v>7450000</v>
      </c>
    </row>
    <row r="21" spans="1:2" x14ac:dyDescent="0.15">
      <c r="A21" s="56">
        <v>17</v>
      </c>
      <c r="B21" s="56">
        <v>12172400</v>
      </c>
    </row>
    <row r="22" spans="1:2" x14ac:dyDescent="0.15">
      <c r="A22" s="56">
        <v>18</v>
      </c>
      <c r="B22" s="56">
        <v>18575200</v>
      </c>
    </row>
    <row r="23" spans="1:2" x14ac:dyDescent="0.15">
      <c r="A23" s="56">
        <v>19</v>
      </c>
      <c r="B23" s="56">
        <v>26578400</v>
      </c>
    </row>
    <row r="24" spans="1:2" x14ac:dyDescent="0.15">
      <c r="A24" s="56">
        <v>20</v>
      </c>
      <c r="B24" s="56">
        <v>39702000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K11" sqref="K11"/>
    </sheetView>
  </sheetViews>
  <sheetFormatPr defaultColWidth="15" defaultRowHeight="16.5" x14ac:dyDescent="0.15"/>
  <cols>
    <col min="1" max="1" width="15" style="102"/>
    <col min="2" max="2" width="15" style="95"/>
    <col min="3" max="3" width="15" style="143"/>
    <col min="4" max="4" width="15" style="95"/>
    <col min="5" max="5" width="15" style="143"/>
    <col min="6" max="16384" width="15" style="95"/>
  </cols>
  <sheetData>
    <row r="1" spans="1:6" x14ac:dyDescent="0.15">
      <c r="A1" s="102" t="s">
        <v>800</v>
      </c>
      <c r="B1" s="95" t="s">
        <v>801</v>
      </c>
      <c r="C1" s="143" t="s">
        <v>801</v>
      </c>
      <c r="D1" s="95" t="s">
        <v>801</v>
      </c>
      <c r="E1" s="143" t="s">
        <v>801</v>
      </c>
      <c r="F1" s="95" t="s">
        <v>801</v>
      </c>
    </row>
    <row r="2" spans="1:6" x14ac:dyDescent="0.15">
      <c r="A2" s="102" t="s">
        <v>802</v>
      </c>
      <c r="B2" s="95" t="s">
        <v>802</v>
      </c>
      <c r="C2" s="143" t="s">
        <v>802</v>
      </c>
      <c r="D2" s="95" t="s">
        <v>802</v>
      </c>
      <c r="E2" s="143" t="s">
        <v>802</v>
      </c>
      <c r="F2" s="95" t="s">
        <v>802</v>
      </c>
    </row>
    <row r="3" spans="1:6" x14ac:dyDescent="0.15">
      <c r="A3" s="102" t="s">
        <v>803</v>
      </c>
      <c r="B3" s="95" t="s">
        <v>796</v>
      </c>
      <c r="C3" s="143" t="s">
        <v>797</v>
      </c>
      <c r="D3" s="95" t="s">
        <v>794</v>
      </c>
      <c r="E3" s="143" t="s">
        <v>795</v>
      </c>
      <c r="F3" s="95" t="s">
        <v>793</v>
      </c>
    </row>
    <row r="4" spans="1:6" ht="22.5" customHeight="1" x14ac:dyDescent="0.15">
      <c r="A4" s="102" t="s">
        <v>799</v>
      </c>
      <c r="B4" s="95" t="s">
        <v>804</v>
      </c>
      <c r="C4" s="143" t="s">
        <v>805</v>
      </c>
      <c r="D4" s="95" t="s">
        <v>806</v>
      </c>
      <c r="E4" s="143" t="s">
        <v>798</v>
      </c>
      <c r="F4" s="95" t="s">
        <v>807</v>
      </c>
    </row>
    <row r="5" spans="1:6" x14ac:dyDescent="0.15">
      <c r="A5" s="102">
        <v>1</v>
      </c>
      <c r="B5" s="95">
        <v>50</v>
      </c>
      <c r="C5" s="143">
        <v>20</v>
      </c>
      <c r="D5" s="95">
        <v>620</v>
      </c>
      <c r="E5" s="143">
        <v>20</v>
      </c>
      <c r="F5" s="95">
        <v>620</v>
      </c>
    </row>
    <row r="6" spans="1:6" x14ac:dyDescent="0.15">
      <c r="A6" s="102">
        <v>2</v>
      </c>
      <c r="B6" s="95">
        <v>50</v>
      </c>
      <c r="C6" s="143">
        <v>20</v>
      </c>
      <c r="D6" s="95">
        <v>620</v>
      </c>
      <c r="E6" s="143">
        <v>20</v>
      </c>
      <c r="F6" s="95">
        <v>620</v>
      </c>
    </row>
    <row r="7" spans="1:6" x14ac:dyDescent="0.15">
      <c r="A7" s="102">
        <v>3</v>
      </c>
      <c r="B7" s="95">
        <v>50</v>
      </c>
      <c r="C7" s="143">
        <v>20</v>
      </c>
      <c r="D7" s="95">
        <v>620</v>
      </c>
      <c r="E7" s="143">
        <v>20</v>
      </c>
      <c r="F7" s="95">
        <v>620</v>
      </c>
    </row>
    <row r="8" spans="1:6" x14ac:dyDescent="0.15">
      <c r="A8" s="102">
        <v>4</v>
      </c>
      <c r="B8" s="95">
        <v>50</v>
      </c>
      <c r="C8" s="143">
        <v>20</v>
      </c>
      <c r="D8" s="95">
        <v>720</v>
      </c>
      <c r="E8" s="143">
        <v>20</v>
      </c>
      <c r="F8" s="95">
        <v>720</v>
      </c>
    </row>
    <row r="9" spans="1:6" x14ac:dyDescent="0.15">
      <c r="A9" s="102">
        <v>5</v>
      </c>
      <c r="B9" s="95">
        <v>50</v>
      </c>
      <c r="C9" s="143">
        <v>20</v>
      </c>
      <c r="D9" s="95">
        <v>2200</v>
      </c>
      <c r="E9" s="143">
        <v>19</v>
      </c>
      <c r="F9" s="95">
        <v>2200</v>
      </c>
    </row>
    <row r="10" spans="1:6" x14ac:dyDescent="0.15">
      <c r="A10" s="102">
        <v>6</v>
      </c>
      <c r="B10" s="95">
        <v>50</v>
      </c>
      <c r="C10" s="143">
        <v>20</v>
      </c>
      <c r="D10" s="95">
        <v>3200</v>
      </c>
      <c r="E10" s="143">
        <v>18</v>
      </c>
      <c r="F10" s="95">
        <v>3200</v>
      </c>
    </row>
    <row r="11" spans="1:6" x14ac:dyDescent="0.15">
      <c r="A11" s="102">
        <v>7</v>
      </c>
      <c r="B11" s="95">
        <v>50</v>
      </c>
      <c r="C11" s="143">
        <v>20</v>
      </c>
      <c r="D11" s="95">
        <v>4000</v>
      </c>
      <c r="E11" s="143">
        <v>16</v>
      </c>
      <c r="F11" s="95">
        <v>4000</v>
      </c>
    </row>
    <row r="12" spans="1:6" x14ac:dyDescent="0.15">
      <c r="A12" s="102">
        <v>8</v>
      </c>
      <c r="B12" s="95">
        <v>50</v>
      </c>
      <c r="C12" s="143">
        <v>20</v>
      </c>
      <c r="D12" s="95">
        <v>4600</v>
      </c>
      <c r="E12" s="143">
        <v>14</v>
      </c>
      <c r="F12" s="95">
        <v>4600</v>
      </c>
    </row>
    <row r="13" spans="1:6" x14ac:dyDescent="0.15">
      <c r="A13" s="102">
        <v>9</v>
      </c>
      <c r="B13" s="95">
        <v>50</v>
      </c>
      <c r="C13" s="143">
        <v>20</v>
      </c>
      <c r="D13" s="95">
        <v>5000</v>
      </c>
      <c r="E13" s="143">
        <v>12</v>
      </c>
      <c r="F13" s="95">
        <v>5000</v>
      </c>
    </row>
    <row r="14" spans="1:6" x14ac:dyDescent="0.15">
      <c r="A14" s="102">
        <v>10</v>
      </c>
      <c r="B14" s="95">
        <v>50</v>
      </c>
      <c r="C14" s="143">
        <v>20</v>
      </c>
      <c r="D14" s="95">
        <v>5100</v>
      </c>
      <c r="E14" s="143">
        <v>10</v>
      </c>
      <c r="F14" s="95">
        <v>5100</v>
      </c>
    </row>
    <row r="15" spans="1:6" x14ac:dyDescent="0.15">
      <c r="A15" s="102">
        <v>11</v>
      </c>
      <c r="B15" s="95">
        <v>50</v>
      </c>
      <c r="C15" s="143">
        <v>19</v>
      </c>
      <c r="D15" s="95">
        <v>7000</v>
      </c>
      <c r="E15" s="143">
        <v>9</v>
      </c>
      <c r="F15" s="95">
        <v>7000</v>
      </c>
    </row>
    <row r="16" spans="1:6" x14ac:dyDescent="0.15">
      <c r="A16" s="102">
        <v>12</v>
      </c>
      <c r="B16" s="95">
        <v>50</v>
      </c>
      <c r="C16" s="143">
        <v>18</v>
      </c>
      <c r="D16" s="95">
        <v>7500</v>
      </c>
      <c r="E16" s="143">
        <v>8</v>
      </c>
      <c r="F16" s="95">
        <v>7500</v>
      </c>
    </row>
    <row r="17" spans="1:6" x14ac:dyDescent="0.15">
      <c r="A17" s="102">
        <v>13</v>
      </c>
      <c r="B17" s="95">
        <v>50</v>
      </c>
      <c r="C17" s="143">
        <v>17</v>
      </c>
      <c r="D17" s="95">
        <v>7700</v>
      </c>
      <c r="E17" s="143">
        <v>8</v>
      </c>
      <c r="F17" s="95">
        <v>7700</v>
      </c>
    </row>
    <row r="18" spans="1:6" x14ac:dyDescent="0.15">
      <c r="A18" s="102">
        <v>14</v>
      </c>
      <c r="B18" s="95">
        <v>50</v>
      </c>
      <c r="C18" s="143">
        <v>16</v>
      </c>
      <c r="D18" s="95">
        <v>8700</v>
      </c>
      <c r="E18" s="143">
        <v>8</v>
      </c>
      <c r="F18" s="95">
        <v>8700</v>
      </c>
    </row>
    <row r="19" spans="1:6" x14ac:dyDescent="0.15">
      <c r="A19" s="102">
        <v>15</v>
      </c>
      <c r="B19" s="95">
        <v>50</v>
      </c>
      <c r="C19" s="143">
        <v>15</v>
      </c>
      <c r="D19" s="95">
        <v>11000</v>
      </c>
      <c r="E19" s="143">
        <v>7</v>
      </c>
      <c r="F19" s="95">
        <v>11000</v>
      </c>
    </row>
    <row r="20" spans="1:6" x14ac:dyDescent="0.15">
      <c r="A20" s="102">
        <v>16</v>
      </c>
      <c r="B20" s="95">
        <v>50</v>
      </c>
      <c r="C20" s="143">
        <v>14</v>
      </c>
      <c r="D20" s="95">
        <v>11000</v>
      </c>
      <c r="E20" s="143">
        <v>7</v>
      </c>
      <c r="F20" s="95">
        <v>11000</v>
      </c>
    </row>
    <row r="21" spans="1:6" x14ac:dyDescent="0.15">
      <c r="A21" s="102">
        <v>17</v>
      </c>
      <c r="B21" s="95">
        <v>50</v>
      </c>
      <c r="C21" s="143">
        <v>13</v>
      </c>
      <c r="D21" s="95">
        <v>13000</v>
      </c>
      <c r="E21" s="143">
        <v>7</v>
      </c>
      <c r="F21" s="95">
        <v>13000</v>
      </c>
    </row>
    <row r="22" spans="1:6" x14ac:dyDescent="0.15">
      <c r="A22" s="102">
        <v>18</v>
      </c>
      <c r="B22" s="95">
        <v>50</v>
      </c>
      <c r="C22" s="143">
        <v>12</v>
      </c>
      <c r="D22" s="95">
        <v>15000</v>
      </c>
      <c r="E22" s="143">
        <v>6</v>
      </c>
      <c r="F22" s="95">
        <v>15000</v>
      </c>
    </row>
    <row r="23" spans="1:6" x14ac:dyDescent="0.15">
      <c r="A23" s="102">
        <v>19</v>
      </c>
      <c r="B23" s="95">
        <v>50</v>
      </c>
      <c r="C23" s="143">
        <v>11</v>
      </c>
      <c r="D23" s="95">
        <v>15000</v>
      </c>
      <c r="E23" s="143">
        <v>6</v>
      </c>
      <c r="F23" s="95">
        <v>15000</v>
      </c>
    </row>
    <row r="24" spans="1:6" x14ac:dyDescent="0.15">
      <c r="A24" s="102">
        <v>20</v>
      </c>
      <c r="B24" s="95">
        <v>50</v>
      </c>
      <c r="C24" s="143">
        <v>10</v>
      </c>
      <c r="D24" s="95">
        <v>18000</v>
      </c>
      <c r="E24" s="143">
        <v>5</v>
      </c>
      <c r="F24" s="95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20" sqref="K20"/>
    </sheetView>
  </sheetViews>
  <sheetFormatPr defaultRowHeight="16.5" x14ac:dyDescent="0.3"/>
  <cols>
    <col min="1" max="1" width="13.75" style="130" customWidth="1"/>
    <col min="2" max="2" width="6.375" style="126" customWidth="1"/>
    <col min="3" max="3" width="5.875" style="131" customWidth="1"/>
    <col min="4" max="4" width="5.25" style="126" customWidth="1"/>
    <col min="5" max="5" width="5.625" style="126" customWidth="1"/>
    <col min="6" max="6" width="5.5" style="131" customWidth="1"/>
    <col min="7" max="7" width="13" style="132" customWidth="1"/>
    <col min="8" max="8" width="13" style="147" customWidth="1"/>
    <col min="9" max="9" width="13.5" style="126" customWidth="1"/>
    <col min="10" max="10" width="11" style="127" customWidth="1"/>
    <col min="11" max="11" width="24.375" style="132" customWidth="1"/>
    <col min="12" max="13" width="9" style="127"/>
    <col min="14" max="14" width="18.5" style="132" customWidth="1"/>
    <col min="15" max="15" width="9" style="127"/>
    <col min="16" max="16" width="13.5" style="132" customWidth="1"/>
    <col min="17" max="19" width="9" style="127"/>
    <col min="20" max="20" width="34.875" style="132" customWidth="1"/>
    <col min="21" max="22" width="9" style="127"/>
    <col min="23" max="16384" width="9" style="126"/>
  </cols>
  <sheetData>
    <row r="1" spans="1:22" x14ac:dyDescent="0.3">
      <c r="A1" s="11" t="s">
        <v>59</v>
      </c>
      <c r="B1" s="10"/>
      <c r="C1" s="106"/>
      <c r="D1" s="10"/>
      <c r="E1" s="10"/>
      <c r="F1" s="106"/>
      <c r="H1" s="127" t="s">
        <v>602</v>
      </c>
      <c r="J1" s="127" t="s">
        <v>636</v>
      </c>
      <c r="L1" s="127" t="s">
        <v>60</v>
      </c>
      <c r="M1" s="127" t="s">
        <v>60</v>
      </c>
      <c r="O1" s="127" t="s">
        <v>60</v>
      </c>
      <c r="Q1" s="127" t="s">
        <v>60</v>
      </c>
      <c r="R1" s="127" t="s">
        <v>60</v>
      </c>
      <c r="S1" s="127" t="s">
        <v>60</v>
      </c>
      <c r="U1" s="127" t="s">
        <v>60</v>
      </c>
      <c r="V1" s="127" t="s">
        <v>60</v>
      </c>
    </row>
    <row r="2" spans="1:22" x14ac:dyDescent="0.3">
      <c r="A2" s="11" t="s">
        <v>61</v>
      </c>
      <c r="B2" s="10"/>
      <c r="C2" s="106"/>
      <c r="D2" s="10"/>
      <c r="E2" s="10"/>
      <c r="F2" s="106"/>
      <c r="H2" s="127" t="s">
        <v>828</v>
      </c>
      <c r="J2" s="127" t="s">
        <v>631</v>
      </c>
      <c r="L2" s="127" t="s">
        <v>631</v>
      </c>
      <c r="M2" s="127" t="s">
        <v>631</v>
      </c>
      <c r="O2" s="127" t="s">
        <v>631</v>
      </c>
      <c r="Q2" s="127" t="s">
        <v>631</v>
      </c>
      <c r="R2" s="127" t="s">
        <v>631</v>
      </c>
      <c r="S2" s="127" t="s">
        <v>631</v>
      </c>
      <c r="U2" s="127" t="s">
        <v>631</v>
      </c>
      <c r="V2" s="127" t="s">
        <v>631</v>
      </c>
    </row>
    <row r="3" spans="1:22" x14ac:dyDescent="0.3">
      <c r="A3" s="11" t="s">
        <v>217</v>
      </c>
      <c r="B3" s="10"/>
      <c r="C3" s="106"/>
      <c r="D3" s="10"/>
      <c r="E3" s="10"/>
      <c r="F3" s="106"/>
      <c r="H3" s="127" t="s">
        <v>903</v>
      </c>
      <c r="J3" s="127" t="s">
        <v>637</v>
      </c>
      <c r="L3" s="127" t="s">
        <v>638</v>
      </c>
      <c r="M3" s="127" t="s">
        <v>639</v>
      </c>
      <c r="O3" s="127" t="s">
        <v>640</v>
      </c>
      <c r="Q3" s="127" t="s">
        <v>641</v>
      </c>
      <c r="R3" s="127" t="s">
        <v>642</v>
      </c>
      <c r="S3" s="127" t="s">
        <v>643</v>
      </c>
      <c r="U3" s="127" t="s">
        <v>644</v>
      </c>
      <c r="V3" s="127" t="s">
        <v>645</v>
      </c>
    </row>
    <row r="4" spans="1:22" ht="55.5" customHeight="1" thickBot="1" x14ac:dyDescent="0.35">
      <c r="A4" s="89" t="s">
        <v>614</v>
      </c>
      <c r="B4" s="91" t="s">
        <v>612</v>
      </c>
      <c r="C4" s="107" t="s">
        <v>613</v>
      </c>
      <c r="D4" s="91"/>
      <c r="E4" s="91"/>
      <c r="F4" s="107" t="s">
        <v>635</v>
      </c>
      <c r="G4" s="133" t="s">
        <v>615</v>
      </c>
      <c r="H4" s="90"/>
      <c r="I4" s="91" t="s">
        <v>616</v>
      </c>
      <c r="J4" s="90" t="s">
        <v>617</v>
      </c>
      <c r="K4" s="133" t="s">
        <v>669</v>
      </c>
      <c r="L4" s="90" t="s">
        <v>670</v>
      </c>
      <c r="M4" s="90" t="s">
        <v>671</v>
      </c>
      <c r="N4" s="133" t="s">
        <v>659</v>
      </c>
      <c r="O4" s="90" t="s">
        <v>618</v>
      </c>
      <c r="P4" s="133" t="s">
        <v>663</v>
      </c>
      <c r="Q4" s="90" t="s">
        <v>634</v>
      </c>
      <c r="R4" s="90" t="s">
        <v>632</v>
      </c>
      <c r="S4" s="90" t="s">
        <v>633</v>
      </c>
      <c r="T4" s="133" t="s">
        <v>619</v>
      </c>
      <c r="U4" s="90" t="s">
        <v>632</v>
      </c>
      <c r="V4" s="90" t="s">
        <v>633</v>
      </c>
    </row>
    <row r="5" spans="1:22" s="128" customFormat="1" x14ac:dyDescent="0.3">
      <c r="A5" s="18">
        <f t="shared" ref="A5:A16" si="0">B5*10000000+C5*1000000+D5*10000+E5*100+F5</f>
        <v>11010001</v>
      </c>
      <c r="B5" s="17">
        <v>1</v>
      </c>
      <c r="C5" s="108">
        <v>1</v>
      </c>
      <c r="D5" s="17">
        <v>1</v>
      </c>
      <c r="E5" s="17">
        <v>0</v>
      </c>
      <c r="F5" s="108">
        <v>1</v>
      </c>
      <c r="G5" s="134" t="s">
        <v>620</v>
      </c>
      <c r="H5" s="129"/>
      <c r="J5" s="129">
        <v>100</v>
      </c>
      <c r="K5" s="136"/>
      <c r="L5" s="129"/>
      <c r="M5" s="129"/>
      <c r="N5" s="138" t="s">
        <v>660</v>
      </c>
      <c r="O5" s="129">
        <v>50</v>
      </c>
      <c r="P5" s="138" t="s">
        <v>665</v>
      </c>
      <c r="Q5" s="129"/>
      <c r="R5" s="129">
        <v>2000</v>
      </c>
      <c r="S5" s="129">
        <v>200</v>
      </c>
      <c r="T5" s="136" t="s">
        <v>666</v>
      </c>
      <c r="U5" s="129">
        <v>2000</v>
      </c>
      <c r="V5" s="129"/>
    </row>
    <row r="6" spans="1:22" x14ac:dyDescent="0.3">
      <c r="A6" s="11">
        <f t="shared" si="0"/>
        <v>11020001</v>
      </c>
      <c r="B6" s="10">
        <v>1</v>
      </c>
      <c r="C6" s="106">
        <v>1</v>
      </c>
      <c r="D6" s="10">
        <v>2</v>
      </c>
      <c r="E6" s="10">
        <v>0</v>
      </c>
      <c r="F6" s="106">
        <v>1</v>
      </c>
      <c r="G6" s="132" t="s">
        <v>621</v>
      </c>
      <c r="I6" s="126" t="s">
        <v>646</v>
      </c>
      <c r="J6" s="127">
        <v>50</v>
      </c>
      <c r="N6" s="139" t="s">
        <v>661</v>
      </c>
      <c r="O6" s="127">
        <v>200</v>
      </c>
      <c r="P6" s="137" t="s">
        <v>664</v>
      </c>
      <c r="R6" s="127">
        <v>2000</v>
      </c>
      <c r="S6" s="127">
        <v>200</v>
      </c>
      <c r="T6" s="132" t="s">
        <v>668</v>
      </c>
      <c r="U6" s="127">
        <v>0</v>
      </c>
      <c r="V6" s="127">
        <v>100</v>
      </c>
    </row>
    <row r="7" spans="1:22" x14ac:dyDescent="0.3">
      <c r="A7" s="11">
        <f t="shared" si="0"/>
        <v>11030001</v>
      </c>
      <c r="B7" s="10">
        <v>1</v>
      </c>
      <c r="C7" s="106">
        <v>1</v>
      </c>
      <c r="D7" s="10">
        <v>3</v>
      </c>
      <c r="E7" s="10">
        <v>0</v>
      </c>
      <c r="F7" s="106">
        <v>1</v>
      </c>
      <c r="G7" s="132" t="s">
        <v>622</v>
      </c>
      <c r="I7" s="126" t="s">
        <v>646</v>
      </c>
      <c r="J7" s="127">
        <v>30</v>
      </c>
      <c r="N7" s="139" t="s">
        <v>662</v>
      </c>
      <c r="O7" s="127">
        <v>200</v>
      </c>
      <c r="P7" s="137" t="s">
        <v>664</v>
      </c>
      <c r="R7" s="127">
        <v>2000</v>
      </c>
      <c r="S7" s="127">
        <v>200</v>
      </c>
      <c r="T7" s="132" t="s">
        <v>667</v>
      </c>
      <c r="U7" s="127">
        <v>0</v>
      </c>
      <c r="V7" s="127">
        <v>100</v>
      </c>
    </row>
    <row r="8" spans="1:22" x14ac:dyDescent="0.3">
      <c r="A8" s="11">
        <f t="shared" si="0"/>
        <v>10010001</v>
      </c>
      <c r="B8" s="10">
        <v>1</v>
      </c>
      <c r="C8" s="106">
        <v>0</v>
      </c>
      <c r="D8" s="10">
        <v>1</v>
      </c>
      <c r="E8" s="10">
        <v>0</v>
      </c>
      <c r="F8" s="106">
        <v>1</v>
      </c>
      <c r="G8" s="132" t="s">
        <v>623</v>
      </c>
      <c r="H8" s="147" t="s">
        <v>904</v>
      </c>
      <c r="I8" s="126" t="s">
        <v>647</v>
      </c>
      <c r="J8" s="127">
        <v>50</v>
      </c>
      <c r="Q8" s="127">
        <v>10000</v>
      </c>
    </row>
    <row r="9" spans="1:22" x14ac:dyDescent="0.3">
      <c r="A9" s="11">
        <f t="shared" si="0"/>
        <v>10020001</v>
      </c>
      <c r="B9" s="10">
        <v>1</v>
      </c>
      <c r="C9" s="106">
        <v>0</v>
      </c>
      <c r="D9" s="10">
        <v>2</v>
      </c>
      <c r="E9" s="10">
        <v>0</v>
      </c>
      <c r="F9" s="106">
        <v>1</v>
      </c>
      <c r="G9" s="132" t="s">
        <v>624</v>
      </c>
      <c r="H9" s="147" t="s">
        <v>905</v>
      </c>
      <c r="I9" s="126" t="s">
        <v>648</v>
      </c>
      <c r="J9" s="127">
        <v>50</v>
      </c>
      <c r="Q9" s="127">
        <v>10000</v>
      </c>
    </row>
    <row r="10" spans="1:22" x14ac:dyDescent="0.3">
      <c r="A10" s="11">
        <f t="shared" si="0"/>
        <v>12010001</v>
      </c>
      <c r="B10" s="10">
        <v>1</v>
      </c>
      <c r="C10" s="106">
        <v>2</v>
      </c>
      <c r="D10" s="10">
        <v>1</v>
      </c>
      <c r="E10" s="10">
        <v>0</v>
      </c>
      <c r="F10" s="106">
        <v>1</v>
      </c>
      <c r="G10" s="135" t="s">
        <v>625</v>
      </c>
      <c r="J10" s="127">
        <v>50</v>
      </c>
      <c r="K10" s="137" t="s">
        <v>654</v>
      </c>
      <c r="L10" s="127">
        <v>200</v>
      </c>
    </row>
    <row r="11" spans="1:22" x14ac:dyDescent="0.3">
      <c r="A11" s="11">
        <f t="shared" si="0"/>
        <v>12020001</v>
      </c>
      <c r="B11" s="10">
        <v>1</v>
      </c>
      <c r="C11" s="106">
        <v>2</v>
      </c>
      <c r="D11" s="10">
        <v>2</v>
      </c>
      <c r="E11" s="10">
        <v>0</v>
      </c>
      <c r="F11" s="106">
        <v>1</v>
      </c>
      <c r="G11" s="135" t="s">
        <v>626</v>
      </c>
      <c r="J11" s="127">
        <v>50</v>
      </c>
      <c r="K11" s="137" t="s">
        <v>654</v>
      </c>
      <c r="L11" s="127">
        <v>300</v>
      </c>
    </row>
    <row r="12" spans="1:22" x14ac:dyDescent="0.3">
      <c r="A12" s="11">
        <f t="shared" si="0"/>
        <v>12030001</v>
      </c>
      <c r="B12" s="10">
        <v>1</v>
      </c>
      <c r="C12" s="106">
        <v>2</v>
      </c>
      <c r="D12" s="10">
        <v>3</v>
      </c>
      <c r="E12" s="10">
        <v>0</v>
      </c>
      <c r="F12" s="106">
        <v>1</v>
      </c>
      <c r="G12" s="132" t="s">
        <v>627</v>
      </c>
      <c r="I12" s="126" t="s">
        <v>649</v>
      </c>
      <c r="J12" s="127">
        <v>50</v>
      </c>
      <c r="K12" s="137" t="s">
        <v>655</v>
      </c>
      <c r="L12" s="127">
        <v>400</v>
      </c>
      <c r="M12" s="127">
        <v>400</v>
      </c>
    </row>
    <row r="13" spans="1:22" x14ac:dyDescent="0.3">
      <c r="A13" s="11">
        <f t="shared" si="0"/>
        <v>12040001</v>
      </c>
      <c r="B13" s="10">
        <v>1</v>
      </c>
      <c r="C13" s="106">
        <v>2</v>
      </c>
      <c r="D13" s="10">
        <v>4</v>
      </c>
      <c r="E13" s="10">
        <v>0</v>
      </c>
      <c r="F13" s="106">
        <v>1</v>
      </c>
      <c r="G13" s="132" t="s">
        <v>628</v>
      </c>
      <c r="I13" s="126" t="s">
        <v>650</v>
      </c>
      <c r="J13" s="127">
        <v>50</v>
      </c>
      <c r="K13" s="137" t="s">
        <v>1177</v>
      </c>
      <c r="L13" s="127">
        <v>200</v>
      </c>
    </row>
    <row r="14" spans="1:22" x14ac:dyDescent="0.3">
      <c r="A14" s="11">
        <f t="shared" si="0"/>
        <v>12050001</v>
      </c>
      <c r="B14" s="10">
        <v>1</v>
      </c>
      <c r="C14" s="106">
        <v>2</v>
      </c>
      <c r="D14" s="10">
        <v>5</v>
      </c>
      <c r="E14" s="10">
        <v>0</v>
      </c>
      <c r="F14" s="106">
        <v>1</v>
      </c>
      <c r="G14" s="132" t="s">
        <v>629</v>
      </c>
      <c r="I14" s="126" t="s">
        <v>651</v>
      </c>
      <c r="J14" s="127">
        <v>50</v>
      </c>
      <c r="K14" s="137" t="s">
        <v>1178</v>
      </c>
      <c r="L14" s="127">
        <v>200</v>
      </c>
    </row>
    <row r="15" spans="1:22" x14ac:dyDescent="0.3">
      <c r="A15" s="11">
        <f t="shared" si="0"/>
        <v>13010001</v>
      </c>
      <c r="B15" s="10">
        <v>1</v>
      </c>
      <c r="C15" s="106">
        <v>3</v>
      </c>
      <c r="D15" s="10">
        <v>1</v>
      </c>
      <c r="E15" s="10">
        <v>0</v>
      </c>
      <c r="F15" s="106">
        <v>1</v>
      </c>
      <c r="G15" s="135" t="s">
        <v>630</v>
      </c>
      <c r="I15" s="126" t="s">
        <v>653</v>
      </c>
      <c r="J15" s="127">
        <v>50</v>
      </c>
      <c r="K15" s="137" t="s">
        <v>658</v>
      </c>
      <c r="L15" s="127">
        <v>70</v>
      </c>
      <c r="M15" s="127">
        <v>3000</v>
      </c>
      <c r="Q15" s="127">
        <v>80</v>
      </c>
    </row>
    <row r="16" spans="1:22" x14ac:dyDescent="0.3">
      <c r="A16" s="11">
        <f t="shared" si="0"/>
        <v>13020001</v>
      </c>
      <c r="B16" s="10">
        <v>1</v>
      </c>
      <c r="C16" s="106">
        <v>3</v>
      </c>
      <c r="D16" s="10">
        <v>2</v>
      </c>
      <c r="E16" s="10">
        <v>0</v>
      </c>
      <c r="F16" s="106">
        <v>1</v>
      </c>
      <c r="G16" s="135" t="s">
        <v>652</v>
      </c>
      <c r="I16" s="126" t="s">
        <v>653</v>
      </c>
      <c r="J16" s="127">
        <v>50</v>
      </c>
      <c r="K16" s="137" t="s">
        <v>657</v>
      </c>
      <c r="L16" s="127">
        <v>80</v>
      </c>
      <c r="M16" s="127">
        <v>3000</v>
      </c>
      <c r="Q16" s="127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zoomScaleNormal="100" workbookViewId="0">
      <selection activeCell="H1" sqref="H1:K4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2" width="18" style="56" customWidth="1"/>
    <col min="13" max="14" width="18" style="10" customWidth="1"/>
    <col min="15" max="15" width="11.375" style="97" customWidth="1"/>
    <col min="16" max="16" width="11.875" style="97" customWidth="1"/>
    <col min="17" max="19" width="13.75" style="97" customWidth="1"/>
    <col min="20" max="20" width="69.125" style="97" customWidth="1"/>
    <col min="21" max="21" width="13.75" style="97" customWidth="1"/>
    <col min="22" max="22" width="9.875" style="95" customWidth="1"/>
    <col min="23" max="23" width="10.75" style="95" customWidth="1"/>
    <col min="24" max="24" width="12.625" style="95" customWidth="1"/>
    <col min="25" max="16384" width="9" style="95"/>
  </cols>
  <sheetData>
    <row r="1" spans="1:24" s="97" customFormat="1" x14ac:dyDescent="0.15">
      <c r="A1" s="11" t="s">
        <v>569</v>
      </c>
      <c r="B1" s="13"/>
      <c r="C1" s="12"/>
      <c r="D1" s="13"/>
      <c r="E1" s="13"/>
      <c r="F1" s="12"/>
      <c r="G1" s="56" t="s">
        <v>607</v>
      </c>
      <c r="H1" s="56" t="s">
        <v>602</v>
      </c>
      <c r="I1" s="56" t="s">
        <v>602</v>
      </c>
      <c r="J1" s="56" t="s">
        <v>602</v>
      </c>
      <c r="K1" s="56" t="s">
        <v>602</v>
      </c>
      <c r="L1" s="56"/>
      <c r="M1" s="10"/>
      <c r="N1" s="10"/>
      <c r="O1" s="56"/>
      <c r="P1" s="56"/>
      <c r="R1" s="56"/>
      <c r="S1" s="56"/>
      <c r="T1" s="56"/>
      <c r="U1" s="56"/>
      <c r="V1" s="56"/>
      <c r="W1" s="56"/>
      <c r="X1" s="56"/>
    </row>
    <row r="2" spans="1:24" s="97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/>
      <c r="M2" s="10"/>
      <c r="N2" s="10"/>
      <c r="P2" s="56"/>
      <c r="R2" s="56"/>
      <c r="S2" s="56"/>
    </row>
    <row r="3" spans="1:24" s="97" customFormat="1" x14ac:dyDescent="0.15">
      <c r="A3" s="11" t="s">
        <v>577</v>
      </c>
      <c r="B3" s="13"/>
      <c r="C3" s="12"/>
      <c r="D3" s="13"/>
      <c r="E3" s="13"/>
      <c r="F3" s="12"/>
      <c r="G3" s="56" t="s">
        <v>596</v>
      </c>
      <c r="H3" s="56" t="s">
        <v>598</v>
      </c>
      <c r="I3" s="56" t="s">
        <v>599</v>
      </c>
      <c r="J3" s="56" t="s">
        <v>611</v>
      </c>
      <c r="K3" s="56" t="s">
        <v>600</v>
      </c>
      <c r="L3" s="56"/>
      <c r="M3" s="10"/>
      <c r="N3" s="10"/>
    </row>
    <row r="4" spans="1:24" s="96" customFormat="1" ht="57.75" customHeight="1" thickBot="1" x14ac:dyDescent="0.2">
      <c r="A4" s="98" t="s">
        <v>572</v>
      </c>
      <c r="B4" s="110" t="s">
        <v>578</v>
      </c>
      <c r="C4" s="111"/>
      <c r="D4" s="110"/>
      <c r="E4" s="110"/>
      <c r="F4" s="111"/>
      <c r="G4" s="93" t="s">
        <v>585</v>
      </c>
      <c r="H4" s="93" t="s">
        <v>574</v>
      </c>
      <c r="I4" s="93" t="s">
        <v>597</v>
      </c>
      <c r="J4" s="93" t="s">
        <v>573</v>
      </c>
      <c r="K4" s="93" t="s">
        <v>601</v>
      </c>
      <c r="L4" s="93"/>
      <c r="M4" s="94" t="s">
        <v>603</v>
      </c>
      <c r="N4" s="94" t="s">
        <v>604</v>
      </c>
    </row>
    <row r="5" spans="1:24" s="114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40</v>
      </c>
      <c r="I5" s="57">
        <v>0</v>
      </c>
      <c r="J5" s="57">
        <v>50</v>
      </c>
      <c r="K5" s="57">
        <v>10</v>
      </c>
      <c r="L5" s="57"/>
      <c r="M5" s="17">
        <v>35</v>
      </c>
      <c r="N5" s="17">
        <f>(H5-ARITHMETIC_COEFFICIENT!$I$10*M5/100)*J5*K5</f>
        <v>2500</v>
      </c>
    </row>
    <row r="6" spans="1:24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60</v>
      </c>
      <c r="I6" s="56">
        <v>0</v>
      </c>
      <c r="J6" s="56">
        <v>50</v>
      </c>
      <c r="K6" s="56">
        <v>12</v>
      </c>
      <c r="M6" s="10">
        <v>35</v>
      </c>
      <c r="N6" s="10">
        <f>(H6-ARITHMETIC_COEFFICIENT!$I$10*M6/100)*J6*K6</f>
        <v>15000</v>
      </c>
      <c r="O6" s="109"/>
    </row>
    <row r="7" spans="1:24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80</v>
      </c>
      <c r="I7" s="56">
        <v>0</v>
      </c>
      <c r="J7" s="56">
        <v>50</v>
      </c>
      <c r="K7" s="56">
        <v>14</v>
      </c>
      <c r="M7" s="10">
        <v>35</v>
      </c>
      <c r="N7" s="10">
        <f>(H7-ARITHMETIC_COEFFICIENT!$I$10*M7/100)*J7*K7</f>
        <v>31500</v>
      </c>
      <c r="O7" s="109"/>
    </row>
    <row r="8" spans="1:24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100</v>
      </c>
      <c r="I8" s="56">
        <v>0</v>
      </c>
      <c r="J8" s="56">
        <v>50</v>
      </c>
      <c r="K8" s="56">
        <v>16</v>
      </c>
      <c r="M8" s="10">
        <v>35</v>
      </c>
      <c r="N8" s="10">
        <f>(H8-ARITHMETIC_COEFFICIENT!$I$10*M8/100)*J8*K8</f>
        <v>52000</v>
      </c>
    </row>
    <row r="9" spans="1:24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120</v>
      </c>
      <c r="I9" s="56">
        <v>0</v>
      </c>
      <c r="J9" s="56">
        <v>50</v>
      </c>
      <c r="K9" s="56">
        <v>18</v>
      </c>
      <c r="M9" s="10">
        <v>35</v>
      </c>
      <c r="N9" s="10">
        <f>(H9-ARITHMETIC_COEFFICIENT!$I$10*M9/100)*J9*K9</f>
        <v>76500</v>
      </c>
    </row>
    <row r="10" spans="1:24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140</v>
      </c>
      <c r="I10" s="56">
        <v>0</v>
      </c>
      <c r="J10" s="56">
        <v>50</v>
      </c>
      <c r="K10" s="56">
        <v>20</v>
      </c>
      <c r="M10" s="10">
        <v>35</v>
      </c>
      <c r="N10" s="10">
        <f>(H10-ARITHMETIC_COEFFICIENT!$I$10*M10/100)*J10*K10</f>
        <v>105000</v>
      </c>
    </row>
    <row r="11" spans="1:24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160</v>
      </c>
      <c r="I11" s="56">
        <v>0</v>
      </c>
      <c r="J11" s="56">
        <v>50</v>
      </c>
      <c r="K11" s="56">
        <v>22</v>
      </c>
      <c r="M11" s="10">
        <v>35</v>
      </c>
      <c r="N11" s="10">
        <f>(H11-ARITHMETIC_COEFFICIENT!$I$10*M11/100)*J11*K11</f>
        <v>137500</v>
      </c>
    </row>
    <row r="12" spans="1:24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180</v>
      </c>
      <c r="I12" s="56">
        <v>0</v>
      </c>
      <c r="J12" s="56">
        <v>50</v>
      </c>
      <c r="K12" s="56">
        <v>24</v>
      </c>
      <c r="M12" s="10">
        <v>35</v>
      </c>
      <c r="N12" s="10">
        <f>(H12-ARITHMETIC_COEFFICIENT!$I$10*M12/100)*J12*K12</f>
        <v>174000</v>
      </c>
    </row>
    <row r="13" spans="1:24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200</v>
      </c>
      <c r="I13" s="56">
        <v>0</v>
      </c>
      <c r="J13" s="56">
        <v>50</v>
      </c>
      <c r="K13" s="56">
        <v>26</v>
      </c>
      <c r="M13" s="10">
        <v>35</v>
      </c>
      <c r="N13" s="10">
        <f>(H13-ARITHMETIC_COEFFICIENT!$I$10*M13/100)*J13*K13</f>
        <v>214500</v>
      </c>
    </row>
    <row r="14" spans="1:24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220</v>
      </c>
      <c r="I14" s="56">
        <v>0</v>
      </c>
      <c r="J14" s="56">
        <v>50</v>
      </c>
      <c r="K14" s="56">
        <v>28</v>
      </c>
      <c r="M14" s="10">
        <v>35</v>
      </c>
      <c r="N14" s="10">
        <f>(H14-ARITHMETIC_COEFFICIENT!$I$10*M14/100)*J14*K14</f>
        <v>259000</v>
      </c>
    </row>
    <row r="15" spans="1:24" s="114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/>
      <c r="I15" s="57"/>
      <c r="J15" s="57"/>
      <c r="K15" s="57"/>
      <c r="L15" s="57"/>
      <c r="M15" s="17">
        <v>45</v>
      </c>
      <c r="N15" s="17">
        <f>(H15-ARITHMETIC_COEFFICIENT!I20*M15)*J15*K15</f>
        <v>0</v>
      </c>
    </row>
    <row r="16" spans="1:24" s="97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/>
      <c r="I16" s="56"/>
      <c r="J16" s="56"/>
      <c r="K16" s="56"/>
      <c r="L16" s="56"/>
      <c r="M16" s="10">
        <v>45</v>
      </c>
      <c r="N16" s="10">
        <f>(H16-ARITHMETIC_COEFFICIENT!I21*M16)*J16*K16</f>
        <v>0</v>
      </c>
    </row>
    <row r="17" spans="1:14" s="97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/>
      <c r="I17" s="56"/>
      <c r="J17" s="56"/>
      <c r="K17" s="56"/>
      <c r="L17" s="56"/>
      <c r="M17" s="10">
        <v>45</v>
      </c>
      <c r="N17" s="10">
        <f>(H17-ARITHMETIC_COEFFICIENT!I22*M17)*J17*K17</f>
        <v>0</v>
      </c>
    </row>
    <row r="18" spans="1:14" s="97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/>
      <c r="I18" s="56"/>
      <c r="J18" s="56"/>
      <c r="K18" s="56"/>
      <c r="L18" s="56"/>
      <c r="M18" s="10">
        <v>45</v>
      </c>
      <c r="N18" s="10">
        <f>(H18-ARITHMETIC_COEFFICIENT!I23*M18)*J18*K18</f>
        <v>0</v>
      </c>
    </row>
    <row r="19" spans="1:14" s="97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/>
      <c r="I19" s="56"/>
      <c r="J19" s="56"/>
      <c r="K19" s="56"/>
      <c r="L19" s="56"/>
      <c r="M19" s="10">
        <v>45</v>
      </c>
      <c r="N19" s="10">
        <f>(H19-ARITHMETIC_COEFFICIENT!I24*M19)*J19*K19</f>
        <v>0</v>
      </c>
    </row>
    <row r="20" spans="1:14" s="97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/>
      <c r="I20" s="56"/>
      <c r="J20" s="56"/>
      <c r="K20" s="56"/>
      <c r="L20" s="56"/>
      <c r="M20" s="10">
        <v>45</v>
      </c>
      <c r="N20" s="10">
        <f>(H20-ARITHMETIC_COEFFICIENT!I25*M20)*J20*K20</f>
        <v>0</v>
      </c>
    </row>
    <row r="21" spans="1:14" s="97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/>
      <c r="I21" s="56"/>
      <c r="J21" s="56"/>
      <c r="K21" s="56"/>
      <c r="L21" s="56"/>
      <c r="M21" s="10">
        <v>45</v>
      </c>
      <c r="N21" s="10">
        <f>(H21-ARITHMETIC_COEFFICIENT!I26*M21)*J21*K21</f>
        <v>0</v>
      </c>
    </row>
    <row r="22" spans="1:14" s="97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/>
      <c r="I22" s="56"/>
      <c r="J22" s="56"/>
      <c r="K22" s="56"/>
      <c r="L22" s="56"/>
      <c r="M22" s="10">
        <v>45</v>
      </c>
      <c r="N22" s="10">
        <f>(H22-ARITHMETIC_COEFFICIENT!I27*M22)*J22*K22</f>
        <v>0</v>
      </c>
    </row>
    <row r="23" spans="1:14" s="97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/>
      <c r="I23" s="56"/>
      <c r="J23" s="56"/>
      <c r="K23" s="56"/>
      <c r="L23" s="56"/>
      <c r="M23" s="10">
        <v>45</v>
      </c>
      <c r="N23" s="10">
        <f>(H23-ARITHMETIC_COEFFICIENT!I28*M23)*J23*K23</f>
        <v>0</v>
      </c>
    </row>
    <row r="24" spans="1:14" s="97" customFormat="1" ht="17.25" thickBot="1" x14ac:dyDescent="0.2">
      <c r="A24" s="11">
        <f t="shared" si="0"/>
        <v>20020010</v>
      </c>
      <c r="B24" s="112">
        <v>2</v>
      </c>
      <c r="C24" s="12">
        <v>0</v>
      </c>
      <c r="D24" s="112">
        <v>2</v>
      </c>
      <c r="E24" s="112">
        <v>0</v>
      </c>
      <c r="F24" s="12">
        <v>10</v>
      </c>
      <c r="G24" s="56">
        <v>30000</v>
      </c>
      <c r="H24" s="56"/>
      <c r="I24" s="56"/>
      <c r="J24" s="56"/>
      <c r="K24" s="56"/>
      <c r="L24" s="56"/>
      <c r="M24" s="10">
        <v>45</v>
      </c>
      <c r="N24" s="10">
        <f>(H24-ARITHMETIC_COEFFICIENT!I29*M24)*J24*K24</f>
        <v>0</v>
      </c>
    </row>
    <row r="25" spans="1:14" s="114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/>
      <c r="I25" s="57"/>
      <c r="J25" s="57"/>
      <c r="K25" s="57"/>
      <c r="L25" s="57"/>
      <c r="M25" s="17">
        <v>55</v>
      </c>
      <c r="N25" s="17">
        <f>(H25-ARITHMETIC_COEFFICIENT!I30*M25)*J25*K25</f>
        <v>0</v>
      </c>
    </row>
    <row r="26" spans="1:14" s="97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/>
      <c r="I26" s="56"/>
      <c r="J26" s="56"/>
      <c r="K26" s="56"/>
      <c r="L26" s="56"/>
      <c r="M26" s="10">
        <v>55</v>
      </c>
      <c r="N26" s="10">
        <f>(H26-ARITHMETIC_COEFFICIENT!I31*M26)*J26*K26</f>
        <v>0</v>
      </c>
    </row>
    <row r="27" spans="1:14" s="97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/>
      <c r="I27" s="56"/>
      <c r="J27" s="56"/>
      <c r="K27" s="56"/>
      <c r="L27" s="56"/>
      <c r="M27" s="10">
        <v>55</v>
      </c>
      <c r="N27" s="10">
        <f>(H27-ARITHMETIC_COEFFICIENT!I32*M27)*J27*K27</f>
        <v>0</v>
      </c>
    </row>
    <row r="28" spans="1:14" s="97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/>
      <c r="I28" s="56"/>
      <c r="J28" s="56"/>
      <c r="K28" s="56"/>
      <c r="L28" s="56"/>
      <c r="M28" s="10">
        <v>55</v>
      </c>
      <c r="N28" s="10">
        <f>(H28-ARITHMETIC_COEFFICIENT!I33*M28)*J28*K28</f>
        <v>0</v>
      </c>
    </row>
    <row r="29" spans="1:14" s="97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/>
      <c r="I29" s="56"/>
      <c r="J29" s="56"/>
      <c r="K29" s="56"/>
      <c r="L29" s="56"/>
      <c r="M29" s="10">
        <v>55</v>
      </c>
      <c r="N29" s="10">
        <f>(H29-ARITHMETIC_COEFFICIENT!I34*M29)*J29*K29</f>
        <v>0</v>
      </c>
    </row>
    <row r="30" spans="1:14" s="97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/>
      <c r="I30" s="56"/>
      <c r="J30" s="56"/>
      <c r="K30" s="56"/>
      <c r="L30" s="56"/>
      <c r="M30" s="10">
        <v>55</v>
      </c>
      <c r="N30" s="10">
        <f>(H30-ARITHMETIC_COEFFICIENT!I35*M30)*J30*K30</f>
        <v>0</v>
      </c>
    </row>
    <row r="31" spans="1:14" s="97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/>
      <c r="I31" s="56"/>
      <c r="J31" s="56"/>
      <c r="K31" s="56"/>
      <c r="L31" s="56"/>
      <c r="M31" s="10">
        <v>55</v>
      </c>
      <c r="N31" s="10">
        <f>(H31-ARITHMETIC_COEFFICIENT!I36*M31)*J31*K31</f>
        <v>0</v>
      </c>
    </row>
    <row r="32" spans="1:14" s="97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/>
      <c r="I32" s="56"/>
      <c r="J32" s="56"/>
      <c r="K32" s="56"/>
      <c r="L32" s="56"/>
      <c r="M32" s="10">
        <v>55</v>
      </c>
      <c r="N32" s="10">
        <f>(H32-ARITHMETIC_COEFFICIENT!I37*M32)*J32*K32</f>
        <v>0</v>
      </c>
    </row>
    <row r="33" spans="1:14" s="97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/>
      <c r="I33" s="56"/>
      <c r="J33" s="56"/>
      <c r="K33" s="56"/>
      <c r="L33" s="56"/>
      <c r="M33" s="10">
        <v>55</v>
      </c>
      <c r="N33" s="10">
        <f>(H33-ARITHMETIC_COEFFICIENT!I38*M33)*J33*K33</f>
        <v>0</v>
      </c>
    </row>
    <row r="34" spans="1:14" s="97" customFormat="1" ht="17.25" thickBot="1" x14ac:dyDescent="0.2">
      <c r="A34" s="11">
        <f t="shared" si="0"/>
        <v>20030010</v>
      </c>
      <c r="B34" s="112">
        <v>2</v>
      </c>
      <c r="C34" s="12">
        <v>0</v>
      </c>
      <c r="D34" s="112">
        <v>3</v>
      </c>
      <c r="E34" s="112">
        <v>0</v>
      </c>
      <c r="F34" s="12">
        <v>10</v>
      </c>
      <c r="G34" s="56">
        <v>40000</v>
      </c>
      <c r="H34" s="56"/>
      <c r="I34" s="56"/>
      <c r="J34" s="56"/>
      <c r="K34" s="56"/>
      <c r="L34" s="56"/>
      <c r="M34" s="10">
        <v>55</v>
      </c>
      <c r="N34" s="10">
        <f>(H34-ARITHMETIC_COEFFICIENT!I39*M34)*J34*K34</f>
        <v>0</v>
      </c>
    </row>
    <row r="35" spans="1:14" s="114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/>
      <c r="I35" s="57"/>
      <c r="J35" s="57"/>
      <c r="K35" s="57"/>
      <c r="L35" s="57"/>
      <c r="M35" s="17"/>
      <c r="N35" s="17">
        <f>(H35-ARITHMETIC_COEFFICIENT!I40*M35)*J35*K35</f>
        <v>0</v>
      </c>
    </row>
    <row r="36" spans="1:14" s="97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/>
      <c r="I36" s="56"/>
      <c r="J36" s="56"/>
      <c r="K36" s="56"/>
      <c r="L36" s="56"/>
      <c r="M36" s="10"/>
      <c r="N36" s="10">
        <f>(H36-ARITHMETIC_COEFFICIENT!I41*M36)*J36*K36</f>
        <v>0</v>
      </c>
    </row>
    <row r="37" spans="1:14" s="97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/>
      <c r="I37" s="56"/>
      <c r="J37" s="56"/>
      <c r="K37" s="56"/>
      <c r="L37" s="56"/>
      <c r="M37" s="10"/>
      <c r="N37" s="10">
        <f>(H37-ARITHMETIC_COEFFICIENT!I42*M37)*J37*K37</f>
        <v>0</v>
      </c>
    </row>
    <row r="38" spans="1:14" s="97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/>
      <c r="I38" s="56"/>
      <c r="J38" s="56"/>
      <c r="K38" s="56"/>
      <c r="L38" s="56"/>
      <c r="M38" s="10"/>
      <c r="N38" s="10">
        <f>(H38-ARITHMETIC_COEFFICIENT!I43*M38)*J38*K38</f>
        <v>0</v>
      </c>
    </row>
    <row r="39" spans="1:14" s="97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/>
      <c r="I39" s="56"/>
      <c r="J39" s="56"/>
      <c r="K39" s="56"/>
      <c r="L39" s="56"/>
      <c r="M39" s="10"/>
      <c r="N39" s="10">
        <f>(H39-ARITHMETIC_COEFFICIENT!I44*M39)*J39*K39</f>
        <v>0</v>
      </c>
    </row>
    <row r="40" spans="1:14" s="97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/>
      <c r="I40" s="56"/>
      <c r="J40" s="56"/>
      <c r="K40" s="56"/>
      <c r="L40" s="56"/>
      <c r="M40" s="10"/>
      <c r="N40" s="10">
        <f>(H40-ARITHMETIC_COEFFICIENT!I45*M40)*J40*K40</f>
        <v>0</v>
      </c>
    </row>
    <row r="41" spans="1:14" s="97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/>
      <c r="I41" s="56"/>
      <c r="J41" s="56"/>
      <c r="K41" s="56"/>
      <c r="L41" s="56"/>
      <c r="M41" s="10"/>
      <c r="N41" s="10">
        <f>(H41-ARITHMETIC_COEFFICIENT!I46*M41)*J41*K41</f>
        <v>0</v>
      </c>
    </row>
    <row r="42" spans="1:14" s="97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/>
      <c r="I42" s="56"/>
      <c r="J42" s="56"/>
      <c r="K42" s="56"/>
      <c r="L42" s="56"/>
      <c r="M42" s="10"/>
      <c r="N42" s="10">
        <f>(H42-ARITHMETIC_COEFFICIENT!I47*M42)*J42*K42</f>
        <v>0</v>
      </c>
    </row>
    <row r="43" spans="1:14" s="97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/>
      <c r="I43" s="56"/>
      <c r="J43" s="56"/>
      <c r="K43" s="56"/>
      <c r="L43" s="56"/>
      <c r="M43" s="10"/>
      <c r="N43" s="10">
        <f>(H43-ARITHMETIC_COEFFICIENT!I48*M43)*J43*K43</f>
        <v>0</v>
      </c>
    </row>
    <row r="44" spans="1:14" s="97" customFormat="1" ht="17.25" thickBot="1" x14ac:dyDescent="0.2">
      <c r="A44" s="11">
        <f t="shared" si="0"/>
        <v>20040010</v>
      </c>
      <c r="B44" s="112">
        <v>2</v>
      </c>
      <c r="C44" s="12">
        <v>0</v>
      </c>
      <c r="D44" s="112">
        <v>4</v>
      </c>
      <c r="E44" s="112">
        <v>0</v>
      </c>
      <c r="F44" s="12">
        <v>10</v>
      </c>
      <c r="G44" s="56">
        <v>50000</v>
      </c>
      <c r="H44" s="56"/>
      <c r="I44" s="56"/>
      <c r="J44" s="56"/>
      <c r="K44" s="56"/>
      <c r="L44" s="56"/>
      <c r="M44" s="10"/>
      <c r="N44" s="10">
        <f>(H44-ARITHMETIC_COEFFICIENT!I49*M44)*J44*K44</f>
        <v>0</v>
      </c>
    </row>
    <row r="45" spans="1:14" s="114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/>
      <c r="I45" s="57"/>
      <c r="J45" s="57"/>
      <c r="K45" s="57"/>
      <c r="L45" s="57"/>
      <c r="M45" s="17"/>
      <c r="N45" s="17">
        <f>(H45-ARITHMETIC_COEFFICIENT!I50*M45)*J45*K45</f>
        <v>0</v>
      </c>
    </row>
    <row r="46" spans="1:14" s="97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/>
      <c r="I46" s="56"/>
      <c r="J46" s="56"/>
      <c r="K46" s="56"/>
      <c r="L46" s="56"/>
      <c r="M46" s="10"/>
      <c r="N46" s="10">
        <f>(H46-ARITHMETIC_COEFFICIENT!I51*M46)*J46*K46</f>
        <v>0</v>
      </c>
    </row>
    <row r="47" spans="1:14" s="97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/>
      <c r="I47" s="56"/>
      <c r="J47" s="56"/>
      <c r="K47" s="56"/>
      <c r="L47" s="56"/>
      <c r="M47" s="10"/>
      <c r="N47" s="10">
        <f>(H47-ARITHMETIC_COEFFICIENT!I52*M47)*J47*K47</f>
        <v>0</v>
      </c>
    </row>
    <row r="48" spans="1:14" s="97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/>
      <c r="I48" s="56"/>
      <c r="J48" s="56"/>
      <c r="K48" s="56"/>
      <c r="L48" s="56"/>
      <c r="M48" s="10"/>
      <c r="N48" s="10">
        <f>(H48-ARITHMETIC_COEFFICIENT!I53*M48)*J48*K48</f>
        <v>0</v>
      </c>
    </row>
    <row r="49" spans="1:14" s="97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/>
      <c r="I49" s="56"/>
      <c r="J49" s="56"/>
      <c r="K49" s="56"/>
      <c r="L49" s="56"/>
      <c r="M49" s="10"/>
      <c r="N49" s="10">
        <f>(H49-ARITHMETIC_COEFFICIENT!I54*M49)*J49*K49</f>
        <v>0</v>
      </c>
    </row>
    <row r="50" spans="1:14" s="97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/>
      <c r="I50" s="56"/>
      <c r="J50" s="56"/>
      <c r="K50" s="56"/>
      <c r="L50" s="56"/>
      <c r="M50" s="10"/>
      <c r="N50" s="10">
        <f>(H50-ARITHMETIC_COEFFICIENT!I55*M50)*J50*K50</f>
        <v>0</v>
      </c>
    </row>
    <row r="51" spans="1:14" s="97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/>
      <c r="I51" s="56"/>
      <c r="J51" s="56"/>
      <c r="K51" s="56"/>
      <c r="L51" s="56"/>
      <c r="M51" s="10"/>
      <c r="N51" s="10">
        <f>(H51-ARITHMETIC_COEFFICIENT!I56*M51)*J51*K51</f>
        <v>0</v>
      </c>
    </row>
    <row r="52" spans="1:14" s="97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/>
      <c r="I52" s="56"/>
      <c r="J52" s="56"/>
      <c r="K52" s="56"/>
      <c r="L52" s="56"/>
      <c r="M52" s="10"/>
      <c r="N52" s="10">
        <f>(H52-ARITHMETIC_COEFFICIENT!I57*M52)*J52*K52</f>
        <v>0</v>
      </c>
    </row>
    <row r="53" spans="1:14" s="97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/>
      <c r="I53" s="56"/>
      <c r="J53" s="56"/>
      <c r="K53" s="56"/>
      <c r="L53" s="56"/>
      <c r="M53" s="10"/>
      <c r="N53" s="10">
        <f>(H53-ARITHMETIC_COEFFICIENT!I58*M53)*J53*K53</f>
        <v>0</v>
      </c>
    </row>
    <row r="54" spans="1:14" s="97" customFormat="1" ht="17.25" thickBot="1" x14ac:dyDescent="0.2">
      <c r="A54" s="11">
        <f t="shared" si="0"/>
        <v>20050010</v>
      </c>
      <c r="B54" s="112">
        <v>2</v>
      </c>
      <c r="C54" s="12">
        <v>0</v>
      </c>
      <c r="D54" s="112">
        <v>5</v>
      </c>
      <c r="E54" s="112">
        <v>0</v>
      </c>
      <c r="F54" s="12">
        <v>10</v>
      </c>
      <c r="G54" s="56">
        <v>60000</v>
      </c>
      <c r="H54" s="56"/>
      <c r="I54" s="56"/>
      <c r="J54" s="56"/>
      <c r="K54" s="56"/>
      <c r="L54" s="56"/>
      <c r="M54" s="10"/>
      <c r="N54" s="10">
        <f>(H54-ARITHMETIC_COEFFICIENT!I59*M54)*J54*K54</f>
        <v>0</v>
      </c>
    </row>
    <row r="55" spans="1:14" s="114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/>
      <c r="I55" s="57"/>
      <c r="J55" s="57"/>
      <c r="K55" s="57"/>
      <c r="L55" s="57"/>
      <c r="M55" s="17"/>
      <c r="N55" s="17">
        <f>(H55-ARITHMETIC_COEFFICIENT!I60*M55)*J55*K55</f>
        <v>0</v>
      </c>
    </row>
    <row r="56" spans="1:14" s="97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/>
      <c r="I56" s="56"/>
      <c r="J56" s="56"/>
      <c r="K56" s="56"/>
      <c r="L56" s="56"/>
      <c r="M56" s="10"/>
      <c r="N56" s="10">
        <f>(H56-ARITHMETIC_COEFFICIENT!I61*M56)*J56*K56</f>
        <v>0</v>
      </c>
    </row>
    <row r="57" spans="1:14" s="97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/>
      <c r="I57" s="56"/>
      <c r="J57" s="56"/>
      <c r="K57" s="56"/>
      <c r="L57" s="56"/>
      <c r="M57" s="10"/>
      <c r="N57" s="10">
        <f>(H57-ARITHMETIC_COEFFICIENT!I62*M57)*J57*K57</f>
        <v>0</v>
      </c>
    </row>
    <row r="58" spans="1:14" s="97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/>
      <c r="I58" s="56"/>
      <c r="J58" s="56"/>
      <c r="K58" s="56"/>
      <c r="L58" s="56"/>
      <c r="M58" s="10"/>
      <c r="N58" s="10">
        <f>(H58-ARITHMETIC_COEFFICIENT!I63*M58)*J58*K58</f>
        <v>0</v>
      </c>
    </row>
    <row r="59" spans="1:14" s="97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/>
      <c r="I59" s="56"/>
      <c r="J59" s="56"/>
      <c r="K59" s="56"/>
      <c r="L59" s="56"/>
      <c r="M59" s="10"/>
      <c r="N59" s="10">
        <f>(H59-ARITHMETIC_COEFFICIENT!I64*M59)*J59*K59</f>
        <v>0</v>
      </c>
    </row>
    <row r="60" spans="1:14" s="97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/>
      <c r="I60" s="56"/>
      <c r="J60" s="56"/>
      <c r="K60" s="56"/>
      <c r="L60" s="56"/>
      <c r="M60" s="10"/>
      <c r="N60" s="10">
        <f>(H60-ARITHMETIC_COEFFICIENT!I65*M60)*J60*K60</f>
        <v>0</v>
      </c>
    </row>
    <row r="61" spans="1:14" s="97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/>
      <c r="I61" s="56"/>
      <c r="J61" s="56"/>
      <c r="K61" s="56"/>
      <c r="L61" s="56"/>
      <c r="M61" s="10"/>
      <c r="N61" s="10">
        <f>(H61-ARITHMETIC_COEFFICIENT!I66*M61)*J61*K61</f>
        <v>0</v>
      </c>
    </row>
    <row r="62" spans="1:14" s="97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/>
      <c r="I62" s="56"/>
      <c r="J62" s="56"/>
      <c r="K62" s="56"/>
      <c r="L62" s="56"/>
      <c r="M62" s="10"/>
      <c r="N62" s="10">
        <f>(H62-ARITHMETIC_COEFFICIENT!I67*M62)*J62*K62</f>
        <v>0</v>
      </c>
    </row>
    <row r="63" spans="1:14" s="97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/>
      <c r="I63" s="56"/>
      <c r="J63" s="56"/>
      <c r="K63" s="56"/>
      <c r="L63" s="56"/>
      <c r="M63" s="10"/>
      <c r="N63" s="10">
        <f>(H63-ARITHMETIC_COEFFICIENT!I68*M63)*J63*K63</f>
        <v>0</v>
      </c>
    </row>
    <row r="64" spans="1:14" s="97" customFormat="1" ht="17.25" thickBot="1" x14ac:dyDescent="0.2">
      <c r="A64" s="11">
        <f t="shared" si="0"/>
        <v>20060010</v>
      </c>
      <c r="B64" s="112">
        <v>2</v>
      </c>
      <c r="C64" s="12">
        <v>0</v>
      </c>
      <c r="D64" s="112">
        <v>6</v>
      </c>
      <c r="E64" s="112">
        <v>0</v>
      </c>
      <c r="F64" s="12">
        <v>10</v>
      </c>
      <c r="G64" s="56">
        <v>70000</v>
      </c>
      <c r="H64" s="56"/>
      <c r="I64" s="56"/>
      <c r="J64" s="56"/>
      <c r="K64" s="56"/>
      <c r="L64" s="56"/>
      <c r="M64" s="10"/>
      <c r="N64" s="10">
        <f>(H64-ARITHMETIC_COEFFICIENT!I69*M64)*J64*K64</f>
        <v>0</v>
      </c>
    </row>
    <row r="65" spans="1:14" s="114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/>
      <c r="I65" s="57"/>
      <c r="J65" s="57"/>
      <c r="K65" s="57"/>
      <c r="L65" s="57"/>
      <c r="M65" s="17"/>
      <c r="N65" s="17">
        <f>(H65-ARITHMETIC_COEFFICIENT!I70*M65)*J65*K65</f>
        <v>0</v>
      </c>
    </row>
    <row r="66" spans="1:14" s="97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/>
      <c r="I66" s="56"/>
      <c r="J66" s="56"/>
      <c r="K66" s="56"/>
      <c r="L66" s="56"/>
      <c r="M66" s="10"/>
      <c r="N66" s="10">
        <f>(H66-ARITHMETIC_COEFFICIENT!I71*M66)*J66*K66</f>
        <v>0</v>
      </c>
    </row>
    <row r="67" spans="1:14" s="97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/>
      <c r="I67" s="56"/>
      <c r="J67" s="56"/>
      <c r="K67" s="56"/>
      <c r="L67" s="56"/>
      <c r="M67" s="10"/>
      <c r="N67" s="10">
        <f>(H67-ARITHMETIC_COEFFICIENT!I72*M67)*J67*K67</f>
        <v>0</v>
      </c>
    </row>
    <row r="68" spans="1:14" s="97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/>
      <c r="I68" s="56"/>
      <c r="J68" s="56"/>
      <c r="K68" s="56"/>
      <c r="L68" s="56"/>
      <c r="M68" s="10"/>
      <c r="N68" s="10">
        <f>(H68-ARITHMETIC_COEFFICIENT!I73*M68)*J68*K68</f>
        <v>0</v>
      </c>
    </row>
    <row r="69" spans="1:14" s="97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/>
      <c r="I69" s="56"/>
      <c r="J69" s="56"/>
      <c r="K69" s="56"/>
      <c r="L69" s="56"/>
      <c r="M69" s="10"/>
      <c r="N69" s="10">
        <f>(H69-ARITHMETIC_COEFFICIENT!I74*M69)*J69*K69</f>
        <v>0</v>
      </c>
    </row>
    <row r="70" spans="1:14" s="97" customFormat="1" x14ac:dyDescent="0.15">
      <c r="A70" s="11">
        <f t="shared" ref="A70:A104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/>
      <c r="I70" s="56"/>
      <c r="J70" s="56"/>
      <c r="K70" s="56"/>
      <c r="L70" s="56"/>
      <c r="M70" s="10"/>
      <c r="N70" s="10">
        <f>(H70-ARITHMETIC_COEFFICIENT!I75*M70)*J70*K70</f>
        <v>0</v>
      </c>
    </row>
    <row r="71" spans="1:14" s="97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/>
      <c r="I71" s="56"/>
      <c r="J71" s="56"/>
      <c r="K71" s="56"/>
      <c r="L71" s="56"/>
      <c r="M71" s="10"/>
      <c r="N71" s="10">
        <f>(H71-ARITHMETIC_COEFFICIENT!I76*M71)*J71*K71</f>
        <v>0</v>
      </c>
    </row>
    <row r="72" spans="1:14" s="97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/>
      <c r="I72" s="56"/>
      <c r="J72" s="56"/>
      <c r="K72" s="56"/>
      <c r="L72" s="56"/>
      <c r="M72" s="10"/>
      <c r="N72" s="10">
        <f>(H72-ARITHMETIC_COEFFICIENT!I77*M72)*J72*K72</f>
        <v>0</v>
      </c>
    </row>
    <row r="73" spans="1:14" s="97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/>
      <c r="I73" s="56"/>
      <c r="J73" s="56"/>
      <c r="K73" s="56"/>
      <c r="L73" s="56"/>
      <c r="M73" s="10"/>
      <c r="N73" s="10">
        <f>(H73-ARITHMETIC_COEFFICIENT!I78*M73)*J73*K73</f>
        <v>0</v>
      </c>
    </row>
    <row r="74" spans="1:14" s="97" customFormat="1" ht="17.25" thickBot="1" x14ac:dyDescent="0.2">
      <c r="A74" s="11">
        <f t="shared" si="1"/>
        <v>20070010</v>
      </c>
      <c r="B74" s="112">
        <v>2</v>
      </c>
      <c r="C74" s="12">
        <v>0</v>
      </c>
      <c r="D74" s="112">
        <v>7</v>
      </c>
      <c r="E74" s="112">
        <v>0</v>
      </c>
      <c r="F74" s="12">
        <v>10</v>
      </c>
      <c r="G74" s="56">
        <v>80000</v>
      </c>
      <c r="H74" s="56"/>
      <c r="I74" s="56"/>
      <c r="J74" s="56"/>
      <c r="K74" s="56"/>
      <c r="L74" s="56"/>
      <c r="M74" s="10"/>
      <c r="N74" s="10">
        <f>(H74-ARITHMETIC_COEFFICIENT!I79*M74)*J74*K74</f>
        <v>0</v>
      </c>
    </row>
    <row r="75" spans="1:14" s="114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/>
      <c r="I75" s="57"/>
      <c r="J75" s="57"/>
      <c r="K75" s="57"/>
      <c r="L75" s="57"/>
      <c r="M75" s="17"/>
      <c r="N75" s="17">
        <f>(H75-ARITHMETIC_COEFFICIENT!I80*M75)*J75*K75</f>
        <v>0</v>
      </c>
    </row>
    <row r="76" spans="1:14" s="97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/>
      <c r="I76" s="56"/>
      <c r="J76" s="56"/>
      <c r="K76" s="56"/>
      <c r="L76" s="56"/>
      <c r="M76" s="10"/>
      <c r="N76" s="10">
        <f>(H76-ARITHMETIC_COEFFICIENT!I81*M76)*J76*K76</f>
        <v>0</v>
      </c>
    </row>
    <row r="77" spans="1:14" s="97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/>
      <c r="I77" s="56"/>
      <c r="J77" s="56"/>
      <c r="K77" s="56"/>
      <c r="L77" s="56"/>
      <c r="M77" s="10"/>
      <c r="N77" s="10">
        <f>(H77-ARITHMETIC_COEFFICIENT!I82*M77)*J77*K77</f>
        <v>0</v>
      </c>
    </row>
    <row r="78" spans="1:14" s="97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/>
      <c r="I78" s="56"/>
      <c r="J78" s="56"/>
      <c r="K78" s="56"/>
      <c r="L78" s="56"/>
      <c r="M78" s="10"/>
      <c r="N78" s="10">
        <f>(H78-ARITHMETIC_COEFFICIENT!I83*M78)*J78*K78</f>
        <v>0</v>
      </c>
    </row>
    <row r="79" spans="1:14" s="97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/>
      <c r="I79" s="56"/>
      <c r="J79" s="56"/>
      <c r="K79" s="56"/>
      <c r="L79" s="56"/>
      <c r="M79" s="10"/>
      <c r="N79" s="10">
        <f>(H79-ARITHMETIC_COEFFICIENT!I84*M79)*J79*K79</f>
        <v>0</v>
      </c>
    </row>
    <row r="80" spans="1:14" s="97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/>
      <c r="I80" s="56"/>
      <c r="J80" s="56"/>
      <c r="K80" s="56"/>
      <c r="L80" s="56"/>
      <c r="M80" s="10"/>
      <c r="N80" s="10">
        <f>(H80-ARITHMETIC_COEFFICIENT!I85*M80)*J80*K80</f>
        <v>0</v>
      </c>
    </row>
    <row r="81" spans="1:14" s="97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/>
      <c r="I81" s="56"/>
      <c r="J81" s="56"/>
      <c r="K81" s="56"/>
      <c r="L81" s="56"/>
      <c r="M81" s="10"/>
      <c r="N81" s="10">
        <f>(H81-ARITHMETIC_COEFFICIENT!I86*M81)*J81*K81</f>
        <v>0</v>
      </c>
    </row>
    <row r="82" spans="1:14" s="97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/>
      <c r="I82" s="56"/>
      <c r="J82" s="56"/>
      <c r="K82" s="56"/>
      <c r="L82" s="56"/>
      <c r="M82" s="10"/>
      <c r="N82" s="10">
        <f>(H82-ARITHMETIC_COEFFICIENT!I87*M82)*J82*K82</f>
        <v>0</v>
      </c>
    </row>
    <row r="83" spans="1:14" s="97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/>
      <c r="I83" s="56"/>
      <c r="J83" s="56"/>
      <c r="K83" s="56"/>
      <c r="L83" s="56"/>
      <c r="M83" s="10"/>
      <c r="N83" s="10">
        <f>(H83-ARITHMETIC_COEFFICIENT!I88*M83)*J83*K83</f>
        <v>0</v>
      </c>
    </row>
    <row r="84" spans="1:14" s="97" customFormat="1" ht="17.25" thickBot="1" x14ac:dyDescent="0.2">
      <c r="A84" s="11">
        <f t="shared" si="1"/>
        <v>20080010</v>
      </c>
      <c r="B84" s="112">
        <v>2</v>
      </c>
      <c r="C84" s="12">
        <v>0</v>
      </c>
      <c r="D84" s="112">
        <v>8</v>
      </c>
      <c r="E84" s="112">
        <v>0</v>
      </c>
      <c r="F84" s="12">
        <v>10</v>
      </c>
      <c r="G84" s="56">
        <v>90000</v>
      </c>
      <c r="H84" s="56"/>
      <c r="I84" s="56"/>
      <c r="J84" s="56"/>
      <c r="K84" s="56"/>
      <c r="L84" s="56"/>
      <c r="M84" s="10"/>
      <c r="N84" s="10">
        <f>(H84-ARITHMETIC_COEFFICIENT!I89*M84)*J84*K84</f>
        <v>0</v>
      </c>
    </row>
    <row r="85" spans="1:14" s="114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/>
      <c r="I85" s="57"/>
      <c r="J85" s="57"/>
      <c r="K85" s="57"/>
      <c r="L85" s="57"/>
      <c r="M85" s="17"/>
      <c r="N85" s="17">
        <f>(H85-ARITHMETIC_COEFFICIENT!I90*M85)*J85*K85</f>
        <v>0</v>
      </c>
    </row>
    <row r="86" spans="1:14" s="97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/>
      <c r="I86" s="56"/>
      <c r="J86" s="56"/>
      <c r="K86" s="56"/>
      <c r="L86" s="56"/>
      <c r="M86" s="10"/>
      <c r="N86" s="10">
        <f>(H86-ARITHMETIC_COEFFICIENT!I91*M86)*J86*K86</f>
        <v>0</v>
      </c>
    </row>
    <row r="87" spans="1:14" s="97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/>
      <c r="I87" s="56"/>
      <c r="J87" s="56"/>
      <c r="K87" s="56"/>
      <c r="L87" s="56"/>
      <c r="M87" s="10"/>
      <c r="N87" s="10">
        <f>(H87-ARITHMETIC_COEFFICIENT!I92*M87)*J87*K87</f>
        <v>0</v>
      </c>
    </row>
    <row r="88" spans="1:14" s="97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/>
      <c r="I88" s="56"/>
      <c r="J88" s="56"/>
      <c r="K88" s="56"/>
      <c r="L88" s="56"/>
      <c r="M88" s="10"/>
      <c r="N88" s="10">
        <f>(H88-ARITHMETIC_COEFFICIENT!I93*M88)*J88*K88</f>
        <v>0</v>
      </c>
    </row>
    <row r="89" spans="1:14" s="97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/>
      <c r="I89" s="56"/>
      <c r="J89" s="56"/>
      <c r="K89" s="56"/>
      <c r="L89" s="56"/>
      <c r="M89" s="10"/>
      <c r="N89" s="10">
        <f>(H89-ARITHMETIC_COEFFICIENT!I94*M89)*J89*K89</f>
        <v>0</v>
      </c>
    </row>
    <row r="90" spans="1:14" s="97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/>
      <c r="I90" s="56"/>
      <c r="J90" s="56"/>
      <c r="K90" s="56"/>
      <c r="L90" s="56"/>
      <c r="M90" s="10"/>
      <c r="N90" s="10">
        <f>(H90-ARITHMETIC_COEFFICIENT!I95*M90)*J90*K90</f>
        <v>0</v>
      </c>
    </row>
    <row r="91" spans="1:14" s="97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/>
      <c r="I91" s="56"/>
      <c r="J91" s="56"/>
      <c r="K91" s="56"/>
      <c r="L91" s="56"/>
      <c r="M91" s="10"/>
      <c r="N91" s="10">
        <f>(H91-ARITHMETIC_COEFFICIENT!I96*M91)*J91*K91</f>
        <v>0</v>
      </c>
    </row>
    <row r="92" spans="1:14" s="97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/>
      <c r="I92" s="56"/>
      <c r="J92" s="56"/>
      <c r="K92" s="56"/>
      <c r="L92" s="56"/>
      <c r="M92" s="10"/>
      <c r="N92" s="10">
        <f>(H92-ARITHMETIC_COEFFICIENT!I97*M92)*J92*K92</f>
        <v>0</v>
      </c>
    </row>
    <row r="93" spans="1:14" s="97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/>
      <c r="I93" s="56"/>
      <c r="J93" s="56"/>
      <c r="K93" s="56"/>
      <c r="L93" s="56"/>
      <c r="M93" s="10"/>
      <c r="N93" s="10">
        <f>(H93-ARITHMETIC_COEFFICIENT!I98*M93)*J93*K93</f>
        <v>0</v>
      </c>
    </row>
    <row r="94" spans="1:14" s="97" customFormat="1" ht="17.25" thickBot="1" x14ac:dyDescent="0.2">
      <c r="A94" s="11">
        <f t="shared" si="1"/>
        <v>20090010</v>
      </c>
      <c r="B94" s="112">
        <v>2</v>
      </c>
      <c r="C94" s="12">
        <v>0</v>
      </c>
      <c r="D94" s="112">
        <v>9</v>
      </c>
      <c r="E94" s="112">
        <v>0</v>
      </c>
      <c r="F94" s="12">
        <v>10</v>
      </c>
      <c r="G94" s="56">
        <v>100000</v>
      </c>
      <c r="H94" s="56"/>
      <c r="I94" s="56"/>
      <c r="J94" s="56"/>
      <c r="K94" s="56"/>
      <c r="L94" s="56"/>
      <c r="M94" s="10"/>
      <c r="N94" s="10">
        <f>(H94-ARITHMETIC_COEFFICIENT!I99*M94)*J94*K94</f>
        <v>0</v>
      </c>
    </row>
    <row r="95" spans="1:14" s="114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/>
      <c r="I95" s="57"/>
      <c r="J95" s="57"/>
      <c r="K95" s="57"/>
      <c r="L95" s="57"/>
      <c r="M95" s="17"/>
      <c r="N95" s="17">
        <f>(H95-ARITHMETIC_COEFFICIENT!I100*M95)*J95*K95</f>
        <v>0</v>
      </c>
    </row>
    <row r="96" spans="1:14" s="97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/>
      <c r="I96" s="56"/>
      <c r="J96" s="56"/>
      <c r="K96" s="56"/>
      <c r="L96" s="56"/>
      <c r="M96" s="10"/>
      <c r="N96" s="10">
        <f>(H96-ARITHMETIC_COEFFICIENT!I101*M96)*J96*K96</f>
        <v>0</v>
      </c>
    </row>
    <row r="97" spans="1:14" s="97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/>
      <c r="I97" s="56"/>
      <c r="J97" s="56"/>
      <c r="K97" s="56"/>
      <c r="L97" s="56"/>
      <c r="M97" s="10"/>
      <c r="N97" s="10">
        <f>(H97-ARITHMETIC_COEFFICIENT!I102*M97)*J97*K97</f>
        <v>0</v>
      </c>
    </row>
    <row r="98" spans="1:14" s="97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/>
      <c r="I98" s="56"/>
      <c r="J98" s="56"/>
      <c r="K98" s="56"/>
      <c r="L98" s="56"/>
      <c r="M98" s="10"/>
      <c r="N98" s="10">
        <f>(H98-ARITHMETIC_COEFFICIENT!I103*M98)*J98*K98</f>
        <v>0</v>
      </c>
    </row>
    <row r="99" spans="1:14" s="97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/>
      <c r="I99" s="56"/>
      <c r="J99" s="56"/>
      <c r="K99" s="56"/>
      <c r="L99" s="56"/>
      <c r="M99" s="10"/>
      <c r="N99" s="10">
        <f>(H99-ARITHMETIC_COEFFICIENT!I104*M99)*J99*K99</f>
        <v>0</v>
      </c>
    </row>
    <row r="100" spans="1:14" s="97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/>
      <c r="I100" s="56"/>
      <c r="J100" s="56"/>
      <c r="K100" s="56"/>
      <c r="L100" s="56"/>
      <c r="M100" s="10"/>
      <c r="N100" s="10">
        <f>(H100-ARITHMETIC_COEFFICIENT!I105*M100)*J100*K100</f>
        <v>0</v>
      </c>
    </row>
    <row r="101" spans="1:14" s="97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/>
      <c r="I101" s="56"/>
      <c r="J101" s="56"/>
      <c r="K101" s="56"/>
      <c r="L101" s="56"/>
      <c r="M101" s="10"/>
      <c r="N101" s="10">
        <f>(H101-ARITHMETIC_COEFFICIENT!I106*M101)*J101*K101</f>
        <v>0</v>
      </c>
    </row>
    <row r="102" spans="1:14" s="97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/>
      <c r="I102" s="56"/>
      <c r="J102" s="56"/>
      <c r="K102" s="56"/>
      <c r="L102" s="56"/>
      <c r="M102" s="10"/>
      <c r="N102" s="10">
        <f>(H102-ARITHMETIC_COEFFICIENT!I107*M102)*J102*K102</f>
        <v>0</v>
      </c>
    </row>
    <row r="103" spans="1:14" s="97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/>
      <c r="I103" s="56"/>
      <c r="J103" s="56"/>
      <c r="K103" s="56"/>
      <c r="L103" s="56"/>
      <c r="M103" s="10"/>
      <c r="N103" s="10">
        <f>(H103-ARITHMETIC_COEFFICIENT!I108*M103)*J103*K103</f>
        <v>0</v>
      </c>
    </row>
    <row r="104" spans="1:14" s="97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2">
        <v>10</v>
      </c>
      <c r="E104" s="112">
        <v>0</v>
      </c>
      <c r="F104" s="12">
        <v>10</v>
      </c>
      <c r="G104" s="56">
        <v>110000</v>
      </c>
      <c r="H104" s="56"/>
      <c r="I104" s="56"/>
      <c r="J104" s="56"/>
      <c r="K104" s="56"/>
      <c r="L104" s="56"/>
      <c r="M104" s="10"/>
      <c r="N104" s="10">
        <f>(H104-ARITHMETIC_COEFFICIENT!I109*M104)*J104*K104</f>
        <v>0</v>
      </c>
    </row>
    <row r="105" spans="1:14" s="114" customFormat="1" x14ac:dyDescent="0.15">
      <c r="A105" s="18">
        <f t="shared" ref="A105:A124" si="2">B105*10000000+C105*1000000+D105*10000+E105*100+F105</f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/>
      <c r="I105" s="57"/>
      <c r="J105" s="57"/>
      <c r="K105" s="57"/>
      <c r="L105" s="57"/>
      <c r="M105" s="17"/>
      <c r="N105" s="17">
        <f>(H105-ARITHMETIC_COEFFICIENT!I110*M105)*J105*K105</f>
        <v>0</v>
      </c>
    </row>
    <row r="106" spans="1:14" s="97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110000</v>
      </c>
      <c r="H106" s="56"/>
      <c r="I106" s="56"/>
      <c r="J106" s="56"/>
      <c r="K106" s="56"/>
      <c r="L106" s="56"/>
      <c r="M106" s="10"/>
      <c r="N106" s="10">
        <f>(H106-ARITHMETIC_COEFFICIENT!I111*M106)*J106*K106</f>
        <v>0</v>
      </c>
    </row>
    <row r="107" spans="1:14" s="97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110000</v>
      </c>
      <c r="H107" s="56"/>
      <c r="I107" s="56"/>
      <c r="J107" s="56"/>
      <c r="K107" s="56"/>
      <c r="L107" s="56"/>
      <c r="M107" s="10"/>
      <c r="N107" s="10">
        <f>(H107-ARITHMETIC_COEFFICIENT!I112*M107)*J107*K107</f>
        <v>0</v>
      </c>
    </row>
    <row r="108" spans="1:14" s="97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110000</v>
      </c>
      <c r="H108" s="56"/>
      <c r="I108" s="56"/>
      <c r="J108" s="56"/>
      <c r="K108" s="56"/>
      <c r="L108" s="56"/>
      <c r="M108" s="10"/>
      <c r="N108" s="10">
        <f>(H108-ARITHMETIC_COEFFICIENT!I113*M108)*J108*K108</f>
        <v>0</v>
      </c>
    </row>
    <row r="109" spans="1:14" s="97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110000</v>
      </c>
      <c r="H109" s="56"/>
      <c r="I109" s="56"/>
      <c r="J109" s="56"/>
      <c r="K109" s="56"/>
      <c r="L109" s="56"/>
      <c r="M109" s="10"/>
      <c r="N109" s="10">
        <f>(H109-ARITHMETIC_COEFFICIENT!I114*M109)*J109*K109</f>
        <v>0</v>
      </c>
    </row>
    <row r="110" spans="1:14" s="97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110000</v>
      </c>
      <c r="H110" s="56"/>
      <c r="I110" s="56"/>
      <c r="J110" s="56"/>
      <c r="K110" s="56"/>
      <c r="L110" s="56"/>
      <c r="M110" s="10"/>
      <c r="N110" s="10">
        <f>(H110-ARITHMETIC_COEFFICIENT!I115*M110)*J110*K110</f>
        <v>0</v>
      </c>
    </row>
    <row r="111" spans="1:14" s="97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110000</v>
      </c>
      <c r="H111" s="56"/>
      <c r="I111" s="56"/>
      <c r="J111" s="56"/>
      <c r="K111" s="56"/>
      <c r="L111" s="56"/>
      <c r="M111" s="10"/>
      <c r="N111" s="10">
        <f>(H111-ARITHMETIC_COEFFICIENT!I116*M111)*J111*K111</f>
        <v>0</v>
      </c>
    </row>
    <row r="112" spans="1:14" s="97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110000</v>
      </c>
      <c r="H112" s="56"/>
      <c r="I112" s="56"/>
      <c r="J112" s="56"/>
      <c r="K112" s="56"/>
      <c r="L112" s="56"/>
      <c r="M112" s="10"/>
      <c r="N112" s="10">
        <f>(H112-ARITHMETIC_COEFFICIENT!I117*M112)*J112*K112</f>
        <v>0</v>
      </c>
    </row>
    <row r="113" spans="1:14" s="97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110000</v>
      </c>
      <c r="H113" s="56"/>
      <c r="I113" s="56"/>
      <c r="J113" s="56"/>
      <c r="K113" s="56"/>
      <c r="L113" s="56"/>
      <c r="M113" s="10"/>
      <c r="N113" s="10">
        <f>(H113-ARITHMETIC_COEFFICIENT!I118*M113)*J113*K113</f>
        <v>0</v>
      </c>
    </row>
    <row r="114" spans="1:14" s="97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12">
        <v>11</v>
      </c>
      <c r="E114" s="112">
        <v>0</v>
      </c>
      <c r="F114" s="12">
        <v>10</v>
      </c>
      <c r="G114" s="56">
        <v>110000</v>
      </c>
      <c r="H114" s="56"/>
      <c r="I114" s="56"/>
      <c r="J114" s="56"/>
      <c r="K114" s="56"/>
      <c r="L114" s="56"/>
      <c r="M114" s="10"/>
      <c r="N114" s="10">
        <f>(H114-ARITHMETIC_COEFFICIENT!I119*M114)*J114*K114</f>
        <v>0</v>
      </c>
    </row>
    <row r="115" spans="1:14" s="114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110000</v>
      </c>
      <c r="H115" s="57"/>
      <c r="I115" s="57"/>
      <c r="J115" s="57"/>
      <c r="K115" s="57"/>
      <c r="L115" s="57"/>
      <c r="M115" s="17"/>
      <c r="N115" s="17">
        <f>(H115-ARITHMETIC_COEFFICIENT!I120*M115)*J115*K115</f>
        <v>0</v>
      </c>
    </row>
    <row r="116" spans="1:14" s="97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110000</v>
      </c>
      <c r="H116" s="56"/>
      <c r="I116" s="56"/>
      <c r="J116" s="56"/>
      <c r="K116" s="56"/>
      <c r="L116" s="56"/>
      <c r="M116" s="10"/>
      <c r="N116" s="10">
        <f>(H116-ARITHMETIC_COEFFICIENT!I121*M116)*J116*K116</f>
        <v>0</v>
      </c>
    </row>
    <row r="117" spans="1:14" s="97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110000</v>
      </c>
      <c r="H117" s="56"/>
      <c r="I117" s="56"/>
      <c r="J117" s="56"/>
      <c r="K117" s="56"/>
      <c r="L117" s="56"/>
      <c r="M117" s="10"/>
      <c r="N117" s="10">
        <f>(H117-ARITHMETIC_COEFFICIENT!I122*M117)*J117*K117</f>
        <v>0</v>
      </c>
    </row>
    <row r="118" spans="1:14" s="97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110000</v>
      </c>
      <c r="H118" s="56"/>
      <c r="I118" s="56"/>
      <c r="J118" s="56"/>
      <c r="K118" s="56"/>
      <c r="L118" s="56"/>
      <c r="M118" s="10"/>
      <c r="N118" s="10">
        <f>(H118-ARITHMETIC_COEFFICIENT!I123*M118)*J118*K118</f>
        <v>0</v>
      </c>
    </row>
    <row r="119" spans="1:14" s="97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110000</v>
      </c>
      <c r="H119" s="56"/>
      <c r="I119" s="56"/>
      <c r="J119" s="56"/>
      <c r="K119" s="56"/>
      <c r="L119" s="56"/>
      <c r="M119" s="10"/>
      <c r="N119" s="10">
        <f>(H119-ARITHMETIC_COEFFICIENT!I124*M119)*J119*K119</f>
        <v>0</v>
      </c>
    </row>
    <row r="120" spans="1:14" s="97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110000</v>
      </c>
      <c r="H120" s="56"/>
      <c r="I120" s="56"/>
      <c r="J120" s="56"/>
      <c r="K120" s="56"/>
      <c r="L120" s="56"/>
      <c r="M120" s="10"/>
      <c r="N120" s="10">
        <f>(H120-ARITHMETIC_COEFFICIENT!I125*M120)*J120*K120</f>
        <v>0</v>
      </c>
    </row>
    <row r="121" spans="1:14" s="97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110000</v>
      </c>
      <c r="H121" s="56"/>
      <c r="I121" s="56"/>
      <c r="J121" s="56"/>
      <c r="K121" s="56"/>
      <c r="L121" s="56"/>
      <c r="M121" s="10"/>
      <c r="N121" s="10">
        <f>(H121-ARITHMETIC_COEFFICIENT!I126*M121)*J121*K121</f>
        <v>0</v>
      </c>
    </row>
    <row r="122" spans="1:14" s="97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110000</v>
      </c>
      <c r="H122" s="56"/>
      <c r="I122" s="56"/>
      <c r="J122" s="56"/>
      <c r="K122" s="56"/>
      <c r="L122" s="56"/>
      <c r="M122" s="10"/>
      <c r="N122" s="10">
        <f>(H122-ARITHMETIC_COEFFICIENT!I127*M122)*J122*K122</f>
        <v>0</v>
      </c>
    </row>
    <row r="123" spans="1:14" s="97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110000</v>
      </c>
      <c r="H123" s="56"/>
      <c r="I123" s="56"/>
      <c r="J123" s="56"/>
      <c r="K123" s="56"/>
      <c r="L123" s="56"/>
      <c r="M123" s="10"/>
      <c r="N123" s="10">
        <f>(H123-ARITHMETIC_COEFFICIENT!I128*M123)*J123*K123</f>
        <v>0</v>
      </c>
    </row>
    <row r="124" spans="1:14" s="97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12">
        <v>12</v>
      </c>
      <c r="E124" s="112">
        <v>0</v>
      </c>
      <c r="F124" s="12">
        <v>10</v>
      </c>
      <c r="G124" s="56">
        <v>110000</v>
      </c>
      <c r="H124" s="56"/>
      <c r="I124" s="56"/>
      <c r="J124" s="56"/>
      <c r="K124" s="56"/>
      <c r="L124" s="56"/>
      <c r="M124" s="10"/>
      <c r="N124" s="10">
        <f>(H124-ARITHMETIC_COEFFICIENT!I129*M124)*J124*K124</f>
        <v>0</v>
      </c>
    </row>
    <row r="125" spans="1:14" s="114" customFormat="1" x14ac:dyDescent="0.15">
      <c r="A125" s="18">
        <f t="shared" ref="A125:A164" si="3">B125*10000000+C125*1000000+D125*10000+E125*100+F125</f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110000</v>
      </c>
      <c r="H125" s="57"/>
      <c r="I125" s="57"/>
      <c r="J125" s="57"/>
      <c r="K125" s="57"/>
      <c r="L125" s="57"/>
      <c r="M125" s="17"/>
      <c r="N125" s="17">
        <f>(H125-ARITHMETIC_COEFFICIENT!I130*M125)*J125*K125</f>
        <v>0</v>
      </c>
    </row>
    <row r="126" spans="1:14" s="97" customFormat="1" x14ac:dyDescent="0.15">
      <c r="A126" s="11">
        <f t="shared" si="3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110000</v>
      </c>
      <c r="H126" s="56"/>
      <c r="I126" s="56"/>
      <c r="J126" s="56"/>
      <c r="K126" s="56"/>
      <c r="L126" s="56"/>
      <c r="M126" s="10"/>
      <c r="N126" s="10">
        <f>(H126-ARITHMETIC_COEFFICIENT!I131*M126)*J126*K126</f>
        <v>0</v>
      </c>
    </row>
    <row r="127" spans="1:14" s="97" customFormat="1" x14ac:dyDescent="0.15">
      <c r="A127" s="11">
        <f t="shared" si="3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110000</v>
      </c>
      <c r="H127" s="56"/>
      <c r="I127" s="56"/>
      <c r="J127" s="56"/>
      <c r="K127" s="56"/>
      <c r="L127" s="56"/>
      <c r="M127" s="10"/>
      <c r="N127" s="10">
        <f>(H127-ARITHMETIC_COEFFICIENT!I132*M127)*J127*K127</f>
        <v>0</v>
      </c>
    </row>
    <row r="128" spans="1:14" s="97" customFormat="1" x14ac:dyDescent="0.15">
      <c r="A128" s="11">
        <f t="shared" si="3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110000</v>
      </c>
      <c r="H128" s="56"/>
      <c r="I128" s="56"/>
      <c r="J128" s="56"/>
      <c r="K128" s="56"/>
      <c r="L128" s="56"/>
      <c r="M128" s="10"/>
      <c r="N128" s="10">
        <f>(H128-ARITHMETIC_COEFFICIENT!I133*M128)*J128*K128</f>
        <v>0</v>
      </c>
    </row>
    <row r="129" spans="1:14" s="97" customFormat="1" x14ac:dyDescent="0.15">
      <c r="A129" s="11">
        <f t="shared" si="3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110000</v>
      </c>
      <c r="H129" s="56"/>
      <c r="I129" s="56"/>
      <c r="J129" s="56"/>
      <c r="K129" s="56"/>
      <c r="L129" s="56"/>
      <c r="M129" s="10"/>
      <c r="N129" s="10">
        <f>(H129-ARITHMETIC_COEFFICIENT!I134*M129)*J129*K129</f>
        <v>0</v>
      </c>
    </row>
    <row r="130" spans="1:14" s="97" customFormat="1" x14ac:dyDescent="0.15">
      <c r="A130" s="11">
        <f t="shared" si="3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110000</v>
      </c>
      <c r="H130" s="56"/>
      <c r="I130" s="56"/>
      <c r="J130" s="56"/>
      <c r="K130" s="56"/>
      <c r="L130" s="56"/>
      <c r="M130" s="10"/>
      <c r="N130" s="10">
        <f>(H130-ARITHMETIC_COEFFICIENT!I135*M130)*J130*K130</f>
        <v>0</v>
      </c>
    </row>
    <row r="131" spans="1:14" s="97" customFormat="1" x14ac:dyDescent="0.15">
      <c r="A131" s="11">
        <f t="shared" si="3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110000</v>
      </c>
      <c r="H131" s="56"/>
      <c r="I131" s="56"/>
      <c r="J131" s="56"/>
      <c r="K131" s="56"/>
      <c r="L131" s="56"/>
      <c r="M131" s="10"/>
      <c r="N131" s="10">
        <f>(H131-ARITHMETIC_COEFFICIENT!I136*M131)*J131*K131</f>
        <v>0</v>
      </c>
    </row>
    <row r="132" spans="1:14" s="97" customFormat="1" x14ac:dyDescent="0.15">
      <c r="A132" s="11">
        <f t="shared" si="3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110000</v>
      </c>
      <c r="H132" s="56"/>
      <c r="I132" s="56"/>
      <c r="J132" s="56"/>
      <c r="K132" s="56"/>
      <c r="L132" s="56"/>
      <c r="M132" s="10"/>
      <c r="N132" s="10">
        <f>(H132-ARITHMETIC_COEFFICIENT!I137*M132)*J132*K132</f>
        <v>0</v>
      </c>
    </row>
    <row r="133" spans="1:14" s="97" customFormat="1" x14ac:dyDescent="0.15">
      <c r="A133" s="11">
        <f t="shared" si="3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110000</v>
      </c>
      <c r="H133" s="56"/>
      <c r="I133" s="56"/>
      <c r="J133" s="56"/>
      <c r="K133" s="56"/>
      <c r="L133" s="56"/>
      <c r="M133" s="10"/>
      <c r="N133" s="10">
        <f>(H133-ARITHMETIC_COEFFICIENT!I138*M133)*J133*K133</f>
        <v>0</v>
      </c>
    </row>
    <row r="134" spans="1:14" s="97" customFormat="1" ht="17.25" thickBot="1" x14ac:dyDescent="0.2">
      <c r="A134" s="11">
        <f t="shared" si="3"/>
        <v>20130010</v>
      </c>
      <c r="B134" s="13">
        <v>2</v>
      </c>
      <c r="C134" s="12">
        <v>0</v>
      </c>
      <c r="D134" s="112">
        <v>13</v>
      </c>
      <c r="E134" s="112">
        <v>0</v>
      </c>
      <c r="F134" s="12">
        <v>10</v>
      </c>
      <c r="G134" s="56">
        <v>110000</v>
      </c>
      <c r="H134" s="56"/>
      <c r="I134" s="56"/>
      <c r="J134" s="56"/>
      <c r="K134" s="56"/>
      <c r="L134" s="56"/>
      <c r="M134" s="10"/>
      <c r="N134" s="10">
        <f>(H134-ARITHMETIC_COEFFICIENT!I139*M134)*J134*K134</f>
        <v>0</v>
      </c>
    </row>
    <row r="135" spans="1:14" s="114" customFormat="1" x14ac:dyDescent="0.15">
      <c r="A135" s="18">
        <f t="shared" si="3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110000</v>
      </c>
      <c r="H135" s="57"/>
      <c r="I135" s="57"/>
      <c r="J135" s="57"/>
      <c r="K135" s="57"/>
      <c r="L135" s="57"/>
      <c r="M135" s="17"/>
      <c r="N135" s="17">
        <f>(H135-ARITHMETIC_COEFFICIENT!I140*M135)*J135*K135</f>
        <v>0</v>
      </c>
    </row>
    <row r="136" spans="1:14" s="97" customFormat="1" x14ac:dyDescent="0.15">
      <c r="A136" s="11">
        <f t="shared" si="3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110000</v>
      </c>
      <c r="H136" s="56"/>
      <c r="I136" s="56"/>
      <c r="J136" s="56"/>
      <c r="K136" s="56"/>
      <c r="L136" s="56"/>
      <c r="M136" s="10"/>
      <c r="N136" s="10">
        <f>(H136-ARITHMETIC_COEFFICIENT!I141*M136)*J136*K136</f>
        <v>0</v>
      </c>
    </row>
    <row r="137" spans="1:14" s="97" customFormat="1" x14ac:dyDescent="0.15">
      <c r="A137" s="11">
        <f t="shared" si="3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110000</v>
      </c>
      <c r="H137" s="56"/>
      <c r="I137" s="56"/>
      <c r="J137" s="56"/>
      <c r="K137" s="56"/>
      <c r="L137" s="56"/>
      <c r="M137" s="10"/>
      <c r="N137" s="10">
        <f>(H137-ARITHMETIC_COEFFICIENT!I142*M137)*J137*K137</f>
        <v>0</v>
      </c>
    </row>
    <row r="138" spans="1:14" s="97" customFormat="1" x14ac:dyDescent="0.15">
      <c r="A138" s="11">
        <f t="shared" si="3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110000</v>
      </c>
      <c r="H138" s="56"/>
      <c r="I138" s="56"/>
      <c r="J138" s="56"/>
      <c r="K138" s="56"/>
      <c r="L138" s="56"/>
      <c r="M138" s="10"/>
      <c r="N138" s="10">
        <f>(H138-ARITHMETIC_COEFFICIENT!I143*M138)*J138*K138</f>
        <v>0</v>
      </c>
    </row>
    <row r="139" spans="1:14" s="97" customFormat="1" x14ac:dyDescent="0.15">
      <c r="A139" s="11">
        <f t="shared" si="3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110000</v>
      </c>
      <c r="H139" s="56"/>
      <c r="I139" s="56"/>
      <c r="J139" s="56"/>
      <c r="K139" s="56"/>
      <c r="L139" s="56"/>
      <c r="M139" s="10"/>
      <c r="N139" s="10">
        <f>(H139-ARITHMETIC_COEFFICIENT!I144*M139)*J139*K139</f>
        <v>0</v>
      </c>
    </row>
    <row r="140" spans="1:14" s="97" customFormat="1" x14ac:dyDescent="0.15">
      <c r="A140" s="11">
        <f t="shared" si="3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110000</v>
      </c>
      <c r="H140" s="56"/>
      <c r="I140" s="56"/>
      <c r="J140" s="56"/>
      <c r="K140" s="56"/>
      <c r="L140" s="56"/>
      <c r="M140" s="10"/>
      <c r="N140" s="10">
        <f>(H140-ARITHMETIC_COEFFICIENT!I145*M140)*J140*K140</f>
        <v>0</v>
      </c>
    </row>
    <row r="141" spans="1:14" s="97" customFormat="1" x14ac:dyDescent="0.15">
      <c r="A141" s="11">
        <f t="shared" si="3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110000</v>
      </c>
      <c r="H141" s="56"/>
      <c r="I141" s="56"/>
      <c r="J141" s="56"/>
      <c r="K141" s="56"/>
      <c r="L141" s="56"/>
      <c r="M141" s="10"/>
      <c r="N141" s="10">
        <f>(H141-ARITHMETIC_COEFFICIENT!I146*M141)*J141*K141</f>
        <v>0</v>
      </c>
    </row>
    <row r="142" spans="1:14" s="97" customFormat="1" x14ac:dyDescent="0.15">
      <c r="A142" s="11">
        <f t="shared" si="3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110000</v>
      </c>
      <c r="H142" s="56"/>
      <c r="I142" s="56"/>
      <c r="J142" s="56"/>
      <c r="K142" s="56"/>
      <c r="L142" s="56"/>
      <c r="M142" s="10"/>
      <c r="N142" s="10">
        <f>(H142-ARITHMETIC_COEFFICIENT!I147*M142)*J142*K142</f>
        <v>0</v>
      </c>
    </row>
    <row r="143" spans="1:14" s="97" customFormat="1" x14ac:dyDescent="0.15">
      <c r="A143" s="11">
        <f t="shared" si="3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110000</v>
      </c>
      <c r="H143" s="56"/>
      <c r="I143" s="56"/>
      <c r="J143" s="56"/>
      <c r="K143" s="56"/>
      <c r="L143" s="56"/>
      <c r="M143" s="10"/>
      <c r="N143" s="10">
        <f>(H143-ARITHMETIC_COEFFICIENT!I148*M143)*J143*K143</f>
        <v>0</v>
      </c>
    </row>
    <row r="144" spans="1:14" s="97" customFormat="1" ht="17.25" thickBot="1" x14ac:dyDescent="0.2">
      <c r="A144" s="11">
        <f t="shared" si="3"/>
        <v>20140010</v>
      </c>
      <c r="B144" s="13">
        <v>2</v>
      </c>
      <c r="C144" s="12">
        <v>0</v>
      </c>
      <c r="D144" s="112">
        <v>14</v>
      </c>
      <c r="E144" s="112">
        <v>0</v>
      </c>
      <c r="F144" s="12">
        <v>10</v>
      </c>
      <c r="G144" s="56">
        <v>110000</v>
      </c>
      <c r="H144" s="56"/>
      <c r="I144" s="56"/>
      <c r="J144" s="56"/>
      <c r="K144" s="56"/>
      <c r="L144" s="56"/>
      <c r="M144" s="10"/>
      <c r="N144" s="10">
        <f>(H144-ARITHMETIC_COEFFICIENT!I149*M144)*J144*K144</f>
        <v>0</v>
      </c>
    </row>
    <row r="145" spans="1:14" s="114" customFormat="1" x14ac:dyDescent="0.15">
      <c r="A145" s="18">
        <f t="shared" si="3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110000</v>
      </c>
      <c r="H145" s="57"/>
      <c r="I145" s="57"/>
      <c r="J145" s="57"/>
      <c r="K145" s="57"/>
      <c r="L145" s="57"/>
      <c r="M145" s="17"/>
      <c r="N145" s="17">
        <f>(H145-ARITHMETIC_COEFFICIENT!I150*M145)*J145*K145</f>
        <v>0</v>
      </c>
    </row>
    <row r="146" spans="1:14" s="97" customFormat="1" x14ac:dyDescent="0.15">
      <c r="A146" s="11">
        <f t="shared" si="3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110000</v>
      </c>
      <c r="H146" s="56"/>
      <c r="I146" s="56"/>
      <c r="J146" s="56"/>
      <c r="K146" s="56"/>
      <c r="L146" s="56"/>
      <c r="M146" s="10"/>
      <c r="N146" s="10">
        <f>(H146-ARITHMETIC_COEFFICIENT!I151*M146)*J146*K146</f>
        <v>0</v>
      </c>
    </row>
    <row r="147" spans="1:14" s="97" customFormat="1" x14ac:dyDescent="0.15">
      <c r="A147" s="11">
        <f t="shared" si="3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110000</v>
      </c>
      <c r="H147" s="56"/>
      <c r="I147" s="56"/>
      <c r="J147" s="56"/>
      <c r="K147" s="56"/>
      <c r="L147" s="56"/>
      <c r="M147" s="10"/>
      <c r="N147" s="10">
        <f>(H147-ARITHMETIC_COEFFICIENT!I152*M147)*J147*K147</f>
        <v>0</v>
      </c>
    </row>
    <row r="148" spans="1:14" s="97" customFormat="1" x14ac:dyDescent="0.15">
      <c r="A148" s="11">
        <f t="shared" si="3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110000</v>
      </c>
      <c r="H148" s="56"/>
      <c r="I148" s="56"/>
      <c r="J148" s="56"/>
      <c r="K148" s="56"/>
      <c r="L148" s="56"/>
      <c r="M148" s="10"/>
      <c r="N148" s="10">
        <f>(H148-ARITHMETIC_COEFFICIENT!I153*M148)*J148*K148</f>
        <v>0</v>
      </c>
    </row>
    <row r="149" spans="1:14" s="97" customFormat="1" x14ac:dyDescent="0.15">
      <c r="A149" s="11">
        <f t="shared" si="3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110000</v>
      </c>
      <c r="H149" s="56"/>
      <c r="I149" s="56"/>
      <c r="J149" s="56"/>
      <c r="K149" s="56"/>
      <c r="L149" s="56"/>
      <c r="M149" s="10"/>
      <c r="N149" s="10">
        <f>(H149-ARITHMETIC_COEFFICIENT!I154*M149)*J149*K149</f>
        <v>0</v>
      </c>
    </row>
    <row r="150" spans="1:14" s="97" customFormat="1" x14ac:dyDescent="0.15">
      <c r="A150" s="11">
        <f t="shared" si="3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110000</v>
      </c>
      <c r="H150" s="56"/>
      <c r="I150" s="56"/>
      <c r="J150" s="56"/>
      <c r="K150" s="56"/>
      <c r="L150" s="56"/>
      <c r="M150" s="10"/>
      <c r="N150" s="10">
        <f>(H150-ARITHMETIC_COEFFICIENT!I155*M150)*J150*K150</f>
        <v>0</v>
      </c>
    </row>
    <row r="151" spans="1:14" s="97" customFormat="1" x14ac:dyDescent="0.15">
      <c r="A151" s="11">
        <f t="shared" si="3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110000</v>
      </c>
      <c r="H151" s="56"/>
      <c r="I151" s="56"/>
      <c r="J151" s="56"/>
      <c r="K151" s="56"/>
      <c r="L151" s="56"/>
      <c r="M151" s="10"/>
      <c r="N151" s="10">
        <f>(H151-ARITHMETIC_COEFFICIENT!I156*M151)*J151*K151</f>
        <v>0</v>
      </c>
    </row>
    <row r="152" spans="1:14" s="97" customFormat="1" x14ac:dyDescent="0.15">
      <c r="A152" s="11">
        <f t="shared" si="3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110000</v>
      </c>
      <c r="H152" s="56"/>
      <c r="I152" s="56"/>
      <c r="J152" s="56"/>
      <c r="K152" s="56"/>
      <c r="L152" s="56"/>
      <c r="M152" s="10"/>
      <c r="N152" s="10">
        <f>(H152-ARITHMETIC_COEFFICIENT!I157*M152)*J152*K152</f>
        <v>0</v>
      </c>
    </row>
    <row r="153" spans="1:14" s="97" customFormat="1" x14ac:dyDescent="0.15">
      <c r="A153" s="11">
        <f t="shared" si="3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110000</v>
      </c>
      <c r="H153" s="56"/>
      <c r="I153" s="56"/>
      <c r="J153" s="56"/>
      <c r="K153" s="56"/>
      <c r="L153" s="56"/>
      <c r="M153" s="10"/>
      <c r="N153" s="10">
        <f>(H153-ARITHMETIC_COEFFICIENT!I158*M153)*J153*K153</f>
        <v>0</v>
      </c>
    </row>
    <row r="154" spans="1:14" s="97" customFormat="1" ht="17.25" thickBot="1" x14ac:dyDescent="0.2">
      <c r="A154" s="11">
        <f t="shared" si="3"/>
        <v>20150010</v>
      </c>
      <c r="B154" s="13">
        <v>2</v>
      </c>
      <c r="C154" s="12">
        <v>0</v>
      </c>
      <c r="D154" s="112">
        <v>15</v>
      </c>
      <c r="E154" s="112">
        <v>0</v>
      </c>
      <c r="F154" s="12">
        <v>10</v>
      </c>
      <c r="G154" s="56">
        <v>110000</v>
      </c>
      <c r="H154" s="56"/>
      <c r="I154" s="56"/>
      <c r="J154" s="56"/>
      <c r="K154" s="56"/>
      <c r="L154" s="56"/>
      <c r="M154" s="10"/>
      <c r="N154" s="10">
        <f>(H154-ARITHMETIC_COEFFICIENT!I159*M154)*J154*K154</f>
        <v>0</v>
      </c>
    </row>
    <row r="155" spans="1:14" s="114" customFormat="1" x14ac:dyDescent="0.15">
      <c r="A155" s="18">
        <f t="shared" si="3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110000</v>
      </c>
      <c r="H155" s="57"/>
      <c r="I155" s="57"/>
      <c r="J155" s="57"/>
      <c r="K155" s="57"/>
      <c r="L155" s="57"/>
      <c r="M155" s="17"/>
      <c r="N155" s="17">
        <f>(H155-ARITHMETIC_COEFFICIENT!I160*M155)*J155*K155</f>
        <v>0</v>
      </c>
    </row>
    <row r="156" spans="1:14" s="97" customFormat="1" x14ac:dyDescent="0.15">
      <c r="A156" s="11">
        <f t="shared" si="3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110000</v>
      </c>
      <c r="H156" s="56"/>
      <c r="I156" s="56"/>
      <c r="J156" s="56"/>
      <c r="K156" s="56"/>
      <c r="L156" s="56"/>
      <c r="M156" s="10"/>
      <c r="N156" s="10">
        <f>(H156-ARITHMETIC_COEFFICIENT!I161*M156)*J156*K156</f>
        <v>0</v>
      </c>
    </row>
    <row r="157" spans="1:14" s="97" customFormat="1" x14ac:dyDescent="0.15">
      <c r="A157" s="11">
        <f t="shared" si="3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110000</v>
      </c>
      <c r="H157" s="56"/>
      <c r="I157" s="56"/>
      <c r="J157" s="56"/>
      <c r="K157" s="56"/>
      <c r="L157" s="56"/>
      <c r="M157" s="10"/>
      <c r="N157" s="10">
        <f>(H157-ARITHMETIC_COEFFICIENT!I162*M157)*J157*K157</f>
        <v>0</v>
      </c>
    </row>
    <row r="158" spans="1:14" s="97" customFormat="1" x14ac:dyDescent="0.15">
      <c r="A158" s="11">
        <f t="shared" si="3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110000</v>
      </c>
      <c r="H158" s="56"/>
      <c r="I158" s="56"/>
      <c r="J158" s="56"/>
      <c r="K158" s="56"/>
      <c r="L158" s="56"/>
      <c r="M158" s="10"/>
      <c r="N158" s="10">
        <f>(H158-ARITHMETIC_COEFFICIENT!I163*M158)*J158*K158</f>
        <v>0</v>
      </c>
    </row>
    <row r="159" spans="1:14" s="97" customFormat="1" x14ac:dyDescent="0.15">
      <c r="A159" s="11">
        <f t="shared" si="3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110000</v>
      </c>
      <c r="H159" s="56"/>
      <c r="I159" s="56"/>
      <c r="J159" s="56"/>
      <c r="K159" s="56"/>
      <c r="L159" s="56"/>
      <c r="M159" s="10"/>
      <c r="N159" s="10">
        <f>(H159-ARITHMETIC_COEFFICIENT!I164*M159)*J159*K159</f>
        <v>0</v>
      </c>
    </row>
    <row r="160" spans="1:14" s="97" customFormat="1" x14ac:dyDescent="0.15">
      <c r="A160" s="11">
        <f t="shared" si="3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110000</v>
      </c>
      <c r="H160" s="56"/>
      <c r="I160" s="56"/>
      <c r="J160" s="56"/>
      <c r="K160" s="56"/>
      <c r="L160" s="56"/>
      <c r="M160" s="10"/>
      <c r="N160" s="10">
        <f>(H160-ARITHMETIC_COEFFICIENT!I165*M160)*J160*K160</f>
        <v>0</v>
      </c>
    </row>
    <row r="161" spans="1:14" s="97" customFormat="1" x14ac:dyDescent="0.15">
      <c r="A161" s="11">
        <f t="shared" si="3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110000</v>
      </c>
      <c r="H161" s="56"/>
      <c r="I161" s="56"/>
      <c r="J161" s="56"/>
      <c r="K161" s="56"/>
      <c r="L161" s="56"/>
      <c r="M161" s="10"/>
      <c r="N161" s="10">
        <f>(H161-ARITHMETIC_COEFFICIENT!I166*M161)*J161*K161</f>
        <v>0</v>
      </c>
    </row>
    <row r="162" spans="1:14" s="97" customFormat="1" x14ac:dyDescent="0.15">
      <c r="A162" s="11">
        <f t="shared" si="3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110000</v>
      </c>
      <c r="H162" s="56"/>
      <c r="I162" s="56"/>
      <c r="J162" s="56"/>
      <c r="K162" s="56"/>
      <c r="L162" s="56"/>
      <c r="M162" s="10"/>
      <c r="N162" s="10">
        <f>(H162-ARITHMETIC_COEFFICIENT!I167*M162)*J162*K162</f>
        <v>0</v>
      </c>
    </row>
    <row r="163" spans="1:14" s="97" customFormat="1" x14ac:dyDescent="0.15">
      <c r="A163" s="11">
        <f t="shared" si="3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110000</v>
      </c>
      <c r="H163" s="56"/>
      <c r="I163" s="56"/>
      <c r="J163" s="56"/>
      <c r="K163" s="56"/>
      <c r="L163" s="56"/>
      <c r="M163" s="10"/>
      <c r="N163" s="10">
        <f>(H163-ARITHMETIC_COEFFICIENT!I168*M163)*J163*K163</f>
        <v>0</v>
      </c>
    </row>
    <row r="164" spans="1:14" s="97" customFormat="1" ht="17.25" thickBot="1" x14ac:dyDescent="0.2">
      <c r="A164" s="11">
        <f t="shared" si="3"/>
        <v>20160010</v>
      </c>
      <c r="B164" s="13">
        <v>2</v>
      </c>
      <c r="C164" s="12">
        <v>0</v>
      </c>
      <c r="D164" s="112">
        <v>16</v>
      </c>
      <c r="E164" s="112">
        <v>0</v>
      </c>
      <c r="F164" s="12">
        <v>10</v>
      </c>
      <c r="G164" s="56">
        <v>110000</v>
      </c>
      <c r="H164" s="56"/>
      <c r="I164" s="56"/>
      <c r="J164" s="56"/>
      <c r="K164" s="56"/>
      <c r="L164" s="56"/>
      <c r="M164" s="10"/>
      <c r="N164" s="10">
        <f>(H164-ARITHMETIC_COEFFICIENT!I169*M164)*J164*K164</f>
        <v>0</v>
      </c>
    </row>
    <row r="165" spans="1:14" s="114" customFormat="1" x14ac:dyDescent="0.15">
      <c r="A165" s="18">
        <f t="shared" ref="A165:A204" si="4">B165*10000000+C165*1000000+D165*10000+E165*100+F165</f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110000</v>
      </c>
      <c r="H165" s="57"/>
      <c r="I165" s="57"/>
      <c r="J165" s="57"/>
      <c r="K165" s="57"/>
      <c r="L165" s="57"/>
      <c r="M165" s="17"/>
      <c r="N165" s="17">
        <f>(H165-ARITHMETIC_COEFFICIENT!I170*M165)*J165*K165</f>
        <v>0</v>
      </c>
    </row>
    <row r="166" spans="1:14" s="97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110000</v>
      </c>
      <c r="H166" s="56"/>
      <c r="I166" s="56"/>
      <c r="J166" s="56"/>
      <c r="K166" s="56"/>
      <c r="L166" s="56"/>
      <c r="M166" s="10"/>
      <c r="N166" s="10">
        <f>(H166-ARITHMETIC_COEFFICIENT!I171*M166)*J166*K166</f>
        <v>0</v>
      </c>
    </row>
    <row r="167" spans="1:14" s="97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110000</v>
      </c>
      <c r="H167" s="56"/>
      <c r="I167" s="56"/>
      <c r="J167" s="56"/>
      <c r="K167" s="56"/>
      <c r="L167" s="56"/>
      <c r="M167" s="10"/>
      <c r="N167" s="10">
        <f>(H167-ARITHMETIC_COEFFICIENT!I172*M167)*J167*K167</f>
        <v>0</v>
      </c>
    </row>
    <row r="168" spans="1:14" s="97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110000</v>
      </c>
      <c r="H168" s="56"/>
      <c r="I168" s="56"/>
      <c r="J168" s="56"/>
      <c r="K168" s="56"/>
      <c r="L168" s="56"/>
      <c r="M168" s="10"/>
      <c r="N168" s="10">
        <f>(H168-ARITHMETIC_COEFFICIENT!I173*M168)*J168*K168</f>
        <v>0</v>
      </c>
    </row>
    <row r="169" spans="1:14" s="97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110000</v>
      </c>
      <c r="H169" s="56"/>
      <c r="I169" s="56"/>
      <c r="J169" s="56"/>
      <c r="K169" s="56"/>
      <c r="L169" s="56"/>
      <c r="M169" s="10"/>
      <c r="N169" s="10">
        <f>(H169-ARITHMETIC_COEFFICIENT!I174*M169)*J169*K169</f>
        <v>0</v>
      </c>
    </row>
    <row r="170" spans="1:14" s="97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110000</v>
      </c>
      <c r="H170" s="56"/>
      <c r="I170" s="56"/>
      <c r="J170" s="56"/>
      <c r="K170" s="56"/>
      <c r="L170" s="56"/>
      <c r="M170" s="10"/>
      <c r="N170" s="10">
        <f>(H170-ARITHMETIC_COEFFICIENT!I175*M170)*J170*K170</f>
        <v>0</v>
      </c>
    </row>
    <row r="171" spans="1:14" s="97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110000</v>
      </c>
      <c r="H171" s="56"/>
      <c r="I171" s="56"/>
      <c r="J171" s="56"/>
      <c r="K171" s="56"/>
      <c r="L171" s="56"/>
      <c r="M171" s="10"/>
      <c r="N171" s="10">
        <f>(H171-ARITHMETIC_COEFFICIENT!I176*M171)*J171*K171</f>
        <v>0</v>
      </c>
    </row>
    <row r="172" spans="1:14" s="97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110000</v>
      </c>
      <c r="H172" s="56"/>
      <c r="I172" s="56"/>
      <c r="J172" s="56"/>
      <c r="K172" s="56"/>
      <c r="L172" s="56"/>
      <c r="M172" s="10"/>
      <c r="N172" s="10">
        <f>(H172-ARITHMETIC_COEFFICIENT!I177*M172)*J172*K172</f>
        <v>0</v>
      </c>
    </row>
    <row r="173" spans="1:14" s="97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110000</v>
      </c>
      <c r="H173" s="56"/>
      <c r="I173" s="56"/>
      <c r="J173" s="56"/>
      <c r="K173" s="56"/>
      <c r="L173" s="56"/>
      <c r="M173" s="10"/>
      <c r="N173" s="10">
        <f>(H173-ARITHMETIC_COEFFICIENT!I178*M173)*J173*K173</f>
        <v>0</v>
      </c>
    </row>
    <row r="174" spans="1:14" s="97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12">
        <v>17</v>
      </c>
      <c r="E174" s="112">
        <v>0</v>
      </c>
      <c r="F174" s="12">
        <v>10</v>
      </c>
      <c r="G174" s="56">
        <v>110000</v>
      </c>
      <c r="H174" s="56"/>
      <c r="I174" s="56"/>
      <c r="J174" s="56"/>
      <c r="K174" s="56"/>
      <c r="L174" s="56"/>
      <c r="M174" s="10"/>
      <c r="N174" s="10">
        <f>(H174-ARITHMETIC_COEFFICIENT!I179*M174)*J174*K174</f>
        <v>0</v>
      </c>
    </row>
    <row r="175" spans="1:14" s="114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110000</v>
      </c>
      <c r="H175" s="57"/>
      <c r="I175" s="57"/>
      <c r="J175" s="57"/>
      <c r="K175" s="57"/>
      <c r="L175" s="57"/>
      <c r="M175" s="17"/>
      <c r="N175" s="17">
        <f>(H175-ARITHMETIC_COEFFICIENT!I180*M175)*J175*K175</f>
        <v>0</v>
      </c>
    </row>
    <row r="176" spans="1:14" s="97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110000</v>
      </c>
      <c r="H176" s="56"/>
      <c r="I176" s="56"/>
      <c r="J176" s="56"/>
      <c r="K176" s="56"/>
      <c r="L176" s="56"/>
      <c r="M176" s="10"/>
      <c r="N176" s="10">
        <f>(H176-ARITHMETIC_COEFFICIENT!I181*M176)*J176*K176</f>
        <v>0</v>
      </c>
    </row>
    <row r="177" spans="1:14" s="97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110000</v>
      </c>
      <c r="H177" s="56"/>
      <c r="I177" s="56"/>
      <c r="J177" s="56"/>
      <c r="K177" s="56"/>
      <c r="L177" s="56"/>
      <c r="M177" s="10"/>
      <c r="N177" s="10">
        <f>(H177-ARITHMETIC_COEFFICIENT!I182*M177)*J177*K177</f>
        <v>0</v>
      </c>
    </row>
    <row r="178" spans="1:14" s="97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110000</v>
      </c>
      <c r="H178" s="56"/>
      <c r="I178" s="56"/>
      <c r="J178" s="56"/>
      <c r="K178" s="56"/>
      <c r="L178" s="56"/>
      <c r="M178" s="10"/>
      <c r="N178" s="10">
        <f>(H178-ARITHMETIC_COEFFICIENT!I183*M178)*J178*K178</f>
        <v>0</v>
      </c>
    </row>
    <row r="179" spans="1:14" s="97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110000</v>
      </c>
      <c r="H179" s="56"/>
      <c r="I179" s="56"/>
      <c r="J179" s="56"/>
      <c r="K179" s="56"/>
      <c r="L179" s="56"/>
      <c r="M179" s="10"/>
      <c r="N179" s="10">
        <f>(H179-ARITHMETIC_COEFFICIENT!I184*M179)*J179*K179</f>
        <v>0</v>
      </c>
    </row>
    <row r="180" spans="1:14" s="97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110000</v>
      </c>
      <c r="H180" s="56"/>
      <c r="I180" s="56"/>
      <c r="J180" s="56"/>
      <c r="K180" s="56"/>
      <c r="L180" s="56"/>
      <c r="M180" s="10"/>
      <c r="N180" s="10">
        <f>(H180-ARITHMETIC_COEFFICIENT!I185*M180)*J180*K180</f>
        <v>0</v>
      </c>
    </row>
    <row r="181" spans="1:14" s="97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110000</v>
      </c>
      <c r="H181" s="56"/>
      <c r="I181" s="56"/>
      <c r="J181" s="56"/>
      <c r="K181" s="56"/>
      <c r="L181" s="56"/>
      <c r="M181" s="10"/>
      <c r="N181" s="10">
        <f>(H181-ARITHMETIC_COEFFICIENT!I186*M181)*J181*K181</f>
        <v>0</v>
      </c>
    </row>
    <row r="182" spans="1:14" s="97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110000</v>
      </c>
      <c r="H182" s="56"/>
      <c r="I182" s="56"/>
      <c r="J182" s="56"/>
      <c r="K182" s="56"/>
      <c r="L182" s="56"/>
      <c r="M182" s="10"/>
      <c r="N182" s="10">
        <f>(H182-ARITHMETIC_COEFFICIENT!I187*M182)*J182*K182</f>
        <v>0</v>
      </c>
    </row>
    <row r="183" spans="1:14" s="97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110000</v>
      </c>
      <c r="H183" s="56"/>
      <c r="I183" s="56"/>
      <c r="J183" s="56"/>
      <c r="K183" s="56"/>
      <c r="L183" s="56"/>
      <c r="M183" s="10"/>
      <c r="N183" s="10">
        <f>(H183-ARITHMETIC_COEFFICIENT!I188*M183)*J183*K183</f>
        <v>0</v>
      </c>
    </row>
    <row r="184" spans="1:14" s="97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12">
        <v>18</v>
      </c>
      <c r="E184" s="112">
        <v>0</v>
      </c>
      <c r="F184" s="12">
        <v>10</v>
      </c>
      <c r="G184" s="56">
        <v>110000</v>
      </c>
      <c r="H184" s="56"/>
      <c r="I184" s="56"/>
      <c r="J184" s="56"/>
      <c r="K184" s="56"/>
      <c r="L184" s="56"/>
      <c r="M184" s="10"/>
      <c r="N184" s="10">
        <f>(H184-ARITHMETIC_COEFFICIENT!I189*M184)*J184*K184</f>
        <v>0</v>
      </c>
    </row>
    <row r="185" spans="1:14" s="114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110000</v>
      </c>
      <c r="H185" s="57"/>
      <c r="I185" s="57"/>
      <c r="J185" s="57"/>
      <c r="K185" s="57"/>
      <c r="L185" s="57"/>
      <c r="M185" s="17"/>
      <c r="N185" s="17">
        <f>(H185-ARITHMETIC_COEFFICIENT!I190*M185)*J185*K185</f>
        <v>0</v>
      </c>
    </row>
    <row r="186" spans="1:14" s="97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110000</v>
      </c>
      <c r="H186" s="56"/>
      <c r="I186" s="56"/>
      <c r="J186" s="56"/>
      <c r="K186" s="56"/>
      <c r="L186" s="56"/>
      <c r="M186" s="10"/>
      <c r="N186" s="10">
        <f>(H186-ARITHMETIC_COEFFICIENT!I191*M186)*J186*K186</f>
        <v>0</v>
      </c>
    </row>
    <row r="187" spans="1:14" s="97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110000</v>
      </c>
      <c r="H187" s="56"/>
      <c r="I187" s="56"/>
      <c r="J187" s="56"/>
      <c r="K187" s="56"/>
      <c r="L187" s="56"/>
      <c r="M187" s="10"/>
      <c r="N187" s="10">
        <f>(H187-ARITHMETIC_COEFFICIENT!I192*M187)*J187*K187</f>
        <v>0</v>
      </c>
    </row>
    <row r="188" spans="1:14" s="97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110000</v>
      </c>
      <c r="H188" s="56"/>
      <c r="I188" s="56"/>
      <c r="J188" s="56"/>
      <c r="K188" s="56"/>
      <c r="L188" s="56"/>
      <c r="M188" s="10"/>
      <c r="N188" s="10">
        <f>(H188-ARITHMETIC_COEFFICIENT!I193*M188)*J188*K188</f>
        <v>0</v>
      </c>
    </row>
    <row r="189" spans="1:14" s="97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110000</v>
      </c>
      <c r="H189" s="56"/>
      <c r="I189" s="56"/>
      <c r="J189" s="56"/>
      <c r="K189" s="56"/>
      <c r="L189" s="56"/>
      <c r="M189" s="10"/>
      <c r="N189" s="10">
        <f>(H189-ARITHMETIC_COEFFICIENT!I194*M189)*J189*K189</f>
        <v>0</v>
      </c>
    </row>
    <row r="190" spans="1:14" s="97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110000</v>
      </c>
      <c r="H190" s="56"/>
      <c r="I190" s="56"/>
      <c r="J190" s="56"/>
      <c r="K190" s="56"/>
      <c r="L190" s="56"/>
      <c r="M190" s="10"/>
      <c r="N190" s="10">
        <f>(H190-ARITHMETIC_COEFFICIENT!I195*M190)*J190*K190</f>
        <v>0</v>
      </c>
    </row>
    <row r="191" spans="1:14" s="97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110000</v>
      </c>
      <c r="H191" s="56"/>
      <c r="I191" s="56"/>
      <c r="J191" s="56"/>
      <c r="K191" s="56"/>
      <c r="L191" s="56"/>
      <c r="M191" s="10"/>
      <c r="N191" s="10">
        <f>(H191-ARITHMETIC_COEFFICIENT!I196*M191)*J191*K191</f>
        <v>0</v>
      </c>
    </row>
    <row r="192" spans="1:14" s="97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110000</v>
      </c>
      <c r="H192" s="56"/>
      <c r="I192" s="56"/>
      <c r="J192" s="56"/>
      <c r="K192" s="56"/>
      <c r="L192" s="56"/>
      <c r="M192" s="10"/>
      <c r="N192" s="10">
        <f>(H192-ARITHMETIC_COEFFICIENT!I197*M192)*J192*K192</f>
        <v>0</v>
      </c>
    </row>
    <row r="193" spans="1:14" s="97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110000</v>
      </c>
      <c r="H193" s="56"/>
      <c r="I193" s="56"/>
      <c r="J193" s="56"/>
      <c r="K193" s="56"/>
      <c r="L193" s="56"/>
      <c r="M193" s="10"/>
      <c r="N193" s="10">
        <f>(H193-ARITHMETIC_COEFFICIENT!I198*M193)*J193*K193</f>
        <v>0</v>
      </c>
    </row>
    <row r="194" spans="1:14" s="97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12">
        <v>19</v>
      </c>
      <c r="E194" s="112">
        <v>0</v>
      </c>
      <c r="F194" s="12">
        <v>10</v>
      </c>
      <c r="G194" s="56">
        <v>110000</v>
      </c>
      <c r="H194" s="56"/>
      <c r="I194" s="56"/>
      <c r="J194" s="56"/>
      <c r="K194" s="56"/>
      <c r="L194" s="56"/>
      <c r="M194" s="10"/>
      <c r="N194" s="10">
        <f>(H194-ARITHMETIC_COEFFICIENT!I199*M194)*J194*K194</f>
        <v>0</v>
      </c>
    </row>
    <row r="195" spans="1:14" s="114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110000</v>
      </c>
      <c r="H195" s="57"/>
      <c r="I195" s="57"/>
      <c r="J195" s="57"/>
      <c r="K195" s="57"/>
      <c r="L195" s="57"/>
      <c r="M195" s="17"/>
      <c r="N195" s="17">
        <f>(H195-ARITHMETIC_COEFFICIENT!I200*M195)*J195*K195</f>
        <v>0</v>
      </c>
    </row>
    <row r="196" spans="1:14" s="97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110000</v>
      </c>
      <c r="H196" s="56"/>
      <c r="I196" s="56"/>
      <c r="J196" s="56"/>
      <c r="K196" s="56"/>
      <c r="L196" s="56"/>
      <c r="M196" s="10"/>
      <c r="N196" s="10">
        <f>(H196-ARITHMETIC_COEFFICIENT!I201*M196)*J196*K196</f>
        <v>0</v>
      </c>
    </row>
    <row r="197" spans="1:14" s="97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110000</v>
      </c>
      <c r="H197" s="56"/>
      <c r="I197" s="56"/>
      <c r="J197" s="56"/>
      <c r="K197" s="56"/>
      <c r="L197" s="56"/>
      <c r="M197" s="10"/>
      <c r="N197" s="10">
        <f>(H197-ARITHMETIC_COEFFICIENT!I202*M197)*J197*K197</f>
        <v>0</v>
      </c>
    </row>
    <row r="198" spans="1:14" s="97" customFormat="1" x14ac:dyDescent="0.15">
      <c r="A198" s="11">
        <f t="shared" si="4"/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110000</v>
      </c>
      <c r="H198" s="56"/>
      <c r="I198" s="56"/>
      <c r="J198" s="56"/>
      <c r="K198" s="56"/>
      <c r="L198" s="56"/>
      <c r="M198" s="10"/>
      <c r="N198" s="10">
        <f>(H198-ARITHMETIC_COEFFICIENT!I203*M198)*J198*K198</f>
        <v>0</v>
      </c>
    </row>
    <row r="199" spans="1:14" s="97" customFormat="1" x14ac:dyDescent="0.15">
      <c r="A199" s="11">
        <f t="shared" si="4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110000</v>
      </c>
      <c r="H199" s="56"/>
      <c r="I199" s="56"/>
      <c r="J199" s="56"/>
      <c r="K199" s="56"/>
      <c r="L199" s="56"/>
      <c r="M199" s="10"/>
      <c r="N199" s="10">
        <f>(H199-ARITHMETIC_COEFFICIENT!I204*M199)*J199*K199</f>
        <v>0</v>
      </c>
    </row>
    <row r="200" spans="1:14" s="97" customFormat="1" x14ac:dyDescent="0.15">
      <c r="A200" s="11">
        <f t="shared" si="4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110000</v>
      </c>
      <c r="H200" s="56"/>
      <c r="I200" s="56"/>
      <c r="J200" s="56"/>
      <c r="K200" s="56"/>
      <c r="L200" s="56"/>
      <c r="M200" s="10"/>
      <c r="N200" s="10">
        <f>(H200-ARITHMETIC_COEFFICIENT!I205*M200)*J200*K200</f>
        <v>0</v>
      </c>
    </row>
    <row r="201" spans="1:14" s="97" customFormat="1" x14ac:dyDescent="0.15">
      <c r="A201" s="11">
        <f t="shared" si="4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110000</v>
      </c>
      <c r="H201" s="56"/>
      <c r="I201" s="56"/>
      <c r="J201" s="56"/>
      <c r="K201" s="56"/>
      <c r="L201" s="56"/>
      <c r="M201" s="10"/>
      <c r="N201" s="10">
        <f>(H201-ARITHMETIC_COEFFICIENT!I206*M201)*J201*K201</f>
        <v>0</v>
      </c>
    </row>
    <row r="202" spans="1:14" s="97" customFormat="1" x14ac:dyDescent="0.15">
      <c r="A202" s="11">
        <f t="shared" si="4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110000</v>
      </c>
      <c r="H202" s="56"/>
      <c r="I202" s="56"/>
      <c r="J202" s="56"/>
      <c r="K202" s="56"/>
      <c r="L202" s="56"/>
      <c r="M202" s="10"/>
      <c r="N202" s="10">
        <f>(H202-ARITHMETIC_COEFFICIENT!I207*M202)*J202*K202</f>
        <v>0</v>
      </c>
    </row>
    <row r="203" spans="1:14" s="97" customFormat="1" x14ac:dyDescent="0.15">
      <c r="A203" s="11">
        <f t="shared" si="4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110000</v>
      </c>
      <c r="H203" s="56"/>
      <c r="I203" s="56"/>
      <c r="J203" s="56"/>
      <c r="K203" s="56"/>
      <c r="L203" s="56"/>
      <c r="M203" s="10"/>
      <c r="N203" s="10">
        <f>(H203-ARITHMETIC_COEFFICIENT!I208*M203)*J203*K203</f>
        <v>0</v>
      </c>
    </row>
    <row r="204" spans="1:14" s="97" customFormat="1" ht="17.25" thickBot="1" x14ac:dyDescent="0.2">
      <c r="A204" s="11">
        <f t="shared" si="4"/>
        <v>20200010</v>
      </c>
      <c r="B204" s="13">
        <v>2</v>
      </c>
      <c r="C204" s="12">
        <v>0</v>
      </c>
      <c r="D204" s="112">
        <v>20</v>
      </c>
      <c r="E204" s="112">
        <v>0</v>
      </c>
      <c r="F204" s="12">
        <v>10</v>
      </c>
      <c r="G204" s="56">
        <v>110000</v>
      </c>
      <c r="H204" s="56"/>
      <c r="I204" s="56"/>
      <c r="J204" s="56"/>
      <c r="K204" s="56"/>
      <c r="L204" s="56"/>
      <c r="M204" s="10"/>
      <c r="N204" s="10">
        <f>(H204-ARITHMETIC_COEFFICIENT!I209*M204)*J204*K204</f>
        <v>0</v>
      </c>
    </row>
    <row r="205" spans="1:14" s="114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57"/>
      <c r="M205" s="17"/>
      <c r="N205" s="17"/>
    </row>
    <row r="206" spans="1:14" s="97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56"/>
      <c r="M206" s="10"/>
      <c r="N206" s="10"/>
    </row>
    <row r="207" spans="1:14" s="97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56"/>
      <c r="M207" s="10"/>
      <c r="N207" s="10"/>
    </row>
    <row r="208" spans="1:14" s="97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56"/>
      <c r="M208" s="10"/>
      <c r="N208" s="10"/>
    </row>
    <row r="209" spans="1:14" s="97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56"/>
      <c r="M209" s="10"/>
      <c r="N209" s="10"/>
    </row>
    <row r="210" spans="1:14" s="97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56"/>
      <c r="M210" s="10"/>
      <c r="N210" s="10"/>
    </row>
    <row r="211" spans="1:14" s="97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56"/>
      <c r="M211" s="10"/>
      <c r="N211" s="10"/>
    </row>
    <row r="212" spans="1:14" s="97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56"/>
      <c r="M212" s="10"/>
      <c r="N212" s="10"/>
    </row>
    <row r="213" spans="1:14" s="97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56"/>
      <c r="M213" s="10"/>
      <c r="N213" s="10"/>
    </row>
    <row r="214" spans="1:14" s="97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56"/>
      <c r="M214" s="10"/>
      <c r="N214" s="10"/>
    </row>
    <row r="215" spans="1:14" s="97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56"/>
      <c r="M215" s="10"/>
      <c r="N215" s="10"/>
    </row>
    <row r="216" spans="1:14" s="97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56"/>
      <c r="M216" s="10"/>
      <c r="N216" s="10"/>
    </row>
    <row r="217" spans="1:14" s="97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56"/>
      <c r="M217" s="10"/>
      <c r="N217" s="10"/>
    </row>
    <row r="218" spans="1:14" s="97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56"/>
      <c r="M218" s="10"/>
      <c r="N218" s="10"/>
    </row>
    <row r="219" spans="1:14" s="97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56"/>
      <c r="M219" s="10"/>
      <c r="N219" s="10"/>
    </row>
    <row r="220" spans="1:14" s="97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56"/>
      <c r="M220" s="10"/>
      <c r="N220" s="10"/>
    </row>
    <row r="221" spans="1:14" s="97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56"/>
      <c r="M221" s="10"/>
      <c r="N221" s="10"/>
    </row>
    <row r="222" spans="1:14" s="97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56"/>
      <c r="M222" s="10"/>
      <c r="N222" s="10"/>
    </row>
    <row r="223" spans="1:14" s="97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56"/>
      <c r="M223" s="10"/>
      <c r="N223" s="10"/>
    </row>
    <row r="224" spans="1:14" s="97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56"/>
      <c r="M224" s="10"/>
      <c r="N224" s="10"/>
    </row>
    <row r="225" spans="1:14" s="97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56"/>
      <c r="M225" s="10"/>
      <c r="N225" s="10"/>
    </row>
    <row r="226" spans="1:14" s="97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56"/>
      <c r="M226" s="10"/>
      <c r="N226" s="10"/>
    </row>
    <row r="227" spans="1:14" s="97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56"/>
      <c r="M227" s="10"/>
      <c r="N227" s="10"/>
    </row>
    <row r="228" spans="1:14" s="97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56"/>
      <c r="M228" s="10"/>
      <c r="N228" s="10"/>
    </row>
    <row r="229" spans="1:14" s="97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56"/>
      <c r="M229" s="10"/>
      <c r="N229" s="10"/>
    </row>
    <row r="230" spans="1:14" s="97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56"/>
      <c r="M230" s="10"/>
      <c r="N230" s="10"/>
    </row>
    <row r="231" spans="1:14" s="97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56"/>
      <c r="M231" s="10"/>
      <c r="N231" s="10"/>
    </row>
    <row r="232" spans="1:14" s="97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56"/>
      <c r="M232" s="10"/>
      <c r="N232" s="10"/>
    </row>
    <row r="233" spans="1:14" s="97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56"/>
      <c r="M233" s="10"/>
      <c r="N233" s="10"/>
    </row>
    <row r="234" spans="1:14" s="97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56"/>
      <c r="M234" s="10"/>
      <c r="N234" s="10"/>
    </row>
    <row r="235" spans="1:14" s="97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56"/>
      <c r="M235" s="10"/>
      <c r="N235" s="10"/>
    </row>
    <row r="236" spans="1:14" s="97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56"/>
      <c r="M236" s="10"/>
      <c r="N236" s="10"/>
    </row>
    <row r="237" spans="1:14" s="97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56"/>
      <c r="M237" s="10"/>
      <c r="N237" s="10"/>
    </row>
    <row r="238" spans="1:14" s="97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56"/>
      <c r="M238" s="10"/>
      <c r="N238" s="10"/>
    </row>
    <row r="239" spans="1:14" s="97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56"/>
      <c r="M239" s="10"/>
      <c r="N239" s="10"/>
    </row>
    <row r="240" spans="1:14" s="97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56"/>
      <c r="M240" s="10"/>
      <c r="N240" s="10"/>
    </row>
    <row r="241" spans="1:14" s="97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56"/>
      <c r="M241" s="10"/>
      <c r="N241" s="10"/>
    </row>
    <row r="242" spans="1:14" s="97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56"/>
      <c r="M242" s="10"/>
      <c r="N242" s="10"/>
    </row>
    <row r="243" spans="1:14" s="97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56"/>
      <c r="M243" s="10"/>
      <c r="N243" s="10"/>
    </row>
    <row r="244" spans="1:14" s="97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56"/>
      <c r="M244" s="10"/>
      <c r="N244" s="10"/>
    </row>
    <row r="245" spans="1:14" s="97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56"/>
      <c r="M245" s="10"/>
      <c r="N245" s="10"/>
    </row>
    <row r="246" spans="1:14" s="97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56"/>
      <c r="M246" s="10"/>
      <c r="N246" s="10"/>
    </row>
    <row r="247" spans="1:14" s="97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56"/>
      <c r="M247" s="10"/>
      <c r="N247" s="10"/>
    </row>
    <row r="248" spans="1:14" s="97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56"/>
      <c r="M248" s="10"/>
      <c r="N248" s="10"/>
    </row>
    <row r="249" spans="1:14" s="97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56"/>
      <c r="M249" s="10"/>
      <c r="N249" s="10"/>
    </row>
    <row r="250" spans="1:14" s="97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56"/>
      <c r="M250" s="10"/>
      <c r="N250" s="10"/>
    </row>
    <row r="251" spans="1:14" s="97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56"/>
      <c r="M251" s="10"/>
      <c r="N251" s="10"/>
    </row>
    <row r="252" spans="1:14" s="97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56"/>
      <c r="M252" s="10"/>
      <c r="N252" s="10"/>
    </row>
    <row r="253" spans="1:14" s="97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56"/>
      <c r="M253" s="10"/>
      <c r="N253" s="10"/>
    </row>
    <row r="254" spans="1:14" s="97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56"/>
      <c r="M254" s="10"/>
      <c r="N254" s="10"/>
    </row>
    <row r="255" spans="1:14" s="97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56"/>
      <c r="M255" s="10"/>
      <c r="N255" s="10"/>
    </row>
    <row r="256" spans="1:14" s="97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56"/>
      <c r="M256" s="10"/>
      <c r="N256" s="10"/>
    </row>
    <row r="257" spans="1:14" s="97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56"/>
      <c r="M257" s="10"/>
      <c r="N257" s="10"/>
    </row>
    <row r="258" spans="1:14" s="97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56"/>
      <c r="M258" s="10"/>
      <c r="N258" s="10"/>
    </row>
    <row r="259" spans="1:14" s="97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56"/>
      <c r="M259" s="10"/>
      <c r="N259" s="10"/>
    </row>
    <row r="260" spans="1:14" s="97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56"/>
      <c r="M260" s="10"/>
      <c r="N260" s="10"/>
    </row>
    <row r="261" spans="1:14" s="97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56"/>
      <c r="M261" s="10"/>
      <c r="N261" s="10"/>
    </row>
    <row r="262" spans="1:14" s="97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56"/>
      <c r="M262" s="10"/>
      <c r="N262" s="10"/>
    </row>
    <row r="263" spans="1:14" s="97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56"/>
      <c r="M263" s="10"/>
      <c r="N263" s="10"/>
    </row>
    <row r="264" spans="1:14" s="97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56"/>
      <c r="M264" s="10"/>
      <c r="N264" s="10"/>
    </row>
    <row r="265" spans="1:14" s="97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56"/>
      <c r="M265" s="10"/>
      <c r="N265" s="10"/>
    </row>
    <row r="266" spans="1:14" s="97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56"/>
      <c r="M266" s="10"/>
      <c r="N266" s="10"/>
    </row>
    <row r="267" spans="1:14" s="97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56"/>
      <c r="M267" s="10"/>
      <c r="N267" s="10"/>
    </row>
    <row r="268" spans="1:14" s="97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56"/>
      <c r="M268" s="10"/>
      <c r="N268" s="10"/>
    </row>
    <row r="269" spans="1:14" s="97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56"/>
      <c r="M269" s="10"/>
      <c r="N269" s="10"/>
    </row>
    <row r="270" spans="1:14" s="97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56"/>
      <c r="M270" s="10"/>
      <c r="N270" s="10"/>
    </row>
    <row r="271" spans="1:14" s="97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56"/>
      <c r="M271" s="10"/>
      <c r="N271" s="10"/>
    </row>
    <row r="272" spans="1:14" s="97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56"/>
      <c r="M272" s="10"/>
      <c r="N272" s="10"/>
    </row>
    <row r="273" spans="1:14" s="97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56"/>
      <c r="M273" s="10"/>
      <c r="N273" s="10"/>
    </row>
    <row r="274" spans="1:14" s="97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56"/>
      <c r="M274" s="10"/>
      <c r="N274" s="10"/>
    </row>
    <row r="275" spans="1:14" s="97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56"/>
      <c r="M275" s="10"/>
      <c r="N275" s="10"/>
    </row>
    <row r="276" spans="1:14" s="97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56"/>
      <c r="M276" s="10"/>
      <c r="N276" s="10"/>
    </row>
    <row r="277" spans="1:14" s="97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56"/>
      <c r="M277" s="10"/>
      <c r="N277" s="10"/>
    </row>
    <row r="278" spans="1:14" s="97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56"/>
      <c r="M278" s="10"/>
      <c r="N278" s="10"/>
    </row>
    <row r="279" spans="1:14" s="97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56"/>
      <c r="M279" s="10"/>
      <c r="N279" s="10"/>
    </row>
    <row r="280" spans="1:14" s="97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56"/>
      <c r="M280" s="10"/>
      <c r="N280" s="10"/>
    </row>
    <row r="281" spans="1:14" s="97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56"/>
      <c r="M281" s="10"/>
      <c r="N281" s="10"/>
    </row>
    <row r="282" spans="1:14" s="97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56"/>
      <c r="M282" s="10"/>
      <c r="N282" s="10"/>
    </row>
    <row r="283" spans="1:14" s="97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56"/>
      <c r="M283" s="10"/>
      <c r="N283" s="10"/>
    </row>
    <row r="284" spans="1:14" s="97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56"/>
      <c r="M284" s="10"/>
      <c r="N284" s="10"/>
    </row>
    <row r="285" spans="1:14" s="97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56"/>
      <c r="M285" s="10"/>
      <c r="N285" s="10"/>
    </row>
    <row r="286" spans="1:14" s="97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56"/>
      <c r="M286" s="10"/>
      <c r="N286" s="10"/>
    </row>
    <row r="287" spans="1:14" s="97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56"/>
      <c r="M287" s="10"/>
      <c r="N287" s="10"/>
    </row>
    <row r="288" spans="1:14" s="97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56"/>
      <c r="M288" s="10"/>
      <c r="N288" s="10"/>
    </row>
    <row r="289" spans="1:14" s="97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56"/>
      <c r="M289" s="10"/>
      <c r="N289" s="10"/>
    </row>
    <row r="290" spans="1:14" s="97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56"/>
      <c r="M290" s="10"/>
      <c r="N290" s="10"/>
    </row>
    <row r="291" spans="1:14" s="97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56"/>
      <c r="M291" s="10"/>
      <c r="N291" s="10"/>
    </row>
    <row r="292" spans="1:14" s="97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56"/>
      <c r="M292" s="10"/>
      <c r="N292" s="10"/>
    </row>
    <row r="293" spans="1:14" s="97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56"/>
      <c r="M293" s="10"/>
      <c r="N293" s="10"/>
    </row>
    <row r="294" spans="1:14" s="97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56"/>
      <c r="M294" s="10"/>
      <c r="N294" s="10"/>
    </row>
    <row r="295" spans="1:14" s="97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56"/>
      <c r="M295" s="10"/>
      <c r="N295" s="10"/>
    </row>
    <row r="296" spans="1:14" s="97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56"/>
      <c r="M296" s="10"/>
      <c r="N296" s="10"/>
    </row>
    <row r="297" spans="1:14" s="97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56"/>
      <c r="M297" s="10"/>
      <c r="N297" s="10"/>
    </row>
    <row r="298" spans="1:14" s="97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56"/>
      <c r="M298" s="10"/>
      <c r="N298" s="10"/>
    </row>
    <row r="299" spans="1:14" s="97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56"/>
      <c r="M299" s="10"/>
      <c r="N299" s="10"/>
    </row>
    <row r="300" spans="1:14" s="97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56"/>
      <c r="M300" s="10"/>
      <c r="N300" s="10"/>
    </row>
    <row r="301" spans="1:14" s="97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56"/>
      <c r="M301" s="10"/>
      <c r="N301" s="10"/>
    </row>
    <row r="302" spans="1:14" s="97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56"/>
      <c r="M302" s="10"/>
      <c r="N302" s="10"/>
    </row>
    <row r="303" spans="1:14" s="97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56"/>
      <c r="M303" s="10"/>
      <c r="N303" s="10"/>
    </row>
    <row r="304" spans="1:14" s="97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56"/>
      <c r="M304" s="10"/>
      <c r="N304" s="10"/>
    </row>
    <row r="305" spans="1:14" s="97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56"/>
      <c r="M305" s="10"/>
      <c r="N305" s="10"/>
    </row>
    <row r="306" spans="1:14" s="97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56"/>
      <c r="M306" s="10"/>
      <c r="N306" s="10"/>
    </row>
    <row r="307" spans="1:14" s="97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56"/>
      <c r="M307" s="10"/>
      <c r="N307" s="10"/>
    </row>
    <row r="308" spans="1:14" s="97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56"/>
      <c r="M308" s="10"/>
      <c r="N308" s="10"/>
    </row>
    <row r="309" spans="1:14" s="97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56"/>
      <c r="M309" s="10"/>
      <c r="N309" s="10"/>
    </row>
    <row r="310" spans="1:14" s="97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56"/>
      <c r="M310" s="10"/>
      <c r="N310" s="10"/>
    </row>
    <row r="311" spans="1:14" s="97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56"/>
      <c r="M311" s="10"/>
      <c r="N311" s="10"/>
    </row>
    <row r="312" spans="1:14" s="97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56"/>
      <c r="M312" s="10"/>
      <c r="N312" s="10"/>
    </row>
    <row r="313" spans="1:14" s="97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56"/>
      <c r="M313" s="10"/>
      <c r="N313" s="10"/>
    </row>
    <row r="314" spans="1:14" s="97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56"/>
      <c r="M314" s="10"/>
      <c r="N314" s="10"/>
    </row>
    <row r="315" spans="1:14" s="97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56"/>
      <c r="M315" s="10"/>
      <c r="N315" s="10"/>
    </row>
    <row r="316" spans="1:14" s="97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56"/>
      <c r="M316" s="10"/>
      <c r="N316" s="10"/>
    </row>
    <row r="317" spans="1:14" s="97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56"/>
      <c r="M317" s="10"/>
      <c r="N317" s="10"/>
    </row>
    <row r="318" spans="1:14" s="97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56"/>
      <c r="M318" s="10"/>
      <c r="N318" s="10"/>
    </row>
    <row r="319" spans="1:14" s="97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56"/>
      <c r="M319" s="10"/>
      <c r="N319" s="10"/>
    </row>
    <row r="320" spans="1:14" s="97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56"/>
      <c r="M320" s="10"/>
      <c r="N320" s="10"/>
    </row>
    <row r="321" spans="1:14" s="97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56"/>
      <c r="M321" s="10"/>
      <c r="N321" s="10"/>
    </row>
    <row r="322" spans="1:14" s="97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56"/>
      <c r="M322" s="10"/>
      <c r="N322" s="10"/>
    </row>
    <row r="323" spans="1:14" s="97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56"/>
      <c r="M323" s="10"/>
      <c r="N323" s="10"/>
    </row>
    <row r="324" spans="1:14" s="97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56"/>
      <c r="M324" s="10"/>
      <c r="N324" s="10"/>
    </row>
    <row r="325" spans="1:14" s="97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56"/>
      <c r="M325" s="10"/>
      <c r="N325" s="10"/>
    </row>
    <row r="326" spans="1:14" s="97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56"/>
      <c r="M326" s="10"/>
      <c r="N326" s="10"/>
    </row>
    <row r="327" spans="1:14" s="97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56"/>
      <c r="M327" s="10"/>
      <c r="N327" s="10"/>
    </row>
    <row r="328" spans="1:14" s="97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56"/>
      <c r="M328" s="10"/>
      <c r="N328" s="10"/>
    </row>
    <row r="329" spans="1:14" s="97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56"/>
      <c r="M329" s="10"/>
      <c r="N329" s="10"/>
    </row>
    <row r="330" spans="1:14" s="97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56"/>
      <c r="M330" s="10"/>
      <c r="N330" s="10"/>
    </row>
    <row r="331" spans="1:14" s="97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56"/>
      <c r="M331" s="10"/>
      <c r="N331" s="10"/>
    </row>
    <row r="332" spans="1:14" s="97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56"/>
      <c r="M332" s="10"/>
      <c r="N332" s="10"/>
    </row>
    <row r="333" spans="1:14" s="97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56"/>
      <c r="M333" s="10"/>
      <c r="N333" s="10"/>
    </row>
    <row r="334" spans="1:14" s="97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56"/>
      <c r="M334" s="10"/>
      <c r="N334" s="10"/>
    </row>
    <row r="335" spans="1:14" s="97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56"/>
      <c r="M335" s="10"/>
      <c r="N335" s="10"/>
    </row>
    <row r="336" spans="1:14" s="97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56"/>
      <c r="M336" s="10"/>
      <c r="N336" s="10"/>
    </row>
    <row r="337" spans="1:14" s="97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56"/>
      <c r="M337" s="10"/>
      <c r="N337" s="10"/>
    </row>
    <row r="338" spans="1:14" s="97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56"/>
      <c r="M338" s="10"/>
      <c r="N338" s="10"/>
    </row>
    <row r="339" spans="1:14" s="97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56"/>
      <c r="M339" s="10"/>
      <c r="N339" s="10"/>
    </row>
    <row r="340" spans="1:14" s="97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56"/>
      <c r="M340" s="10"/>
      <c r="N340" s="10"/>
    </row>
    <row r="341" spans="1:14" s="97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56"/>
      <c r="M341" s="10"/>
      <c r="N341" s="10"/>
    </row>
    <row r="342" spans="1:14" s="97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56"/>
      <c r="M342" s="10"/>
      <c r="N342" s="10"/>
    </row>
    <row r="343" spans="1:14" s="97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56"/>
      <c r="M343" s="10"/>
      <c r="N343" s="10"/>
    </row>
    <row r="344" spans="1:14" s="97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56"/>
      <c r="M344" s="10"/>
      <c r="N344" s="10"/>
    </row>
    <row r="345" spans="1:14" s="97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56"/>
      <c r="M345" s="10"/>
      <c r="N345" s="10"/>
    </row>
    <row r="346" spans="1:14" s="97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56"/>
      <c r="M346" s="10"/>
      <c r="N346" s="10"/>
    </row>
    <row r="347" spans="1:14" s="97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56"/>
      <c r="M347" s="10"/>
      <c r="N347" s="10"/>
    </row>
    <row r="348" spans="1:14" s="97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56"/>
      <c r="M348" s="10"/>
      <c r="N348" s="10"/>
    </row>
    <row r="349" spans="1:14" s="97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56"/>
      <c r="M349" s="10"/>
      <c r="N349" s="10"/>
    </row>
    <row r="350" spans="1:14" s="97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56"/>
      <c r="M350" s="10"/>
      <c r="N350" s="10"/>
    </row>
    <row r="351" spans="1:14" s="97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56"/>
      <c r="M351" s="10"/>
      <c r="N351" s="10"/>
    </row>
    <row r="352" spans="1:14" s="97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56"/>
      <c r="M352" s="10"/>
      <c r="N352" s="10"/>
    </row>
    <row r="353" spans="1:14" s="97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56"/>
      <c r="M353" s="10"/>
      <c r="N353" s="10"/>
    </row>
    <row r="354" spans="1:14" s="97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56"/>
      <c r="M354" s="10"/>
      <c r="N354" s="10"/>
    </row>
    <row r="355" spans="1:14" s="97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56"/>
      <c r="M355" s="10"/>
      <c r="N355" s="10"/>
    </row>
    <row r="356" spans="1:14" s="97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56"/>
      <c r="M356" s="10"/>
      <c r="N356" s="10"/>
    </row>
    <row r="357" spans="1:14" s="97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56"/>
      <c r="M357" s="10"/>
      <c r="N357" s="10"/>
    </row>
    <row r="358" spans="1:14" s="97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56"/>
      <c r="M358" s="10"/>
      <c r="N358" s="10"/>
    </row>
    <row r="359" spans="1:14" s="97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56"/>
      <c r="M359" s="10"/>
      <c r="N359" s="10"/>
    </row>
    <row r="360" spans="1:14" s="97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56"/>
      <c r="M360" s="10"/>
      <c r="N360" s="10"/>
    </row>
    <row r="361" spans="1:14" s="97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56"/>
      <c r="M361" s="10"/>
      <c r="N361" s="10"/>
    </row>
    <row r="362" spans="1:14" s="97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56"/>
      <c r="M362" s="10"/>
      <c r="N362" s="10"/>
    </row>
    <row r="363" spans="1:14" s="97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56"/>
      <c r="M363" s="10"/>
      <c r="N363" s="10"/>
    </row>
    <row r="364" spans="1:14" s="97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56"/>
      <c r="M364" s="10"/>
      <c r="N364" s="10"/>
    </row>
    <row r="365" spans="1:14" s="97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56"/>
      <c r="M365" s="10"/>
      <c r="N365" s="10"/>
    </row>
    <row r="366" spans="1:14" s="97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56"/>
      <c r="M366" s="10"/>
      <c r="N366" s="10"/>
    </row>
    <row r="367" spans="1:14" s="97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56"/>
      <c r="M367" s="10"/>
      <c r="N367" s="10"/>
    </row>
    <row r="368" spans="1:14" s="97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56"/>
      <c r="M368" s="10"/>
      <c r="N368" s="10"/>
    </row>
    <row r="369" spans="1:14" s="97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56"/>
      <c r="M369" s="10"/>
      <c r="N369" s="10"/>
    </row>
    <row r="370" spans="1:14" s="97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56"/>
      <c r="M370" s="10"/>
      <c r="N370" s="10"/>
    </row>
    <row r="371" spans="1:14" s="97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56"/>
      <c r="M371" s="10"/>
      <c r="N371" s="10"/>
    </row>
    <row r="372" spans="1:14" s="97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56"/>
      <c r="M372" s="10"/>
      <c r="N372" s="10"/>
    </row>
    <row r="373" spans="1:14" s="97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56"/>
      <c r="M373" s="10"/>
      <c r="N373" s="10"/>
    </row>
    <row r="374" spans="1:14" s="97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56"/>
      <c r="M374" s="10"/>
      <c r="N374" s="10"/>
    </row>
    <row r="375" spans="1:14" s="97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56"/>
      <c r="M375" s="10"/>
      <c r="N375" s="10"/>
    </row>
    <row r="376" spans="1:14" s="97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56"/>
      <c r="M376" s="10"/>
      <c r="N376" s="10"/>
    </row>
    <row r="377" spans="1:14" s="97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56"/>
      <c r="M377" s="10"/>
      <c r="N377" s="10"/>
    </row>
    <row r="378" spans="1:14" s="97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56"/>
      <c r="M378" s="10"/>
      <c r="N378" s="10"/>
    </row>
    <row r="379" spans="1:14" s="97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56"/>
      <c r="M379" s="10"/>
      <c r="N379" s="10"/>
    </row>
    <row r="380" spans="1:14" s="97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56"/>
      <c r="M380" s="10"/>
      <c r="N380" s="10"/>
    </row>
    <row r="381" spans="1:14" s="97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56"/>
      <c r="M381" s="10"/>
      <c r="N381" s="10"/>
    </row>
    <row r="382" spans="1:14" s="97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56"/>
      <c r="M382" s="10"/>
      <c r="N382" s="10"/>
    </row>
    <row r="383" spans="1:14" s="97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56"/>
      <c r="M383" s="10"/>
      <c r="N383" s="10"/>
    </row>
    <row r="384" spans="1:14" s="97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56"/>
      <c r="M384" s="10"/>
      <c r="N384" s="10"/>
    </row>
    <row r="385" spans="1:14" s="97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56"/>
      <c r="M385" s="10"/>
      <c r="N385" s="10"/>
    </row>
    <row r="386" spans="1:14" s="97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56"/>
      <c r="M386" s="10"/>
      <c r="N386" s="10"/>
    </row>
    <row r="387" spans="1:14" s="97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56"/>
      <c r="M387" s="10"/>
      <c r="N387" s="10"/>
    </row>
    <row r="388" spans="1:14" s="97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56"/>
      <c r="M388" s="10"/>
      <c r="N388" s="10"/>
    </row>
    <row r="389" spans="1:14" s="97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56"/>
      <c r="M389" s="10"/>
      <c r="N389" s="10"/>
    </row>
    <row r="390" spans="1:14" s="97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56"/>
      <c r="M390" s="10"/>
      <c r="N390" s="10"/>
    </row>
    <row r="391" spans="1:14" s="97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56"/>
      <c r="M391" s="10"/>
      <c r="N391" s="10"/>
    </row>
    <row r="392" spans="1:14" s="97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56"/>
      <c r="M392" s="10"/>
      <c r="N392" s="10"/>
    </row>
    <row r="393" spans="1:14" s="97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56"/>
      <c r="M393" s="10"/>
      <c r="N393" s="10"/>
    </row>
    <row r="394" spans="1:14" s="97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56"/>
      <c r="M394" s="10"/>
      <c r="N394" s="10"/>
    </row>
    <row r="395" spans="1:14" s="97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56"/>
      <c r="M395" s="10"/>
      <c r="N395" s="10"/>
    </row>
    <row r="396" spans="1:14" s="97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56"/>
      <c r="M396" s="10"/>
      <c r="N396" s="10"/>
    </row>
    <row r="397" spans="1:14" s="97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56"/>
      <c r="M397" s="10"/>
      <c r="N397" s="10"/>
    </row>
    <row r="398" spans="1:14" s="97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56"/>
      <c r="M398" s="10"/>
      <c r="N398" s="10"/>
    </row>
    <row r="399" spans="1:14" s="97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56"/>
      <c r="M399" s="10"/>
      <c r="N399" s="10"/>
    </row>
    <row r="400" spans="1:14" s="97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56"/>
      <c r="M400" s="10"/>
      <c r="N400" s="10"/>
    </row>
    <row r="401" spans="1:14" s="97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56"/>
      <c r="M401" s="10"/>
      <c r="N401" s="10"/>
    </row>
    <row r="402" spans="1:14" s="97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56"/>
      <c r="M402" s="10"/>
      <c r="N402" s="10"/>
    </row>
    <row r="403" spans="1:14" s="97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56"/>
      <c r="M403" s="10"/>
      <c r="N403" s="10"/>
    </row>
    <row r="404" spans="1:14" s="97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56"/>
      <c r="M404" s="10"/>
      <c r="N404" s="10"/>
    </row>
    <row r="405" spans="1:14" s="97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56"/>
      <c r="M405" s="10"/>
      <c r="N405" s="10"/>
    </row>
    <row r="406" spans="1:14" s="97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56"/>
      <c r="M406" s="10"/>
      <c r="N406" s="10"/>
    </row>
    <row r="407" spans="1:14" s="97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56"/>
      <c r="M407" s="10"/>
      <c r="N407" s="10"/>
    </row>
    <row r="408" spans="1:14" s="97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56"/>
      <c r="M408" s="10"/>
      <c r="N408" s="10"/>
    </row>
    <row r="409" spans="1:14" s="97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56"/>
      <c r="M409" s="10"/>
      <c r="N409" s="10"/>
    </row>
    <row r="410" spans="1:14" s="97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56"/>
      <c r="M410" s="10"/>
      <c r="N410" s="10"/>
    </row>
    <row r="411" spans="1:14" s="97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56"/>
      <c r="M411" s="10"/>
      <c r="N411" s="10"/>
    </row>
    <row r="412" spans="1:14" s="97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56"/>
      <c r="M412" s="10"/>
      <c r="N412" s="10"/>
    </row>
    <row r="413" spans="1:14" s="97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56"/>
      <c r="M413" s="10"/>
      <c r="N413" s="10"/>
    </row>
    <row r="414" spans="1:14" s="97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56"/>
      <c r="M414" s="10"/>
      <c r="N414" s="10"/>
    </row>
    <row r="415" spans="1:14" s="97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56"/>
      <c r="M415" s="10"/>
      <c r="N415" s="10"/>
    </row>
    <row r="416" spans="1:14" s="97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56"/>
      <c r="M416" s="10"/>
      <c r="N416" s="10"/>
    </row>
    <row r="417" spans="1:14" s="97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56"/>
      <c r="M417" s="10"/>
      <c r="N417" s="10"/>
    </row>
    <row r="418" spans="1:14" s="97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56"/>
      <c r="M418" s="10"/>
      <c r="N418" s="10"/>
    </row>
    <row r="419" spans="1:14" s="97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56"/>
      <c r="M419" s="10"/>
      <c r="N419" s="10"/>
    </row>
    <row r="420" spans="1:14" s="97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56"/>
      <c r="M420" s="10"/>
      <c r="N420" s="10"/>
    </row>
    <row r="421" spans="1:14" s="97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56"/>
      <c r="M421" s="10"/>
      <c r="N421" s="10"/>
    </row>
    <row r="422" spans="1:14" s="97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56"/>
      <c r="M422" s="10"/>
      <c r="N422" s="10"/>
    </row>
    <row r="423" spans="1:14" s="97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56"/>
      <c r="M423" s="10"/>
      <c r="N423" s="10"/>
    </row>
    <row r="424" spans="1:14" s="97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56"/>
      <c r="M424" s="10"/>
      <c r="N424" s="10"/>
    </row>
    <row r="425" spans="1:14" s="97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56"/>
      <c r="M425" s="10"/>
      <c r="N425" s="10"/>
    </row>
    <row r="426" spans="1:14" s="97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56"/>
      <c r="M426" s="10"/>
      <c r="N426" s="10"/>
    </row>
    <row r="427" spans="1:14" s="97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56"/>
      <c r="M427" s="10"/>
      <c r="N427" s="10"/>
    </row>
    <row r="428" spans="1:14" s="97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56"/>
      <c r="M428" s="10"/>
      <c r="N428" s="10"/>
    </row>
    <row r="429" spans="1:14" s="97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56"/>
      <c r="M429" s="10"/>
      <c r="N429" s="10"/>
    </row>
    <row r="430" spans="1:14" s="97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56"/>
      <c r="M430" s="10"/>
      <c r="N430" s="10"/>
    </row>
    <row r="431" spans="1:14" s="97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56"/>
      <c r="M431" s="10"/>
      <c r="N431" s="10"/>
    </row>
    <row r="432" spans="1:14" s="97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56"/>
      <c r="M432" s="10"/>
      <c r="N432" s="10"/>
    </row>
    <row r="433" spans="1:14" s="97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56"/>
      <c r="M433" s="10"/>
      <c r="N433" s="10"/>
    </row>
    <row r="434" spans="1:14" s="97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56"/>
      <c r="M434" s="10"/>
      <c r="N434" s="10"/>
    </row>
    <row r="435" spans="1:14" s="97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56"/>
      <c r="M435" s="10"/>
      <c r="N435" s="10"/>
    </row>
    <row r="436" spans="1:14" s="97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56"/>
      <c r="M436" s="10"/>
      <c r="N436" s="10"/>
    </row>
    <row r="437" spans="1:14" s="97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56"/>
      <c r="M437" s="10"/>
      <c r="N437" s="10"/>
    </row>
    <row r="438" spans="1:14" s="97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56"/>
      <c r="M438" s="10"/>
      <c r="N438" s="10"/>
    </row>
    <row r="439" spans="1:14" s="97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56"/>
      <c r="M439" s="10"/>
      <c r="N439" s="10"/>
    </row>
    <row r="440" spans="1:14" s="97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56"/>
      <c r="M440" s="10"/>
      <c r="N440" s="10"/>
    </row>
    <row r="441" spans="1:14" s="97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56"/>
      <c r="M441" s="10"/>
      <c r="N441" s="10"/>
    </row>
    <row r="442" spans="1:14" s="97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56"/>
      <c r="M442" s="10"/>
      <c r="N442" s="10"/>
    </row>
    <row r="443" spans="1:14" s="97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56"/>
      <c r="M443" s="10"/>
      <c r="N443" s="10"/>
    </row>
    <row r="444" spans="1:14" s="97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56"/>
      <c r="M444" s="10"/>
      <c r="N444" s="10"/>
    </row>
    <row r="445" spans="1:14" s="97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56"/>
      <c r="M445" s="10"/>
      <c r="N445" s="10"/>
    </row>
    <row r="446" spans="1:14" s="97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56"/>
      <c r="M446" s="10"/>
      <c r="N446" s="10"/>
    </row>
    <row r="447" spans="1:14" s="97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56"/>
      <c r="M447" s="10"/>
      <c r="N447" s="10"/>
    </row>
    <row r="448" spans="1:14" s="97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56"/>
      <c r="M448" s="10"/>
      <c r="N448" s="10"/>
    </row>
    <row r="449" spans="1:14" s="97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56"/>
      <c r="M449" s="10"/>
      <c r="N449" s="10"/>
    </row>
    <row r="450" spans="1:14" s="97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56"/>
      <c r="M450" s="10"/>
      <c r="N450" s="10"/>
    </row>
    <row r="451" spans="1:14" s="97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56"/>
      <c r="M451" s="10"/>
      <c r="N451" s="10"/>
    </row>
    <row r="452" spans="1:14" s="97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56"/>
      <c r="M452" s="10"/>
      <c r="N452" s="10"/>
    </row>
    <row r="453" spans="1:14" s="97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56"/>
      <c r="M453" s="10"/>
      <c r="N453" s="10"/>
    </row>
    <row r="454" spans="1:14" s="97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56"/>
      <c r="M454" s="10"/>
      <c r="N454" s="10"/>
    </row>
    <row r="455" spans="1:14" s="97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56"/>
      <c r="M455" s="10"/>
      <c r="N455" s="10"/>
    </row>
    <row r="456" spans="1:14" s="97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56"/>
      <c r="M456" s="10"/>
      <c r="N456" s="10"/>
    </row>
    <row r="457" spans="1:14" s="97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56"/>
      <c r="M457" s="10"/>
      <c r="N457" s="10"/>
    </row>
    <row r="458" spans="1:14" s="97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56"/>
      <c r="M458" s="10"/>
      <c r="N458" s="10"/>
    </row>
    <row r="459" spans="1:14" s="97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56"/>
      <c r="M459" s="10"/>
      <c r="N459" s="10"/>
    </row>
    <row r="460" spans="1:14" s="97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56"/>
      <c r="M460" s="10"/>
      <c r="N460" s="10"/>
    </row>
    <row r="461" spans="1:14" s="97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56"/>
      <c r="M461" s="10"/>
      <c r="N461" s="10"/>
    </row>
    <row r="462" spans="1:14" s="97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56"/>
      <c r="M462" s="10"/>
      <c r="N462" s="10"/>
    </row>
    <row r="463" spans="1:14" s="97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56"/>
      <c r="M463" s="10"/>
      <c r="N463" s="10"/>
    </row>
    <row r="464" spans="1:14" s="97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56"/>
      <c r="M464" s="10"/>
      <c r="N464" s="10"/>
    </row>
    <row r="465" spans="1:14" s="97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56"/>
      <c r="M465" s="10"/>
      <c r="N465" s="10"/>
    </row>
    <row r="466" spans="1:14" s="97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56"/>
      <c r="M466" s="10"/>
      <c r="N466" s="10"/>
    </row>
    <row r="467" spans="1:14" s="97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56"/>
      <c r="M467" s="10"/>
      <c r="N467" s="10"/>
    </row>
    <row r="468" spans="1:14" s="97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56"/>
      <c r="M468" s="10"/>
      <c r="N468" s="10"/>
    </row>
    <row r="469" spans="1:14" s="97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56"/>
      <c r="M469" s="10"/>
      <c r="N469" s="10"/>
    </row>
    <row r="470" spans="1:14" s="97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56"/>
      <c r="M470" s="10"/>
      <c r="N470" s="10"/>
    </row>
    <row r="471" spans="1:14" s="97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56"/>
      <c r="M471" s="10"/>
      <c r="N471" s="10"/>
    </row>
    <row r="472" spans="1:14" s="97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56"/>
      <c r="M472" s="10"/>
      <c r="N472" s="10"/>
    </row>
    <row r="473" spans="1:14" s="97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56"/>
      <c r="M473" s="10"/>
      <c r="N473" s="10"/>
    </row>
    <row r="474" spans="1:14" s="97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56"/>
      <c r="M474" s="10"/>
      <c r="N474" s="10"/>
    </row>
    <row r="475" spans="1:14" s="97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56"/>
      <c r="M475" s="10"/>
      <c r="N475" s="10"/>
    </row>
    <row r="476" spans="1:14" s="97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56"/>
      <c r="M476" s="10"/>
      <c r="N476" s="10"/>
    </row>
    <row r="477" spans="1:14" s="97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56"/>
      <c r="M477" s="10"/>
      <c r="N477" s="10"/>
    </row>
    <row r="478" spans="1:14" s="97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56"/>
      <c r="M478" s="10"/>
      <c r="N478" s="10"/>
    </row>
    <row r="479" spans="1:14" s="97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56"/>
      <c r="M479" s="10"/>
      <c r="N479" s="10"/>
    </row>
    <row r="480" spans="1:14" s="97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56"/>
      <c r="M480" s="10"/>
      <c r="N480" s="10"/>
    </row>
    <row r="481" spans="1:14" s="97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56"/>
      <c r="M481" s="10"/>
      <c r="N481" s="10"/>
    </row>
    <row r="482" spans="1:14" s="97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56"/>
      <c r="M482" s="10"/>
      <c r="N482" s="10"/>
    </row>
    <row r="483" spans="1:14" s="97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56"/>
      <c r="M483" s="10"/>
      <c r="N483" s="10"/>
    </row>
    <row r="484" spans="1:14" s="97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56"/>
      <c r="M484" s="10"/>
      <c r="N484" s="10"/>
    </row>
    <row r="485" spans="1:14" s="97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56"/>
      <c r="M485" s="10"/>
      <c r="N485" s="10"/>
    </row>
    <row r="486" spans="1:14" s="97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56"/>
      <c r="M486" s="10"/>
      <c r="N486" s="10"/>
    </row>
    <row r="487" spans="1:14" s="97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56"/>
      <c r="M487" s="10"/>
      <c r="N487" s="10"/>
    </row>
    <row r="488" spans="1:14" s="97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56"/>
      <c r="M488" s="10"/>
      <c r="N488" s="10"/>
    </row>
    <row r="489" spans="1:14" s="97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56"/>
      <c r="M489" s="10"/>
      <c r="N489" s="10"/>
    </row>
    <row r="490" spans="1:14" s="97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56"/>
      <c r="M490" s="10"/>
      <c r="N490" s="10"/>
    </row>
    <row r="491" spans="1:14" s="97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56"/>
      <c r="M491" s="10"/>
      <c r="N491" s="10"/>
    </row>
    <row r="492" spans="1:14" s="97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56"/>
      <c r="M492" s="10"/>
      <c r="N492" s="10"/>
    </row>
    <row r="493" spans="1:14" s="97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56"/>
      <c r="M493" s="10"/>
      <c r="N493" s="10"/>
    </row>
    <row r="494" spans="1:14" s="97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56"/>
      <c r="M494" s="10"/>
      <c r="N494" s="10"/>
    </row>
    <row r="495" spans="1:14" s="97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56"/>
      <c r="M495" s="10"/>
      <c r="N495" s="10"/>
    </row>
    <row r="496" spans="1:14" s="97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56"/>
      <c r="M496" s="10"/>
      <c r="N496" s="10"/>
    </row>
    <row r="497" spans="1:14" s="97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56"/>
      <c r="M497" s="10"/>
      <c r="N497" s="10"/>
    </row>
    <row r="498" spans="1:14" s="97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56"/>
      <c r="M498" s="10"/>
      <c r="N498" s="10"/>
    </row>
    <row r="499" spans="1:14" s="97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56"/>
      <c r="M499" s="10"/>
      <c r="N499" s="10"/>
    </row>
    <row r="500" spans="1:14" s="97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56"/>
      <c r="M500" s="10"/>
      <c r="N500" s="10"/>
    </row>
    <row r="501" spans="1:14" s="97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56"/>
      <c r="M501" s="10"/>
      <c r="N501" s="10"/>
    </row>
    <row r="502" spans="1:14" s="97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56"/>
      <c r="M502" s="10"/>
      <c r="N502" s="10"/>
    </row>
    <row r="503" spans="1:14" s="97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56"/>
      <c r="M503" s="10"/>
      <c r="N503" s="10"/>
    </row>
    <row r="504" spans="1:14" s="97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56"/>
      <c r="M504" s="10"/>
      <c r="N504" s="10"/>
    </row>
    <row r="505" spans="1:14" s="97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56"/>
      <c r="M505" s="10"/>
      <c r="N505" s="10"/>
    </row>
    <row r="506" spans="1:14" s="97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56"/>
      <c r="M506" s="10"/>
      <c r="N506" s="10"/>
    </row>
    <row r="507" spans="1:14" s="97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56"/>
      <c r="M507" s="10"/>
      <c r="N507" s="10"/>
    </row>
    <row r="508" spans="1:14" s="97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56"/>
      <c r="M508" s="10"/>
      <c r="N508" s="10"/>
    </row>
    <row r="509" spans="1:14" s="97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56"/>
      <c r="M509" s="10"/>
      <c r="N509" s="10"/>
    </row>
    <row r="510" spans="1:14" s="97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56"/>
      <c r="M510" s="10"/>
      <c r="N510" s="10"/>
    </row>
    <row r="511" spans="1:14" s="97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56"/>
      <c r="M511" s="10"/>
      <c r="N511" s="10"/>
    </row>
    <row r="512" spans="1:14" s="97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56"/>
      <c r="M512" s="10"/>
      <c r="N512" s="10"/>
    </row>
    <row r="513" spans="1:14" s="97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56"/>
      <c r="M513" s="10"/>
      <c r="N513" s="10"/>
    </row>
    <row r="514" spans="1:14" s="97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56"/>
      <c r="M514" s="10"/>
      <c r="N514" s="10"/>
    </row>
    <row r="515" spans="1:14" s="97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56"/>
      <c r="M515" s="10"/>
      <c r="N515" s="10"/>
    </row>
    <row r="516" spans="1:14" s="97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56"/>
      <c r="M516" s="10"/>
      <c r="N516" s="10"/>
    </row>
    <row r="517" spans="1:14" s="97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56"/>
      <c r="M517" s="10"/>
      <c r="N517" s="10"/>
    </row>
    <row r="518" spans="1:14" s="97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56"/>
      <c r="M518" s="10"/>
      <c r="N518" s="10"/>
    </row>
    <row r="519" spans="1:14" s="97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56"/>
      <c r="M519" s="10"/>
      <c r="N519" s="10"/>
    </row>
    <row r="520" spans="1:14" s="97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56"/>
      <c r="M520" s="10"/>
      <c r="N520" s="10"/>
    </row>
    <row r="521" spans="1:14" s="97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56"/>
      <c r="M521" s="10"/>
      <c r="N521" s="10"/>
    </row>
    <row r="522" spans="1:14" s="97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56"/>
      <c r="M522" s="10"/>
      <c r="N522" s="10"/>
    </row>
    <row r="523" spans="1:14" s="97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56"/>
      <c r="M523" s="10"/>
      <c r="N523" s="10"/>
    </row>
    <row r="524" spans="1:14" s="97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56"/>
      <c r="M524" s="10"/>
      <c r="N524" s="10"/>
    </row>
    <row r="525" spans="1:14" s="97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56"/>
      <c r="M525" s="10"/>
      <c r="N525" s="10"/>
    </row>
    <row r="526" spans="1:14" s="97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56"/>
      <c r="M526" s="10"/>
      <c r="N526" s="10"/>
    </row>
    <row r="527" spans="1:14" s="97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56"/>
      <c r="M527" s="10"/>
      <c r="N527" s="10"/>
    </row>
    <row r="528" spans="1:14" s="97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56"/>
      <c r="M528" s="10"/>
      <c r="N528" s="10"/>
    </row>
    <row r="529" spans="1:14" s="97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56"/>
      <c r="M529" s="10"/>
      <c r="N529" s="10"/>
    </row>
    <row r="530" spans="1:14" s="97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56"/>
      <c r="M530" s="10"/>
      <c r="N530" s="10"/>
    </row>
    <row r="531" spans="1:14" s="97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56"/>
      <c r="M531" s="10"/>
      <c r="N531" s="10"/>
    </row>
    <row r="532" spans="1:14" s="97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56"/>
      <c r="M532" s="10"/>
      <c r="N532" s="10"/>
    </row>
    <row r="533" spans="1:14" s="97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56"/>
      <c r="M533" s="10"/>
      <c r="N533" s="10"/>
    </row>
    <row r="534" spans="1:14" s="97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56"/>
      <c r="M534" s="10"/>
      <c r="N534" s="10"/>
    </row>
    <row r="535" spans="1:14" s="97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56"/>
      <c r="M535" s="10"/>
      <c r="N535" s="10"/>
    </row>
    <row r="536" spans="1:14" s="97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56"/>
      <c r="M536" s="10"/>
      <c r="N536" s="10"/>
    </row>
    <row r="537" spans="1:14" s="97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56"/>
      <c r="M537" s="10"/>
      <c r="N537" s="10"/>
    </row>
    <row r="538" spans="1:14" s="97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56"/>
      <c r="M538" s="10"/>
      <c r="N538" s="10"/>
    </row>
    <row r="539" spans="1:14" s="97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56"/>
      <c r="M539" s="10"/>
      <c r="N539" s="10"/>
    </row>
    <row r="540" spans="1:14" s="97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56"/>
      <c r="M540" s="10"/>
      <c r="N540" s="10"/>
    </row>
    <row r="541" spans="1:14" s="97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56"/>
      <c r="M541" s="10"/>
      <c r="N541" s="10"/>
    </row>
    <row r="542" spans="1:14" s="97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56"/>
      <c r="M542" s="10"/>
      <c r="N542" s="10"/>
    </row>
    <row r="543" spans="1:14" s="97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56"/>
      <c r="M543" s="10"/>
      <c r="N543" s="10"/>
    </row>
    <row r="544" spans="1:14" s="97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56"/>
      <c r="M544" s="10"/>
      <c r="N544" s="10"/>
    </row>
    <row r="545" spans="1:14" s="97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56"/>
      <c r="M545" s="10"/>
      <c r="N545" s="10"/>
    </row>
    <row r="546" spans="1:14" s="97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56"/>
      <c r="M546" s="10"/>
      <c r="N546" s="10"/>
    </row>
    <row r="547" spans="1:14" s="97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56"/>
      <c r="M547" s="10"/>
      <c r="N547" s="10"/>
    </row>
    <row r="548" spans="1:14" s="97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56"/>
      <c r="M548" s="10"/>
      <c r="N548" s="10"/>
    </row>
    <row r="549" spans="1:14" s="97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56"/>
      <c r="M549" s="10"/>
      <c r="N549" s="10"/>
    </row>
    <row r="550" spans="1:14" s="97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56"/>
      <c r="M550" s="10"/>
      <c r="N550" s="10"/>
    </row>
    <row r="551" spans="1:14" s="97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56"/>
      <c r="M551" s="10"/>
      <c r="N551" s="10"/>
    </row>
    <row r="552" spans="1:14" s="97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56"/>
      <c r="M552" s="10"/>
      <c r="N552" s="10"/>
    </row>
    <row r="553" spans="1:14" s="97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56"/>
      <c r="M553" s="10"/>
      <c r="N553" s="10"/>
    </row>
    <row r="554" spans="1:14" s="97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56"/>
      <c r="M554" s="10"/>
      <c r="N554" s="10"/>
    </row>
    <row r="555" spans="1:14" s="97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56"/>
      <c r="M555" s="10"/>
      <c r="N555" s="10"/>
    </row>
    <row r="556" spans="1:14" s="97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56"/>
      <c r="M556" s="10"/>
      <c r="N556" s="10"/>
    </row>
    <row r="557" spans="1:14" s="97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56"/>
      <c r="M557" s="10"/>
      <c r="N557" s="10"/>
    </row>
    <row r="558" spans="1:14" s="97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56"/>
      <c r="M558" s="10"/>
      <c r="N558" s="10"/>
    </row>
    <row r="559" spans="1:14" s="97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56"/>
      <c r="M559" s="10"/>
      <c r="N559" s="10"/>
    </row>
    <row r="560" spans="1:14" s="97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56"/>
      <c r="M560" s="10"/>
      <c r="N560" s="10"/>
    </row>
    <row r="561" spans="1:14" s="97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56"/>
      <c r="M561" s="10"/>
      <c r="N561" s="10"/>
    </row>
    <row r="562" spans="1:14" s="97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56"/>
      <c r="M562" s="10"/>
      <c r="N562" s="10"/>
    </row>
    <row r="563" spans="1:14" s="97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56"/>
      <c r="M563" s="10"/>
      <c r="N563" s="10"/>
    </row>
    <row r="564" spans="1:14" s="97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56"/>
      <c r="M564" s="10"/>
      <c r="N564" s="10"/>
    </row>
    <row r="565" spans="1:14" s="97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56"/>
      <c r="M565" s="10"/>
      <c r="N565" s="10"/>
    </row>
    <row r="566" spans="1:14" s="97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56"/>
      <c r="M566" s="10"/>
      <c r="N566" s="10"/>
    </row>
    <row r="567" spans="1:14" s="97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56"/>
      <c r="M567" s="10"/>
      <c r="N567" s="10"/>
    </row>
    <row r="568" spans="1:14" s="97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56"/>
      <c r="M568" s="10"/>
      <c r="N568" s="10"/>
    </row>
    <row r="569" spans="1:14" s="97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56"/>
      <c r="M569" s="10"/>
      <c r="N569" s="10"/>
    </row>
    <row r="570" spans="1:14" s="97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56"/>
      <c r="M570" s="10"/>
      <c r="N570" s="10"/>
    </row>
    <row r="571" spans="1:14" s="97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56"/>
      <c r="M571" s="10"/>
      <c r="N571" s="10"/>
    </row>
    <row r="572" spans="1:14" s="97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56"/>
      <c r="M572" s="10"/>
      <c r="N572" s="10"/>
    </row>
    <row r="573" spans="1:14" s="97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56"/>
      <c r="M573" s="10"/>
      <c r="N573" s="10"/>
    </row>
    <row r="574" spans="1:14" s="97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56"/>
      <c r="M574" s="10"/>
      <c r="N574" s="10"/>
    </row>
    <row r="575" spans="1:14" s="97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56"/>
      <c r="M575" s="10"/>
      <c r="N575" s="10"/>
    </row>
    <row r="576" spans="1:14" s="97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56"/>
      <c r="M576" s="10"/>
      <c r="N576" s="10"/>
    </row>
    <row r="577" spans="1:14" s="97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56"/>
      <c r="M577" s="10"/>
      <c r="N577" s="10"/>
    </row>
    <row r="578" spans="1:14" s="97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56"/>
      <c r="M578" s="10"/>
      <c r="N578" s="10"/>
    </row>
    <row r="579" spans="1:14" s="97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56"/>
      <c r="M579" s="10"/>
      <c r="N579" s="10"/>
    </row>
    <row r="580" spans="1:14" s="97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56"/>
      <c r="M580" s="10"/>
      <c r="N580" s="10"/>
    </row>
    <row r="581" spans="1:14" s="97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56"/>
      <c r="M581" s="10"/>
      <c r="N581" s="10"/>
    </row>
    <row r="582" spans="1:14" s="97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56"/>
      <c r="M582" s="10"/>
      <c r="N582" s="10"/>
    </row>
    <row r="583" spans="1:14" s="97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56"/>
      <c r="M583" s="10"/>
      <c r="N583" s="10"/>
    </row>
    <row r="584" spans="1:14" s="97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56"/>
      <c r="M584" s="10"/>
      <c r="N584" s="10"/>
    </row>
    <row r="585" spans="1:14" s="97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56"/>
      <c r="M585" s="10"/>
      <c r="N585" s="10"/>
    </row>
    <row r="586" spans="1:14" s="97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56"/>
      <c r="M586" s="10"/>
      <c r="N586" s="10"/>
    </row>
    <row r="587" spans="1:14" s="97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56"/>
      <c r="M587" s="10"/>
      <c r="N587" s="10"/>
    </row>
    <row r="588" spans="1:14" s="97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56"/>
      <c r="M588" s="10"/>
      <c r="N588" s="10"/>
    </row>
    <row r="589" spans="1:14" s="97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56"/>
      <c r="M589" s="10"/>
      <c r="N589" s="10"/>
    </row>
    <row r="590" spans="1:14" s="97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56"/>
      <c r="M590" s="10"/>
      <c r="N590" s="10"/>
    </row>
    <row r="591" spans="1:14" s="97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56"/>
      <c r="M591" s="10"/>
      <c r="N591" s="10"/>
    </row>
    <row r="592" spans="1:14" s="97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56"/>
      <c r="M592" s="10"/>
      <c r="N592" s="10"/>
    </row>
    <row r="593" spans="1:14" s="97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56"/>
      <c r="M593" s="10"/>
      <c r="N593" s="10"/>
    </row>
    <row r="594" spans="1:14" s="97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56"/>
      <c r="M594" s="10"/>
      <c r="N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F614"/>
  <sheetViews>
    <sheetView zoomScaleNormal="10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K6" sqref="K6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6" customWidth="1"/>
    <col min="8" max="8" width="19.375" style="56" customWidth="1"/>
    <col min="9" max="9" width="23.625" style="56" customWidth="1"/>
    <col min="10" max="10" width="26.25" style="56" customWidth="1"/>
    <col min="11" max="11" width="38.625" style="56" customWidth="1"/>
    <col min="12" max="12" width="19.375" style="165" customWidth="1"/>
    <col min="13" max="13" width="26" style="10" customWidth="1"/>
    <col min="14" max="14" width="17.875" style="56" customWidth="1"/>
    <col min="15" max="15" width="21.625" style="56" customWidth="1"/>
    <col min="16" max="16" width="19.625" style="162" customWidth="1"/>
    <col min="17" max="17" width="19.625" style="178" customWidth="1"/>
    <col min="18" max="18" width="38.25" style="168" customWidth="1"/>
    <col min="19" max="19" width="38.125" style="56" customWidth="1"/>
    <col min="20" max="21" width="20.125" style="56" customWidth="1"/>
    <col min="22" max="22" width="17" style="162" customWidth="1"/>
    <col min="23" max="23" width="23.25" style="178" customWidth="1"/>
    <col min="24" max="24" width="13" style="172" customWidth="1"/>
    <col min="25" max="25" width="17.875" style="10" customWidth="1"/>
    <col min="26" max="26" width="24" style="56" customWidth="1"/>
    <col min="27" max="30" width="17.875" style="56" customWidth="1"/>
    <col min="31" max="31" width="13" style="174" customWidth="1"/>
    <col min="32" max="33" width="17.875" style="56" customWidth="1"/>
    <col min="34" max="34" width="32.75" style="172" customWidth="1"/>
    <col min="35" max="40" width="21.125" style="56" customWidth="1"/>
    <col min="41" max="41" width="15.25" style="172" customWidth="1"/>
    <col min="42" max="47" width="23.5" style="56" customWidth="1"/>
    <col min="48" max="48" width="33" style="56" customWidth="1"/>
    <col min="49" max="49" width="12.875" style="172" customWidth="1"/>
    <col min="50" max="50" width="23.5" style="56" customWidth="1"/>
    <col min="51" max="51" width="31.625" style="56" customWidth="1"/>
    <col min="52" max="52" width="25.25" style="56" customWidth="1"/>
    <col min="53" max="53" width="10.25" style="172" customWidth="1"/>
    <col min="54" max="54" width="19.125" style="56" customWidth="1"/>
    <col min="55" max="55" width="21.625" style="10" customWidth="1"/>
    <col min="56" max="56" width="13.375" style="56" customWidth="1"/>
    <col min="57" max="59" width="11.75" style="56" customWidth="1"/>
    <col min="60" max="66" width="11.75" style="97" customWidth="1"/>
    <col min="67" max="67" width="17.5" style="145" customWidth="1"/>
    <col min="68" max="86" width="18.5" style="95" customWidth="1"/>
    <col min="87" max="87" width="17.875" style="7" customWidth="1"/>
    <col min="88" max="102" width="17.25" style="95" customWidth="1"/>
    <col min="103" max="103" width="20.125" style="7" customWidth="1"/>
    <col min="104" max="110" width="11.75" style="95" customWidth="1"/>
    <col min="111" max="16384" width="9" style="95"/>
  </cols>
  <sheetData>
    <row r="1" spans="1:110" s="97" customFormat="1" x14ac:dyDescent="0.15">
      <c r="A1" s="11" t="s">
        <v>569</v>
      </c>
      <c r="B1" s="13"/>
      <c r="C1" s="12"/>
      <c r="D1" s="13"/>
      <c r="E1" s="13"/>
      <c r="F1" s="12"/>
      <c r="G1" s="56" t="s">
        <v>829</v>
      </c>
      <c r="H1" s="56" t="s">
        <v>602</v>
      </c>
      <c r="I1" s="56" t="s">
        <v>829</v>
      </c>
      <c r="J1" s="56" t="s">
        <v>602</v>
      </c>
      <c r="K1" s="56" t="s">
        <v>602</v>
      </c>
      <c r="L1" s="165" t="s">
        <v>829</v>
      </c>
      <c r="M1" s="10"/>
      <c r="N1" s="56" t="s">
        <v>829</v>
      </c>
      <c r="O1" s="56" t="s">
        <v>829</v>
      </c>
      <c r="P1" s="162"/>
      <c r="Q1" s="178"/>
      <c r="R1" s="168"/>
      <c r="S1" s="56" t="s">
        <v>60</v>
      </c>
      <c r="T1" s="56"/>
      <c r="U1" s="56"/>
      <c r="V1" s="162"/>
      <c r="W1" s="178"/>
      <c r="X1" s="172"/>
      <c r="Y1" s="10"/>
      <c r="Z1" s="56" t="s">
        <v>1112</v>
      </c>
      <c r="AA1" s="56" t="s">
        <v>60</v>
      </c>
      <c r="AB1" s="56" t="s">
        <v>60</v>
      </c>
      <c r="AC1" s="56" t="s">
        <v>60</v>
      </c>
      <c r="AD1" s="56" t="s">
        <v>60</v>
      </c>
      <c r="AE1" s="174"/>
      <c r="AF1" s="56" t="s">
        <v>60</v>
      </c>
      <c r="AG1" s="56" t="s">
        <v>60</v>
      </c>
      <c r="AH1" s="172"/>
      <c r="AI1" s="56" t="s">
        <v>602</v>
      </c>
      <c r="AJ1" s="56" t="s">
        <v>602</v>
      </c>
      <c r="AK1" s="56" t="s">
        <v>602</v>
      </c>
      <c r="AL1" s="56" t="s">
        <v>602</v>
      </c>
      <c r="AM1" s="56" t="s">
        <v>602</v>
      </c>
      <c r="AN1" s="56" t="s">
        <v>602</v>
      </c>
      <c r="AO1" s="172"/>
      <c r="AP1" s="56" t="s">
        <v>602</v>
      </c>
      <c r="AQ1" s="56" t="s">
        <v>602</v>
      </c>
      <c r="AR1" s="56" t="s">
        <v>602</v>
      </c>
      <c r="AS1" s="56" t="s">
        <v>602</v>
      </c>
      <c r="AT1" s="56" t="s">
        <v>602</v>
      </c>
      <c r="AU1" s="56" t="s">
        <v>602</v>
      </c>
      <c r="AV1" s="56" t="s">
        <v>602</v>
      </c>
      <c r="AW1" s="172"/>
      <c r="AX1" s="56" t="s">
        <v>602</v>
      </c>
      <c r="AY1" s="56" t="s">
        <v>602</v>
      </c>
      <c r="AZ1" s="56" t="s">
        <v>1188</v>
      </c>
      <c r="BA1" s="172"/>
      <c r="BB1" s="56" t="s">
        <v>602</v>
      </c>
      <c r="BC1" s="10"/>
      <c r="BD1" s="56" t="s">
        <v>602</v>
      </c>
      <c r="BE1" s="56" t="s">
        <v>602</v>
      </c>
      <c r="BF1" s="56" t="s">
        <v>602</v>
      </c>
      <c r="BG1" s="56" t="s">
        <v>602</v>
      </c>
      <c r="BH1" s="56" t="s">
        <v>602</v>
      </c>
      <c r="BI1" s="56" t="s">
        <v>602</v>
      </c>
      <c r="BJ1" s="56" t="s">
        <v>602</v>
      </c>
      <c r="BK1" s="56" t="s">
        <v>602</v>
      </c>
      <c r="BL1" s="56" t="s">
        <v>602</v>
      </c>
      <c r="BM1" s="56" t="s">
        <v>602</v>
      </c>
      <c r="BN1" s="56" t="s">
        <v>602</v>
      </c>
      <c r="BO1" s="10"/>
      <c r="BP1" s="56" t="s">
        <v>602</v>
      </c>
      <c r="BQ1" s="56" t="s">
        <v>602</v>
      </c>
      <c r="BR1" s="56" t="s">
        <v>602</v>
      </c>
      <c r="BS1" s="56" t="s">
        <v>602</v>
      </c>
      <c r="BT1" s="56" t="s">
        <v>602</v>
      </c>
      <c r="BU1" s="56" t="s">
        <v>602</v>
      </c>
      <c r="BV1" s="56" t="s">
        <v>602</v>
      </c>
      <c r="BW1" s="56" t="s">
        <v>602</v>
      </c>
      <c r="BX1" s="56" t="s">
        <v>602</v>
      </c>
      <c r="BY1" s="56" t="s">
        <v>602</v>
      </c>
      <c r="BZ1" s="56" t="s">
        <v>602</v>
      </c>
      <c r="CA1" s="56" t="s">
        <v>602</v>
      </c>
      <c r="CB1" s="56" t="s">
        <v>602</v>
      </c>
      <c r="CC1" s="56" t="s">
        <v>602</v>
      </c>
      <c r="CD1" s="56" t="s">
        <v>602</v>
      </c>
      <c r="CE1" s="56" t="s">
        <v>602</v>
      </c>
      <c r="CF1" s="56" t="s">
        <v>602</v>
      </c>
      <c r="CG1" s="56" t="s">
        <v>602</v>
      </c>
      <c r="CH1" s="56" t="s">
        <v>602</v>
      </c>
      <c r="CI1" s="10"/>
      <c r="CJ1" s="56" t="s">
        <v>602</v>
      </c>
      <c r="CK1" s="56" t="s">
        <v>602</v>
      </c>
      <c r="CL1" s="56" t="s">
        <v>602</v>
      </c>
      <c r="CM1" s="56" t="s">
        <v>602</v>
      </c>
      <c r="CN1" s="56" t="s">
        <v>602</v>
      </c>
      <c r="CO1" s="56" t="s">
        <v>602</v>
      </c>
      <c r="CP1" s="56" t="s">
        <v>602</v>
      </c>
      <c r="CQ1" s="56" t="s">
        <v>602</v>
      </c>
      <c r="CR1" s="56" t="s">
        <v>602</v>
      </c>
      <c r="CS1" s="56" t="s">
        <v>602</v>
      </c>
      <c r="CT1" s="56" t="s">
        <v>602</v>
      </c>
      <c r="CU1" s="56" t="s">
        <v>602</v>
      </c>
      <c r="CV1" s="56" t="s">
        <v>602</v>
      </c>
      <c r="CW1" s="56" t="s">
        <v>602</v>
      </c>
      <c r="CX1" s="56" t="s">
        <v>602</v>
      </c>
      <c r="CY1" s="10"/>
      <c r="CZ1" s="56" t="s">
        <v>602</v>
      </c>
      <c r="DA1" s="56" t="s">
        <v>602</v>
      </c>
      <c r="DB1" s="56" t="s">
        <v>602</v>
      </c>
      <c r="DC1" s="56" t="s">
        <v>602</v>
      </c>
      <c r="DD1" s="56" t="s">
        <v>602</v>
      </c>
      <c r="DE1" s="56" t="s">
        <v>602</v>
      </c>
      <c r="DF1" s="56" t="s">
        <v>602</v>
      </c>
    </row>
    <row r="2" spans="1:110" s="97" customFormat="1" x14ac:dyDescent="0.15">
      <c r="A2" s="11" t="s">
        <v>61</v>
      </c>
      <c r="B2" s="13"/>
      <c r="C2" s="12"/>
      <c r="D2" s="13"/>
      <c r="E2" s="13"/>
      <c r="F2" s="12"/>
      <c r="G2" s="56" t="s">
        <v>828</v>
      </c>
      <c r="H2" s="56" t="s">
        <v>1087</v>
      </c>
      <c r="I2" s="56" t="s">
        <v>828</v>
      </c>
      <c r="J2" s="56" t="s">
        <v>484</v>
      </c>
      <c r="K2" s="56" t="s">
        <v>484</v>
      </c>
      <c r="L2" s="165" t="s">
        <v>867</v>
      </c>
      <c r="M2" s="10"/>
      <c r="N2" s="56" t="s">
        <v>828</v>
      </c>
      <c r="O2" s="56" t="s">
        <v>867</v>
      </c>
      <c r="P2" s="162"/>
      <c r="Q2" s="178"/>
      <c r="R2" s="168"/>
      <c r="S2" s="56" t="s">
        <v>61</v>
      </c>
      <c r="T2" s="56"/>
      <c r="U2" s="56"/>
      <c r="V2" s="162"/>
      <c r="W2" s="178"/>
      <c r="X2" s="172"/>
      <c r="Y2" s="10"/>
      <c r="Z2" s="56" t="s">
        <v>1111</v>
      </c>
      <c r="AA2" s="56" t="s">
        <v>61</v>
      </c>
      <c r="AB2" s="56" t="s">
        <v>61</v>
      </c>
      <c r="AC2" s="56" t="s">
        <v>61</v>
      </c>
      <c r="AD2" s="56" t="s">
        <v>61</v>
      </c>
      <c r="AE2" s="174"/>
      <c r="AF2" s="56" t="s">
        <v>61</v>
      </c>
      <c r="AG2" s="56" t="s">
        <v>61</v>
      </c>
      <c r="AH2" s="172"/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172"/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172"/>
      <c r="AX2" s="56" t="s">
        <v>61</v>
      </c>
      <c r="AY2" s="56" t="s">
        <v>61</v>
      </c>
      <c r="AZ2" s="56" t="s">
        <v>1187</v>
      </c>
      <c r="BA2" s="172"/>
      <c r="BB2" s="56" t="s">
        <v>61</v>
      </c>
      <c r="BC2" s="10"/>
      <c r="BD2" s="56" t="s">
        <v>61</v>
      </c>
      <c r="BE2" s="56" t="s">
        <v>61</v>
      </c>
      <c r="BF2" s="56" t="s">
        <v>61</v>
      </c>
      <c r="BG2" s="56" t="s">
        <v>61</v>
      </c>
      <c r="BH2" s="56" t="s">
        <v>61</v>
      </c>
      <c r="BI2" s="56" t="s">
        <v>61</v>
      </c>
      <c r="BJ2" s="56" t="s">
        <v>61</v>
      </c>
      <c r="BK2" s="56" t="s">
        <v>61</v>
      </c>
      <c r="BL2" s="56" t="s">
        <v>61</v>
      </c>
      <c r="BM2" s="56" t="s">
        <v>61</v>
      </c>
      <c r="BN2" s="56" t="s">
        <v>61</v>
      </c>
      <c r="BO2" s="10"/>
      <c r="BP2" s="56" t="s">
        <v>61</v>
      </c>
      <c r="BQ2" s="56" t="s">
        <v>61</v>
      </c>
      <c r="BR2" s="56" t="s">
        <v>61</v>
      </c>
      <c r="BS2" s="56" t="s">
        <v>61</v>
      </c>
      <c r="BT2" s="56" t="s">
        <v>61</v>
      </c>
      <c r="BU2" s="56" t="s">
        <v>61</v>
      </c>
      <c r="BV2" s="56" t="s">
        <v>61</v>
      </c>
      <c r="BW2" s="56" t="s">
        <v>61</v>
      </c>
      <c r="BX2" s="56" t="s">
        <v>61</v>
      </c>
      <c r="BY2" s="56" t="s">
        <v>61</v>
      </c>
      <c r="BZ2" s="56" t="s">
        <v>61</v>
      </c>
      <c r="CA2" s="56" t="s">
        <v>61</v>
      </c>
      <c r="CB2" s="56" t="s">
        <v>61</v>
      </c>
      <c r="CC2" s="56" t="s">
        <v>61</v>
      </c>
      <c r="CD2" s="56" t="s">
        <v>61</v>
      </c>
      <c r="CE2" s="56" t="s">
        <v>61</v>
      </c>
      <c r="CF2" s="56" t="s">
        <v>61</v>
      </c>
      <c r="CG2" s="56" t="s">
        <v>61</v>
      </c>
      <c r="CH2" s="56" t="s">
        <v>61</v>
      </c>
      <c r="CI2" s="10"/>
      <c r="CJ2" s="56" t="s">
        <v>61</v>
      </c>
      <c r="CK2" s="56" t="s">
        <v>61</v>
      </c>
      <c r="CL2" s="56" t="s">
        <v>61</v>
      </c>
      <c r="CM2" s="56" t="s">
        <v>61</v>
      </c>
      <c r="CN2" s="56" t="s">
        <v>61</v>
      </c>
      <c r="CO2" s="56" t="s">
        <v>61</v>
      </c>
      <c r="CP2" s="56" t="s">
        <v>61</v>
      </c>
      <c r="CQ2" s="56" t="s">
        <v>61</v>
      </c>
      <c r="CR2" s="56" t="s">
        <v>61</v>
      </c>
      <c r="CS2" s="56" t="s">
        <v>61</v>
      </c>
      <c r="CT2" s="56" t="s">
        <v>61</v>
      </c>
      <c r="CU2" s="56" t="s">
        <v>61</v>
      </c>
      <c r="CV2" s="56" t="s">
        <v>61</v>
      </c>
      <c r="CW2" s="56" t="s">
        <v>61</v>
      </c>
      <c r="CX2" s="56" t="s">
        <v>61</v>
      </c>
      <c r="CY2" s="10"/>
      <c r="CZ2" s="56" t="s">
        <v>61</v>
      </c>
      <c r="DA2" s="56" t="s">
        <v>61</v>
      </c>
      <c r="DB2" s="56" t="s">
        <v>61</v>
      </c>
      <c r="DC2" s="56" t="s">
        <v>61</v>
      </c>
      <c r="DD2" s="56" t="s">
        <v>61</v>
      </c>
      <c r="DE2" s="56" t="s">
        <v>61</v>
      </c>
      <c r="DF2" s="56" t="s">
        <v>61</v>
      </c>
    </row>
    <row r="3" spans="1:110" s="97" customFormat="1" x14ac:dyDescent="0.15">
      <c r="A3" s="11" t="s">
        <v>577</v>
      </c>
      <c r="B3" s="13"/>
      <c r="C3" s="12"/>
      <c r="D3" s="13"/>
      <c r="E3" s="13"/>
      <c r="F3" s="12"/>
      <c r="G3" s="56" t="s">
        <v>876</v>
      </c>
      <c r="H3" s="56" t="s">
        <v>1086</v>
      </c>
      <c r="I3" s="56" t="s">
        <v>879</v>
      </c>
      <c r="J3" s="56" t="s">
        <v>1098</v>
      </c>
      <c r="K3" s="56" t="s">
        <v>1099</v>
      </c>
      <c r="L3" s="165" t="s">
        <v>896</v>
      </c>
      <c r="M3" s="10"/>
      <c r="N3" s="56" t="s">
        <v>869</v>
      </c>
      <c r="O3" s="56" t="s">
        <v>888</v>
      </c>
      <c r="P3" s="162"/>
      <c r="Q3" s="178"/>
      <c r="R3" s="168"/>
      <c r="S3" s="56" t="s">
        <v>1103</v>
      </c>
      <c r="T3" s="56"/>
      <c r="U3" s="56"/>
      <c r="V3" s="162"/>
      <c r="W3" s="178"/>
      <c r="X3" s="172"/>
      <c r="Y3" s="10"/>
      <c r="Z3" s="56" t="s">
        <v>1110</v>
      </c>
      <c r="AA3" s="56" t="s">
        <v>871</v>
      </c>
      <c r="AB3" s="56" t="s">
        <v>872</v>
      </c>
      <c r="AC3" s="56" t="s">
        <v>873</v>
      </c>
      <c r="AD3" s="56" t="s">
        <v>874</v>
      </c>
      <c r="AE3" s="174"/>
      <c r="AF3" s="56" t="s">
        <v>906</v>
      </c>
      <c r="AG3" s="56" t="s">
        <v>907</v>
      </c>
      <c r="AH3" s="172"/>
      <c r="AI3" s="38" t="s">
        <v>943</v>
      </c>
      <c r="AJ3" s="62" t="s">
        <v>944</v>
      </c>
      <c r="AK3" s="62" t="s">
        <v>945</v>
      </c>
      <c r="AL3" s="62" t="s">
        <v>949</v>
      </c>
      <c r="AM3" s="62" t="s">
        <v>950</v>
      </c>
      <c r="AN3" s="62" t="s">
        <v>958</v>
      </c>
      <c r="AO3" s="172"/>
      <c r="AP3" s="38" t="s">
        <v>963</v>
      </c>
      <c r="AQ3" s="62" t="s">
        <v>964</v>
      </c>
      <c r="AR3" s="62" t="s">
        <v>965</v>
      </c>
      <c r="AS3" s="62" t="s">
        <v>969</v>
      </c>
      <c r="AT3" s="62" t="s">
        <v>970</v>
      </c>
      <c r="AU3" s="62" t="s">
        <v>976</v>
      </c>
      <c r="AV3" s="62" t="s">
        <v>1025</v>
      </c>
      <c r="AW3" s="172"/>
      <c r="AX3" s="38" t="s">
        <v>1019</v>
      </c>
      <c r="AY3" s="62" t="s">
        <v>908</v>
      </c>
      <c r="AZ3" s="62" t="s">
        <v>1183</v>
      </c>
      <c r="BA3" s="172"/>
      <c r="BB3" s="38" t="s">
        <v>885</v>
      </c>
      <c r="BC3" s="10"/>
      <c r="BD3" s="38" t="s">
        <v>830</v>
      </c>
      <c r="BE3" s="62" t="s">
        <v>831</v>
      </c>
      <c r="BF3" s="62" t="s">
        <v>832</v>
      </c>
      <c r="BG3" s="62" t="s">
        <v>833</v>
      </c>
      <c r="BH3" s="35" t="s">
        <v>834</v>
      </c>
      <c r="BI3" s="35" t="s">
        <v>835</v>
      </c>
      <c r="BJ3" s="35" t="s">
        <v>836</v>
      </c>
      <c r="BK3" s="62" t="s">
        <v>837</v>
      </c>
      <c r="BL3" s="35" t="s">
        <v>838</v>
      </c>
      <c r="BM3" s="35" t="s">
        <v>839</v>
      </c>
      <c r="BN3" s="35" t="s">
        <v>840</v>
      </c>
      <c r="BO3" s="36"/>
      <c r="BP3" s="35" t="s">
        <v>841</v>
      </c>
      <c r="BQ3" s="35" t="s">
        <v>842</v>
      </c>
      <c r="BR3" s="35" t="s">
        <v>843</v>
      </c>
      <c r="BS3" s="35" t="s">
        <v>844</v>
      </c>
      <c r="BT3" s="35" t="s">
        <v>845</v>
      </c>
      <c r="BU3" s="35" t="s">
        <v>846</v>
      </c>
      <c r="BV3" s="35" t="s">
        <v>847</v>
      </c>
      <c r="BW3" s="35" t="s">
        <v>848</v>
      </c>
      <c r="BX3" s="35" t="s">
        <v>849</v>
      </c>
      <c r="BY3" s="35" t="s">
        <v>850</v>
      </c>
      <c r="BZ3" s="35" t="s">
        <v>851</v>
      </c>
      <c r="CA3" s="35" t="s">
        <v>852</v>
      </c>
      <c r="CB3" s="35" t="s">
        <v>853</v>
      </c>
      <c r="CC3" s="35" t="s">
        <v>854</v>
      </c>
      <c r="CD3" s="35" t="s">
        <v>855</v>
      </c>
      <c r="CE3" s="35" t="s">
        <v>856</v>
      </c>
      <c r="CF3" s="35" t="s">
        <v>857</v>
      </c>
      <c r="CG3" s="35" t="s">
        <v>858</v>
      </c>
      <c r="CH3" s="35" t="s">
        <v>859</v>
      </c>
      <c r="CI3" s="36"/>
      <c r="CJ3" s="35" t="s">
        <v>921</v>
      </c>
      <c r="CK3" s="35" t="s">
        <v>922</v>
      </c>
      <c r="CL3" s="35" t="s">
        <v>923</v>
      </c>
      <c r="CM3" s="35" t="s">
        <v>924</v>
      </c>
      <c r="CN3" s="35" t="s">
        <v>925</v>
      </c>
      <c r="CO3" s="35" t="s">
        <v>926</v>
      </c>
      <c r="CP3" s="35" t="s">
        <v>927</v>
      </c>
      <c r="CQ3" s="35" t="s">
        <v>928</v>
      </c>
      <c r="CR3" s="35" t="s">
        <v>929</v>
      </c>
      <c r="CS3" s="35" t="s">
        <v>930</v>
      </c>
      <c r="CT3" s="35" t="s">
        <v>931</v>
      </c>
      <c r="CU3" s="35" t="s">
        <v>932</v>
      </c>
      <c r="CV3" s="35" t="s">
        <v>933</v>
      </c>
      <c r="CW3" s="35" t="s">
        <v>934</v>
      </c>
      <c r="CX3" s="35" t="s">
        <v>935</v>
      </c>
      <c r="CY3" s="36"/>
      <c r="CZ3" s="35" t="s">
        <v>860</v>
      </c>
      <c r="DA3" s="35" t="s">
        <v>861</v>
      </c>
      <c r="DB3" s="35" t="s">
        <v>862</v>
      </c>
      <c r="DC3" s="35" t="s">
        <v>863</v>
      </c>
      <c r="DD3" s="35" t="s">
        <v>864</v>
      </c>
      <c r="DE3" s="35" t="s">
        <v>865</v>
      </c>
      <c r="DF3" s="35" t="s">
        <v>866</v>
      </c>
    </row>
    <row r="4" spans="1:110" s="96" customFormat="1" ht="118.5" customHeight="1" thickBot="1" x14ac:dyDescent="0.2">
      <c r="A4" s="98" t="s">
        <v>577</v>
      </c>
      <c r="B4" s="110" t="s">
        <v>606</v>
      </c>
      <c r="C4" s="111"/>
      <c r="D4" s="110" t="s">
        <v>998</v>
      </c>
      <c r="E4" s="110" t="s">
        <v>999</v>
      </c>
      <c r="F4" s="111"/>
      <c r="G4" s="58" t="s">
        <v>877</v>
      </c>
      <c r="H4" s="58" t="s">
        <v>1088</v>
      </c>
      <c r="I4" s="58" t="s">
        <v>1190</v>
      </c>
      <c r="J4" s="58" t="s">
        <v>1191</v>
      </c>
      <c r="K4" s="58" t="s">
        <v>1192</v>
      </c>
      <c r="L4" s="166" t="s">
        <v>895</v>
      </c>
      <c r="M4" s="146" t="s">
        <v>878</v>
      </c>
      <c r="N4" s="93" t="s">
        <v>868</v>
      </c>
      <c r="O4" s="56" t="s">
        <v>1089</v>
      </c>
      <c r="P4" s="162" t="s">
        <v>1131</v>
      </c>
      <c r="Q4" s="178" t="s">
        <v>1104</v>
      </c>
      <c r="R4" s="168" t="s">
        <v>1107</v>
      </c>
      <c r="S4" s="56" t="s">
        <v>1108</v>
      </c>
      <c r="T4" s="56" t="s">
        <v>1125</v>
      </c>
      <c r="U4" s="56" t="s">
        <v>1126</v>
      </c>
      <c r="V4" s="162" t="s">
        <v>1122</v>
      </c>
      <c r="W4" s="178" t="s">
        <v>1105</v>
      </c>
      <c r="X4" s="172" t="s">
        <v>884</v>
      </c>
      <c r="Y4" s="10" t="s">
        <v>875</v>
      </c>
      <c r="Z4" s="56" t="s">
        <v>1109</v>
      </c>
      <c r="AA4" s="56" t="s">
        <v>1000</v>
      </c>
      <c r="AB4" s="56" t="s">
        <v>1001</v>
      </c>
      <c r="AC4" s="56" t="s">
        <v>1002</v>
      </c>
      <c r="AD4" s="56" t="s">
        <v>1003</v>
      </c>
      <c r="AE4" s="175" t="s">
        <v>1106</v>
      </c>
      <c r="AF4" s="56" t="s">
        <v>1004</v>
      </c>
      <c r="AG4" s="56" t="s">
        <v>1005</v>
      </c>
      <c r="AH4" s="177" t="s">
        <v>1090</v>
      </c>
      <c r="AI4" s="38" t="s">
        <v>1006</v>
      </c>
      <c r="AJ4" s="62" t="s">
        <v>1007</v>
      </c>
      <c r="AK4" s="62" t="s">
        <v>1008</v>
      </c>
      <c r="AL4" s="62" t="s">
        <v>1009</v>
      </c>
      <c r="AM4" s="62" t="s">
        <v>1010</v>
      </c>
      <c r="AN4" s="62" t="s">
        <v>1011</v>
      </c>
      <c r="AO4" s="172" t="s">
        <v>1012</v>
      </c>
      <c r="AP4" s="38" t="s">
        <v>1013</v>
      </c>
      <c r="AQ4" s="62" t="s">
        <v>1014</v>
      </c>
      <c r="AR4" s="62" t="s">
        <v>1015</v>
      </c>
      <c r="AS4" s="62" t="s">
        <v>1016</v>
      </c>
      <c r="AT4" s="62" t="s">
        <v>1017</v>
      </c>
      <c r="AU4" s="62" t="s">
        <v>1018</v>
      </c>
      <c r="AV4" s="62" t="s">
        <v>1026</v>
      </c>
      <c r="AW4" s="172" t="s">
        <v>909</v>
      </c>
      <c r="AX4" s="38" t="s">
        <v>1021</v>
      </c>
      <c r="AY4" s="62" t="s">
        <v>1022</v>
      </c>
      <c r="AZ4" s="62" t="s">
        <v>1186</v>
      </c>
      <c r="BA4" s="172" t="s">
        <v>981</v>
      </c>
      <c r="BB4" s="38" t="s">
        <v>1027</v>
      </c>
      <c r="BC4" s="10" t="s">
        <v>1116</v>
      </c>
      <c r="BD4" s="38" t="s">
        <v>1028</v>
      </c>
      <c r="BE4" s="62" t="s">
        <v>1029</v>
      </c>
      <c r="BF4" s="62" t="s">
        <v>1030</v>
      </c>
      <c r="BG4" s="62" t="s">
        <v>1031</v>
      </c>
      <c r="BH4" s="35" t="s">
        <v>1032</v>
      </c>
      <c r="BI4" s="35" t="s">
        <v>1033</v>
      </c>
      <c r="BJ4" s="35" t="s">
        <v>1034</v>
      </c>
      <c r="BK4" s="62" t="s">
        <v>1035</v>
      </c>
      <c r="BL4" s="35" t="s">
        <v>1036</v>
      </c>
      <c r="BM4" s="35" t="s">
        <v>1037</v>
      </c>
      <c r="BN4" s="35" t="s">
        <v>1038</v>
      </c>
      <c r="BO4" s="36" t="s">
        <v>1115</v>
      </c>
      <c r="BP4" s="35" t="s">
        <v>1039</v>
      </c>
      <c r="BQ4" s="35" t="s">
        <v>1040</v>
      </c>
      <c r="BR4" s="35" t="s">
        <v>1041</v>
      </c>
      <c r="BS4" s="35" t="s">
        <v>1042</v>
      </c>
      <c r="BT4" s="35" t="s">
        <v>1043</v>
      </c>
      <c r="BU4" s="35" t="s">
        <v>1044</v>
      </c>
      <c r="BV4" s="35" t="s">
        <v>1045</v>
      </c>
      <c r="BW4" s="35" t="s">
        <v>1046</v>
      </c>
      <c r="BX4" s="35" t="s">
        <v>1047</v>
      </c>
      <c r="BY4" s="35" t="s">
        <v>1048</v>
      </c>
      <c r="BZ4" s="35" t="s">
        <v>1049</v>
      </c>
      <c r="CA4" s="35" t="s">
        <v>1050</v>
      </c>
      <c r="CB4" s="35" t="s">
        <v>1051</v>
      </c>
      <c r="CC4" s="35" t="s">
        <v>1052</v>
      </c>
      <c r="CD4" s="35" t="s">
        <v>1053</v>
      </c>
      <c r="CE4" s="35" t="s">
        <v>1054</v>
      </c>
      <c r="CF4" s="35" t="s">
        <v>1055</v>
      </c>
      <c r="CG4" s="35" t="s">
        <v>1056</v>
      </c>
      <c r="CH4" s="35" t="s">
        <v>1057</v>
      </c>
      <c r="CI4" s="36" t="s">
        <v>1114</v>
      </c>
      <c r="CJ4" s="35" t="s">
        <v>1058</v>
      </c>
      <c r="CK4" s="35" t="s">
        <v>1059</v>
      </c>
      <c r="CL4" s="35" t="s">
        <v>1060</v>
      </c>
      <c r="CM4" s="35" t="s">
        <v>1061</v>
      </c>
      <c r="CN4" s="35" t="s">
        <v>1062</v>
      </c>
      <c r="CO4" s="35" t="s">
        <v>1063</v>
      </c>
      <c r="CP4" s="35" t="s">
        <v>1064</v>
      </c>
      <c r="CQ4" s="35" t="s">
        <v>1065</v>
      </c>
      <c r="CR4" s="35" t="s">
        <v>1079</v>
      </c>
      <c r="CS4" s="35" t="s">
        <v>1078</v>
      </c>
      <c r="CT4" s="35" t="s">
        <v>1077</v>
      </c>
      <c r="CU4" s="35" t="s">
        <v>1076</v>
      </c>
      <c r="CV4" s="35" t="s">
        <v>1075</v>
      </c>
      <c r="CW4" s="35" t="s">
        <v>1074</v>
      </c>
      <c r="CX4" s="35" t="s">
        <v>1073</v>
      </c>
      <c r="CY4" s="36" t="s">
        <v>1113</v>
      </c>
      <c r="CZ4" s="35" t="s">
        <v>1072</v>
      </c>
      <c r="DA4" s="35" t="s">
        <v>1071</v>
      </c>
      <c r="DB4" s="35" t="s">
        <v>1070</v>
      </c>
      <c r="DC4" s="35" t="s">
        <v>1069</v>
      </c>
      <c r="DD4" s="35" t="s">
        <v>1068</v>
      </c>
      <c r="DE4" s="35" t="s">
        <v>1067</v>
      </c>
      <c r="DF4" s="35" t="s">
        <v>1066</v>
      </c>
    </row>
    <row r="5" spans="1:110" s="114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7" t="s">
        <v>982</v>
      </c>
      <c r="H5" s="57">
        <v>1</v>
      </c>
      <c r="I5" s="57" t="s">
        <v>1189</v>
      </c>
      <c r="J5" s="57" t="s">
        <v>1206</v>
      </c>
      <c r="K5" s="57" t="s">
        <v>1220</v>
      </c>
      <c r="L5" s="167">
        <v>360</v>
      </c>
      <c r="M5" s="17" t="s">
        <v>1083</v>
      </c>
      <c r="N5" s="57"/>
      <c r="O5" s="57">
        <v>20</v>
      </c>
      <c r="P5" s="163">
        <f>IF((1-(1-O5/100000)^1440)=0,"",1-(1-O5/100000)^1440)</f>
        <v>0.25026000346329735</v>
      </c>
      <c r="Q5" s="179">
        <f>IF((O5/100000)*1440=0,"",(O5/100000)*1440)</f>
        <v>0.28800000000000003</v>
      </c>
      <c r="R5" s="169"/>
      <c r="S5" s="57"/>
      <c r="T5" s="57"/>
      <c r="U5" s="57"/>
      <c r="V5" s="163" t="str">
        <f t="shared" ref="V5:V68" si="0">IF((1-(1-S5/100000)^L5)=0,"",1-(1-S5/100000)^L5)</f>
        <v/>
      </c>
      <c r="W5" s="179" t="str">
        <f t="shared" ref="W5:W69" si="1">IF((S5/100000)*L5=0,"",(S5/100000)*L5)</f>
        <v/>
      </c>
      <c r="X5" s="173"/>
      <c r="Y5" s="17"/>
      <c r="Z5" s="154">
        <v>120</v>
      </c>
      <c r="AB5" s="57"/>
      <c r="AC5" s="57"/>
      <c r="AD5" s="154">
        <v>110</v>
      </c>
      <c r="AE5" s="176"/>
      <c r="AF5" s="57"/>
      <c r="AG5" s="57"/>
      <c r="AH5" s="173"/>
      <c r="AI5" s="57"/>
      <c r="AJ5" s="57"/>
      <c r="AK5" s="57"/>
      <c r="AL5" s="57"/>
      <c r="AM5" s="57"/>
      <c r="AN5" s="57"/>
      <c r="AO5" s="173"/>
      <c r="AP5" s="57"/>
      <c r="AQ5" s="57"/>
      <c r="AR5" s="57"/>
      <c r="AS5" s="57"/>
      <c r="AT5" s="57"/>
      <c r="AU5" s="57"/>
      <c r="AV5" s="57"/>
      <c r="AW5" s="173"/>
      <c r="AX5" s="57"/>
      <c r="AY5" s="57"/>
      <c r="AZ5" s="57"/>
      <c r="BA5" s="173"/>
      <c r="BB5" s="154">
        <v>200</v>
      </c>
      <c r="BC5" s="17"/>
      <c r="BD5" s="154">
        <v>110</v>
      </c>
      <c r="BE5" s="154">
        <v>110</v>
      </c>
      <c r="BF5" s="154">
        <v>110</v>
      </c>
      <c r="BG5" s="154">
        <v>110</v>
      </c>
      <c r="BH5" s="154">
        <v>110</v>
      </c>
      <c r="BI5" s="154">
        <v>110</v>
      </c>
      <c r="BJ5" s="154">
        <v>110</v>
      </c>
      <c r="BK5" s="154">
        <v>110</v>
      </c>
      <c r="BL5" s="154">
        <v>110</v>
      </c>
      <c r="BM5" s="154">
        <v>110</v>
      </c>
      <c r="BN5" s="154">
        <v>110</v>
      </c>
      <c r="BO5" s="144"/>
      <c r="BP5" s="155">
        <v>110</v>
      </c>
      <c r="BQ5" s="155">
        <v>110</v>
      </c>
      <c r="BR5" s="155">
        <v>110</v>
      </c>
      <c r="BS5" s="155">
        <v>110</v>
      </c>
      <c r="BT5" s="155">
        <v>110</v>
      </c>
      <c r="BU5" s="155">
        <v>110</v>
      </c>
      <c r="BV5" s="155">
        <v>110</v>
      </c>
      <c r="BW5" s="155">
        <v>110</v>
      </c>
      <c r="BX5" s="155">
        <v>110</v>
      </c>
      <c r="BY5" s="155">
        <v>110</v>
      </c>
      <c r="BZ5" s="155">
        <v>110</v>
      </c>
      <c r="CA5" s="155">
        <v>110</v>
      </c>
      <c r="CB5" s="155">
        <v>110</v>
      </c>
      <c r="CC5" s="155">
        <v>110</v>
      </c>
      <c r="CD5" s="155">
        <v>110</v>
      </c>
      <c r="CE5" s="155">
        <v>110</v>
      </c>
      <c r="CF5" s="155">
        <v>110</v>
      </c>
      <c r="CG5" s="155">
        <v>110</v>
      </c>
      <c r="CH5" s="155">
        <v>110</v>
      </c>
      <c r="CI5" s="144"/>
      <c r="CJ5" s="155">
        <v>120</v>
      </c>
      <c r="CK5" s="155">
        <v>120</v>
      </c>
      <c r="CL5" s="155">
        <v>120</v>
      </c>
      <c r="CM5" s="155">
        <v>120</v>
      </c>
      <c r="CN5" s="155">
        <v>120</v>
      </c>
      <c r="CO5" s="155">
        <v>120</v>
      </c>
      <c r="CP5" s="155">
        <v>120</v>
      </c>
      <c r="CQ5" s="155">
        <v>120</v>
      </c>
      <c r="CR5" s="155">
        <v>120</v>
      </c>
      <c r="CS5" s="155">
        <v>120</v>
      </c>
      <c r="CT5" s="155">
        <v>120</v>
      </c>
      <c r="CU5" s="155">
        <v>120</v>
      </c>
      <c r="CV5" s="155">
        <v>120</v>
      </c>
      <c r="CW5" s="155">
        <v>120</v>
      </c>
      <c r="CX5" s="155">
        <v>120</v>
      </c>
      <c r="CY5" s="144"/>
      <c r="CZ5" s="155">
        <v>120</v>
      </c>
      <c r="DA5" s="155">
        <v>120</v>
      </c>
      <c r="DB5" s="155">
        <v>120</v>
      </c>
      <c r="DC5" s="155">
        <v>120</v>
      </c>
      <c r="DD5" s="155">
        <v>120</v>
      </c>
      <c r="DE5" s="155">
        <v>120</v>
      </c>
      <c r="DF5" s="155">
        <v>120</v>
      </c>
    </row>
    <row r="6" spans="1:110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6" t="s">
        <v>880</v>
      </c>
      <c r="H6" s="56">
        <v>3</v>
      </c>
      <c r="I6" s="56" t="s">
        <v>1189</v>
      </c>
      <c r="J6" s="56" t="s">
        <v>1206</v>
      </c>
      <c r="L6" s="165">
        <v>360</v>
      </c>
      <c r="M6" s="10" t="s">
        <v>1084</v>
      </c>
      <c r="O6" s="56">
        <v>15</v>
      </c>
      <c r="P6" s="162">
        <f t="shared" ref="P6:P69" si="3">IF((1-(1-O6/100000)^1440)=0,"",1-(1-O6/100000)^1440)</f>
        <v>0.19427775223811461</v>
      </c>
      <c r="Q6" s="178">
        <f t="shared" ref="Q6:Q69" si="4">IF((O6/100000)*1440=0,"",(O6/100000)*1440)</f>
        <v>0.21599999999999997</v>
      </c>
      <c r="V6" s="162" t="str">
        <f t="shared" si="0"/>
        <v/>
      </c>
      <c r="W6" s="178" t="str">
        <f t="shared" si="1"/>
        <v/>
      </c>
      <c r="Z6" s="153">
        <v>160</v>
      </c>
      <c r="AD6" s="153">
        <v>120</v>
      </c>
      <c r="BB6" s="153">
        <v>300</v>
      </c>
      <c r="BD6" s="153">
        <v>120</v>
      </c>
      <c r="BE6" s="153">
        <v>120</v>
      </c>
      <c r="BF6" s="153">
        <v>120</v>
      </c>
      <c r="BG6" s="153">
        <v>120</v>
      </c>
      <c r="BH6" s="153">
        <v>120</v>
      </c>
      <c r="BI6" s="153">
        <v>120</v>
      </c>
      <c r="BJ6" s="153">
        <v>120</v>
      </c>
      <c r="BK6" s="153">
        <v>120</v>
      </c>
      <c r="BL6" s="153">
        <v>120</v>
      </c>
      <c r="BM6" s="153">
        <v>120</v>
      </c>
      <c r="BN6" s="153">
        <v>120</v>
      </c>
      <c r="BP6" s="156">
        <v>120</v>
      </c>
      <c r="BQ6" s="156">
        <v>120</v>
      </c>
      <c r="BR6" s="156">
        <v>120</v>
      </c>
      <c r="BS6" s="156">
        <v>120</v>
      </c>
      <c r="BT6" s="156">
        <v>120</v>
      </c>
      <c r="BU6" s="156">
        <v>120</v>
      </c>
      <c r="BV6" s="156">
        <v>120</v>
      </c>
      <c r="BW6" s="156">
        <v>120</v>
      </c>
      <c r="BX6" s="156">
        <v>120</v>
      </c>
      <c r="BY6" s="156">
        <v>120</v>
      </c>
      <c r="BZ6" s="156">
        <v>120</v>
      </c>
      <c r="CA6" s="156">
        <v>120</v>
      </c>
      <c r="CB6" s="156">
        <v>120</v>
      </c>
      <c r="CC6" s="156">
        <v>120</v>
      </c>
      <c r="CD6" s="156">
        <v>120</v>
      </c>
      <c r="CE6" s="156">
        <v>120</v>
      </c>
      <c r="CF6" s="156">
        <v>120</v>
      </c>
      <c r="CG6" s="156">
        <v>120</v>
      </c>
      <c r="CH6" s="156">
        <v>120</v>
      </c>
      <c r="CJ6" s="156">
        <v>140</v>
      </c>
      <c r="CK6" s="156">
        <v>140</v>
      </c>
      <c r="CL6" s="156">
        <v>140</v>
      </c>
      <c r="CM6" s="156">
        <v>140</v>
      </c>
      <c r="CN6" s="156">
        <v>140</v>
      </c>
      <c r="CO6" s="156">
        <v>140</v>
      </c>
      <c r="CP6" s="156">
        <v>140</v>
      </c>
      <c r="CQ6" s="156">
        <v>140</v>
      </c>
      <c r="CR6" s="156">
        <v>140</v>
      </c>
      <c r="CS6" s="156">
        <v>140</v>
      </c>
      <c r="CT6" s="156">
        <v>140</v>
      </c>
      <c r="CU6" s="156">
        <v>140</v>
      </c>
      <c r="CV6" s="156">
        <v>140</v>
      </c>
      <c r="CW6" s="156">
        <v>140</v>
      </c>
      <c r="CX6" s="156">
        <v>140</v>
      </c>
      <c r="CZ6" s="156">
        <v>140</v>
      </c>
      <c r="DA6" s="156">
        <v>140</v>
      </c>
      <c r="DB6" s="156">
        <v>140</v>
      </c>
      <c r="DC6" s="156">
        <v>140</v>
      </c>
      <c r="DD6" s="156">
        <v>140</v>
      </c>
      <c r="DE6" s="156">
        <v>140</v>
      </c>
      <c r="DF6" s="156">
        <v>140</v>
      </c>
    </row>
    <row r="7" spans="1:110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6" t="s">
        <v>881</v>
      </c>
      <c r="H7" s="56">
        <v>5</v>
      </c>
      <c r="I7" s="56" t="s">
        <v>1189</v>
      </c>
      <c r="J7" s="56" t="s">
        <v>1206</v>
      </c>
      <c r="L7" s="165">
        <v>360</v>
      </c>
      <c r="M7" s="157" t="s">
        <v>1085</v>
      </c>
      <c r="O7" s="56">
        <v>10</v>
      </c>
      <c r="P7" s="162">
        <f t="shared" si="3"/>
        <v>0.13411848672575966</v>
      </c>
      <c r="Q7" s="178">
        <f t="shared" si="4"/>
        <v>0.14400000000000002</v>
      </c>
      <c r="V7" s="162" t="str">
        <f t="shared" si="0"/>
        <v/>
      </c>
      <c r="W7" s="178" t="str">
        <f t="shared" si="1"/>
        <v/>
      </c>
      <c r="Z7" s="153">
        <v>220</v>
      </c>
      <c r="AD7" s="153">
        <v>130</v>
      </c>
      <c r="BB7" s="153">
        <v>400</v>
      </c>
      <c r="BD7" s="153">
        <v>130</v>
      </c>
      <c r="BE7" s="153">
        <v>130</v>
      </c>
      <c r="BF7" s="153">
        <v>130</v>
      </c>
      <c r="BG7" s="153">
        <v>130</v>
      </c>
      <c r="BH7" s="153">
        <v>130</v>
      </c>
      <c r="BI7" s="153">
        <v>130</v>
      </c>
      <c r="BJ7" s="153">
        <v>130</v>
      </c>
      <c r="BK7" s="153">
        <v>130</v>
      </c>
      <c r="BL7" s="153">
        <v>130</v>
      </c>
      <c r="BM7" s="153">
        <v>130</v>
      </c>
      <c r="BN7" s="153">
        <v>130</v>
      </c>
      <c r="BP7" s="156">
        <v>130</v>
      </c>
      <c r="BQ7" s="156">
        <v>130</v>
      </c>
      <c r="BR7" s="156">
        <v>130</v>
      </c>
      <c r="BS7" s="156">
        <v>130</v>
      </c>
      <c r="BT7" s="156">
        <v>130</v>
      </c>
      <c r="BU7" s="156">
        <v>130</v>
      </c>
      <c r="BV7" s="156">
        <v>130</v>
      </c>
      <c r="BW7" s="156">
        <v>130</v>
      </c>
      <c r="BX7" s="156">
        <v>130</v>
      </c>
      <c r="BY7" s="156">
        <v>130</v>
      </c>
      <c r="BZ7" s="156">
        <v>130</v>
      </c>
      <c r="CA7" s="156">
        <v>130</v>
      </c>
      <c r="CB7" s="156">
        <v>130</v>
      </c>
      <c r="CC7" s="156">
        <v>130</v>
      </c>
      <c r="CD7" s="156">
        <v>130</v>
      </c>
      <c r="CE7" s="156">
        <v>130</v>
      </c>
      <c r="CF7" s="156">
        <v>130</v>
      </c>
      <c r="CG7" s="156">
        <v>130</v>
      </c>
      <c r="CH7" s="156">
        <v>130</v>
      </c>
      <c r="CJ7" s="156">
        <v>160</v>
      </c>
      <c r="CK7" s="156">
        <v>160</v>
      </c>
      <c r="CL7" s="156">
        <v>160</v>
      </c>
      <c r="CM7" s="156">
        <v>160</v>
      </c>
      <c r="CN7" s="156">
        <v>160</v>
      </c>
      <c r="CO7" s="156">
        <v>160</v>
      </c>
      <c r="CP7" s="156">
        <v>160</v>
      </c>
      <c r="CQ7" s="156">
        <v>160</v>
      </c>
      <c r="CR7" s="156">
        <v>160</v>
      </c>
      <c r="CS7" s="156">
        <v>160</v>
      </c>
      <c r="CT7" s="156">
        <v>160</v>
      </c>
      <c r="CU7" s="156">
        <v>160</v>
      </c>
      <c r="CV7" s="156">
        <v>160</v>
      </c>
      <c r="CW7" s="156">
        <v>160</v>
      </c>
      <c r="CX7" s="156">
        <v>160</v>
      </c>
      <c r="CZ7" s="156">
        <v>160</v>
      </c>
      <c r="DA7" s="156">
        <v>160</v>
      </c>
      <c r="DB7" s="156">
        <v>160</v>
      </c>
      <c r="DC7" s="156">
        <v>160</v>
      </c>
      <c r="DD7" s="156">
        <v>160</v>
      </c>
      <c r="DE7" s="156">
        <v>160</v>
      </c>
      <c r="DF7" s="156">
        <v>160</v>
      </c>
    </row>
    <row r="8" spans="1:110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6" t="s">
        <v>983</v>
      </c>
      <c r="H8" s="56">
        <v>1</v>
      </c>
      <c r="I8" s="56" t="s">
        <v>1195</v>
      </c>
      <c r="J8" s="56" t="s">
        <v>1207</v>
      </c>
      <c r="L8" s="165">
        <v>360</v>
      </c>
      <c r="O8" s="56">
        <v>20</v>
      </c>
      <c r="P8" s="162">
        <f t="shared" si="3"/>
        <v>0.25026000346329735</v>
      </c>
      <c r="Q8" s="178">
        <f t="shared" si="4"/>
        <v>0.28800000000000003</v>
      </c>
      <c r="V8" s="162" t="str">
        <f t="shared" si="0"/>
        <v/>
      </c>
      <c r="W8" s="178" t="str">
        <f t="shared" si="1"/>
        <v/>
      </c>
      <c r="Z8" s="153">
        <v>40</v>
      </c>
      <c r="AD8" s="153">
        <v>90</v>
      </c>
      <c r="BB8" s="153">
        <v>75</v>
      </c>
      <c r="BD8" s="153">
        <v>90</v>
      </c>
      <c r="BE8" s="153">
        <v>90</v>
      </c>
      <c r="BF8" s="153">
        <v>90</v>
      </c>
      <c r="BG8" s="153">
        <v>90</v>
      </c>
      <c r="BH8" s="153">
        <v>90</v>
      </c>
      <c r="BI8" s="153">
        <v>90</v>
      </c>
      <c r="BJ8" s="153">
        <v>90</v>
      </c>
      <c r="BK8" s="153">
        <v>90</v>
      </c>
      <c r="BL8" s="153">
        <v>90</v>
      </c>
      <c r="BM8" s="153">
        <v>90</v>
      </c>
      <c r="BN8" s="153">
        <v>90</v>
      </c>
      <c r="BP8" s="156">
        <v>90</v>
      </c>
      <c r="BQ8" s="156">
        <v>90</v>
      </c>
      <c r="BR8" s="156">
        <v>90</v>
      </c>
      <c r="BS8" s="156">
        <v>90</v>
      </c>
      <c r="BT8" s="156">
        <v>90</v>
      </c>
      <c r="BU8" s="156">
        <v>90</v>
      </c>
      <c r="BV8" s="156">
        <v>90</v>
      </c>
      <c r="BW8" s="156">
        <v>90</v>
      </c>
      <c r="BX8" s="156">
        <v>90</v>
      </c>
      <c r="BY8" s="156">
        <v>90</v>
      </c>
      <c r="BZ8" s="156">
        <v>90</v>
      </c>
      <c r="CA8" s="156">
        <v>90</v>
      </c>
      <c r="CB8" s="156">
        <v>90</v>
      </c>
      <c r="CC8" s="156">
        <v>90</v>
      </c>
      <c r="CD8" s="156">
        <v>90</v>
      </c>
      <c r="CE8" s="156">
        <v>90</v>
      </c>
      <c r="CF8" s="156">
        <v>90</v>
      </c>
      <c r="CG8" s="156">
        <v>90</v>
      </c>
      <c r="CH8" s="156">
        <v>90</v>
      </c>
      <c r="CJ8" s="156">
        <v>90</v>
      </c>
      <c r="CK8" s="156">
        <v>90</v>
      </c>
      <c r="CL8" s="156">
        <v>90</v>
      </c>
      <c r="CM8" s="156">
        <v>90</v>
      </c>
      <c r="CN8" s="156">
        <v>90</v>
      </c>
      <c r="CO8" s="156">
        <v>90</v>
      </c>
      <c r="CP8" s="156">
        <v>90</v>
      </c>
      <c r="CQ8" s="156">
        <v>90</v>
      </c>
      <c r="CR8" s="156">
        <v>90</v>
      </c>
      <c r="CS8" s="156">
        <v>90</v>
      </c>
      <c r="CT8" s="156">
        <v>90</v>
      </c>
      <c r="CU8" s="156">
        <v>90</v>
      </c>
      <c r="CV8" s="156">
        <v>90</v>
      </c>
      <c r="CW8" s="156">
        <v>90</v>
      </c>
      <c r="CX8" s="156">
        <v>90</v>
      </c>
      <c r="CZ8" s="156">
        <v>90</v>
      </c>
      <c r="DA8" s="156">
        <v>90</v>
      </c>
      <c r="DB8" s="156">
        <v>90</v>
      </c>
      <c r="DC8" s="156">
        <v>90</v>
      </c>
      <c r="DD8" s="156">
        <v>90</v>
      </c>
      <c r="DE8" s="156">
        <v>90</v>
      </c>
      <c r="DF8" s="156">
        <v>90</v>
      </c>
    </row>
    <row r="9" spans="1:110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6" t="s">
        <v>984</v>
      </c>
      <c r="H9" s="56">
        <v>3</v>
      </c>
      <c r="I9" s="56" t="s">
        <v>1193</v>
      </c>
      <c r="J9" s="56" t="s">
        <v>1207</v>
      </c>
      <c r="L9" s="165">
        <v>360</v>
      </c>
      <c r="O9" s="56">
        <v>15</v>
      </c>
      <c r="P9" s="162">
        <f t="shared" si="3"/>
        <v>0.19427775223811461</v>
      </c>
      <c r="Q9" s="178">
        <f t="shared" si="4"/>
        <v>0.21599999999999997</v>
      </c>
      <c r="V9" s="162" t="str">
        <f t="shared" si="0"/>
        <v/>
      </c>
      <c r="W9" s="178" t="str">
        <f t="shared" si="1"/>
        <v/>
      </c>
      <c r="Z9" s="153">
        <v>25</v>
      </c>
      <c r="AD9" s="153">
        <v>80</v>
      </c>
      <c r="BB9" s="153">
        <v>60</v>
      </c>
      <c r="BD9" s="153">
        <v>80</v>
      </c>
      <c r="BE9" s="153">
        <v>80</v>
      </c>
      <c r="BF9" s="153">
        <v>80</v>
      </c>
      <c r="BG9" s="153">
        <v>80</v>
      </c>
      <c r="BH9" s="153">
        <v>80</v>
      </c>
      <c r="BI9" s="153">
        <v>80</v>
      </c>
      <c r="BJ9" s="153">
        <v>80</v>
      </c>
      <c r="BK9" s="153">
        <v>80</v>
      </c>
      <c r="BL9" s="153">
        <v>80</v>
      </c>
      <c r="BM9" s="153">
        <v>80</v>
      </c>
      <c r="BN9" s="153">
        <v>80</v>
      </c>
      <c r="BP9" s="156">
        <v>80</v>
      </c>
      <c r="BQ9" s="156">
        <v>80</v>
      </c>
      <c r="BR9" s="156">
        <v>80</v>
      </c>
      <c r="BS9" s="156">
        <v>80</v>
      </c>
      <c r="BT9" s="156">
        <v>80</v>
      </c>
      <c r="BU9" s="156">
        <v>80</v>
      </c>
      <c r="BV9" s="156">
        <v>80</v>
      </c>
      <c r="BW9" s="156">
        <v>80</v>
      </c>
      <c r="BX9" s="156">
        <v>80</v>
      </c>
      <c r="BY9" s="156">
        <v>80</v>
      </c>
      <c r="BZ9" s="156">
        <v>80</v>
      </c>
      <c r="CA9" s="156">
        <v>80</v>
      </c>
      <c r="CB9" s="156">
        <v>80</v>
      </c>
      <c r="CC9" s="156">
        <v>80</v>
      </c>
      <c r="CD9" s="156">
        <v>80</v>
      </c>
      <c r="CE9" s="156">
        <v>80</v>
      </c>
      <c r="CF9" s="156">
        <v>80</v>
      </c>
      <c r="CG9" s="156">
        <v>80</v>
      </c>
      <c r="CH9" s="156">
        <v>80</v>
      </c>
      <c r="CJ9" s="156">
        <v>80</v>
      </c>
      <c r="CK9" s="156">
        <v>80</v>
      </c>
      <c r="CL9" s="156">
        <v>80</v>
      </c>
      <c r="CM9" s="156">
        <v>80</v>
      </c>
      <c r="CN9" s="156">
        <v>80</v>
      </c>
      <c r="CO9" s="156">
        <v>80</v>
      </c>
      <c r="CP9" s="156">
        <v>80</v>
      </c>
      <c r="CQ9" s="156">
        <v>80</v>
      </c>
      <c r="CR9" s="156">
        <v>80</v>
      </c>
      <c r="CS9" s="156">
        <v>80</v>
      </c>
      <c r="CT9" s="156">
        <v>80</v>
      </c>
      <c r="CU9" s="156">
        <v>80</v>
      </c>
      <c r="CV9" s="156">
        <v>80</v>
      </c>
      <c r="CW9" s="156">
        <v>80</v>
      </c>
      <c r="CX9" s="156">
        <v>80</v>
      </c>
      <c r="CZ9" s="156">
        <v>80</v>
      </c>
      <c r="DA9" s="156">
        <v>80</v>
      </c>
      <c r="DB9" s="156">
        <v>80</v>
      </c>
      <c r="DC9" s="156">
        <v>80</v>
      </c>
      <c r="DD9" s="156">
        <v>80</v>
      </c>
      <c r="DE9" s="156">
        <v>80</v>
      </c>
      <c r="DF9" s="156">
        <v>80</v>
      </c>
    </row>
    <row r="10" spans="1:110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6" t="s">
        <v>985</v>
      </c>
      <c r="H10" s="56">
        <v>5</v>
      </c>
      <c r="I10" s="56" t="s">
        <v>1193</v>
      </c>
      <c r="J10" s="56" t="s">
        <v>1207</v>
      </c>
      <c r="L10" s="165">
        <v>360</v>
      </c>
      <c r="O10" s="56">
        <v>10</v>
      </c>
      <c r="P10" s="162">
        <f t="shared" si="3"/>
        <v>0.13411848672575966</v>
      </c>
      <c r="Q10" s="178">
        <f t="shared" si="4"/>
        <v>0.14400000000000002</v>
      </c>
      <c r="V10" s="162" t="str">
        <f t="shared" si="0"/>
        <v/>
      </c>
      <c r="W10" s="178" t="str">
        <f t="shared" si="1"/>
        <v/>
      </c>
      <c r="Z10" s="153">
        <v>10</v>
      </c>
      <c r="AD10" s="153">
        <v>70</v>
      </c>
      <c r="BB10" s="153">
        <v>50</v>
      </c>
      <c r="BD10" s="153">
        <v>70</v>
      </c>
      <c r="BE10" s="153">
        <v>70</v>
      </c>
      <c r="BF10" s="153">
        <v>70</v>
      </c>
      <c r="BG10" s="153">
        <v>70</v>
      </c>
      <c r="BH10" s="153">
        <v>70</v>
      </c>
      <c r="BI10" s="153">
        <v>70</v>
      </c>
      <c r="BJ10" s="153">
        <v>70</v>
      </c>
      <c r="BK10" s="153">
        <v>70</v>
      </c>
      <c r="BL10" s="153">
        <v>70</v>
      </c>
      <c r="BM10" s="153">
        <v>70</v>
      </c>
      <c r="BN10" s="153">
        <v>70</v>
      </c>
      <c r="BP10" s="156">
        <v>70</v>
      </c>
      <c r="BQ10" s="156">
        <v>70</v>
      </c>
      <c r="BR10" s="156">
        <v>70</v>
      </c>
      <c r="BS10" s="156">
        <v>70</v>
      </c>
      <c r="BT10" s="156">
        <v>70</v>
      </c>
      <c r="BU10" s="156">
        <v>70</v>
      </c>
      <c r="BV10" s="156">
        <v>70</v>
      </c>
      <c r="BW10" s="156">
        <v>70</v>
      </c>
      <c r="BX10" s="156">
        <v>70</v>
      </c>
      <c r="BY10" s="156">
        <v>70</v>
      </c>
      <c r="BZ10" s="156">
        <v>70</v>
      </c>
      <c r="CA10" s="156">
        <v>70</v>
      </c>
      <c r="CB10" s="156">
        <v>70</v>
      </c>
      <c r="CC10" s="156">
        <v>70</v>
      </c>
      <c r="CD10" s="156">
        <v>70</v>
      </c>
      <c r="CE10" s="156">
        <v>70</v>
      </c>
      <c r="CF10" s="156">
        <v>70</v>
      </c>
      <c r="CG10" s="156">
        <v>70</v>
      </c>
      <c r="CH10" s="156">
        <v>70</v>
      </c>
      <c r="CJ10" s="156">
        <v>70</v>
      </c>
      <c r="CK10" s="156">
        <v>70</v>
      </c>
      <c r="CL10" s="156">
        <v>70</v>
      </c>
      <c r="CM10" s="156">
        <v>70</v>
      </c>
      <c r="CN10" s="156">
        <v>70</v>
      </c>
      <c r="CO10" s="156">
        <v>70</v>
      </c>
      <c r="CP10" s="156">
        <v>70</v>
      </c>
      <c r="CQ10" s="156">
        <v>70</v>
      </c>
      <c r="CR10" s="156">
        <v>70</v>
      </c>
      <c r="CS10" s="156">
        <v>70</v>
      </c>
      <c r="CT10" s="156">
        <v>70</v>
      </c>
      <c r="CU10" s="156">
        <v>70</v>
      </c>
      <c r="CV10" s="156">
        <v>70</v>
      </c>
      <c r="CW10" s="156">
        <v>70</v>
      </c>
      <c r="CX10" s="156">
        <v>70</v>
      </c>
      <c r="CZ10" s="156">
        <v>70</v>
      </c>
      <c r="DA10" s="156">
        <v>70</v>
      </c>
      <c r="DB10" s="156">
        <v>70</v>
      </c>
      <c r="DC10" s="156">
        <v>70</v>
      </c>
      <c r="DD10" s="156">
        <v>70</v>
      </c>
      <c r="DE10" s="156">
        <v>70</v>
      </c>
      <c r="DF10" s="156">
        <v>70</v>
      </c>
    </row>
    <row r="11" spans="1:110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6" t="s">
        <v>986</v>
      </c>
      <c r="H11" s="56">
        <v>1</v>
      </c>
      <c r="I11" s="56" t="s">
        <v>1194</v>
      </c>
      <c r="J11" s="56" t="s">
        <v>1208</v>
      </c>
      <c r="L11" s="165">
        <v>360</v>
      </c>
      <c r="O11" s="56">
        <v>20</v>
      </c>
      <c r="P11" s="162">
        <f t="shared" si="3"/>
        <v>0.25026000346329735</v>
      </c>
      <c r="Q11" s="178">
        <f t="shared" si="4"/>
        <v>0.28800000000000003</v>
      </c>
      <c r="V11" s="162" t="str">
        <f t="shared" si="0"/>
        <v/>
      </c>
      <c r="W11" s="178" t="str">
        <f t="shared" si="1"/>
        <v/>
      </c>
      <c r="AA11" s="153">
        <v>110</v>
      </c>
      <c r="BB11" s="153">
        <v>200</v>
      </c>
      <c r="BD11" s="153">
        <v>110</v>
      </c>
      <c r="BE11" s="153">
        <v>110</v>
      </c>
      <c r="BF11" s="153">
        <v>110</v>
      </c>
      <c r="BG11" s="153">
        <v>110</v>
      </c>
      <c r="BH11" s="153">
        <v>110</v>
      </c>
      <c r="BI11" s="153">
        <v>110</v>
      </c>
      <c r="BJ11" s="153">
        <v>110</v>
      </c>
      <c r="BK11" s="153">
        <v>110</v>
      </c>
      <c r="BL11" s="153">
        <v>110</v>
      </c>
      <c r="BM11" s="153">
        <v>110</v>
      </c>
      <c r="BN11" s="153">
        <v>110</v>
      </c>
      <c r="BP11" s="156">
        <v>110</v>
      </c>
      <c r="BQ11" s="156">
        <v>110</v>
      </c>
      <c r="BR11" s="156">
        <v>110</v>
      </c>
      <c r="BS11" s="156">
        <v>110</v>
      </c>
      <c r="BT11" s="156">
        <v>110</v>
      </c>
      <c r="BU11" s="156">
        <v>110</v>
      </c>
      <c r="BV11" s="156">
        <v>110</v>
      </c>
      <c r="BW11" s="156">
        <v>110</v>
      </c>
      <c r="BX11" s="156">
        <v>110</v>
      </c>
      <c r="BY11" s="156">
        <v>110</v>
      </c>
      <c r="BZ11" s="156">
        <v>110</v>
      </c>
      <c r="CA11" s="156">
        <v>110</v>
      </c>
      <c r="CB11" s="156">
        <v>110</v>
      </c>
      <c r="CC11" s="156">
        <v>110</v>
      </c>
      <c r="CD11" s="156">
        <v>110</v>
      </c>
      <c r="CE11" s="156">
        <v>110</v>
      </c>
      <c r="CF11" s="156">
        <v>110</v>
      </c>
      <c r="CG11" s="156">
        <v>110</v>
      </c>
      <c r="CH11" s="156">
        <v>110</v>
      </c>
      <c r="CJ11" s="156">
        <v>120</v>
      </c>
      <c r="CK11" s="156">
        <v>120</v>
      </c>
      <c r="CL11" s="156">
        <v>120</v>
      </c>
      <c r="CM11" s="156">
        <v>120</v>
      </c>
      <c r="CN11" s="156">
        <v>120</v>
      </c>
      <c r="CO11" s="156">
        <v>120</v>
      </c>
      <c r="CP11" s="156">
        <v>120</v>
      </c>
      <c r="CQ11" s="156">
        <v>120</v>
      </c>
      <c r="CR11" s="156">
        <v>120</v>
      </c>
      <c r="CS11" s="156">
        <v>120</v>
      </c>
      <c r="CT11" s="156">
        <v>120</v>
      </c>
      <c r="CU11" s="156">
        <v>120</v>
      </c>
      <c r="CV11" s="156">
        <v>120</v>
      </c>
      <c r="CW11" s="156">
        <v>120</v>
      </c>
      <c r="CX11" s="156">
        <v>120</v>
      </c>
      <c r="CZ11" s="156">
        <v>120</v>
      </c>
      <c r="DA11" s="156">
        <v>120</v>
      </c>
      <c r="DB11" s="156">
        <v>120</v>
      </c>
      <c r="DC11" s="156">
        <v>120</v>
      </c>
      <c r="DD11" s="156">
        <v>120</v>
      </c>
      <c r="DE11" s="156">
        <v>120</v>
      </c>
      <c r="DF11" s="156">
        <v>120</v>
      </c>
    </row>
    <row r="12" spans="1:110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6" t="s">
        <v>882</v>
      </c>
      <c r="H12" s="56">
        <v>3</v>
      </c>
      <c r="I12" s="56" t="s">
        <v>1194</v>
      </c>
      <c r="J12" s="56" t="s">
        <v>1208</v>
      </c>
      <c r="L12" s="165">
        <v>360</v>
      </c>
      <c r="O12" s="56">
        <v>15</v>
      </c>
      <c r="P12" s="162">
        <f t="shared" si="3"/>
        <v>0.19427775223811461</v>
      </c>
      <c r="Q12" s="178">
        <f t="shared" si="4"/>
        <v>0.21599999999999997</v>
      </c>
      <c r="V12" s="162" t="str">
        <f t="shared" si="0"/>
        <v/>
      </c>
      <c r="W12" s="178" t="str">
        <f t="shared" si="1"/>
        <v/>
      </c>
      <c r="AA12" s="153">
        <v>120</v>
      </c>
      <c r="BB12" s="153">
        <v>300</v>
      </c>
      <c r="BD12" s="153">
        <v>120</v>
      </c>
      <c r="BE12" s="153">
        <v>120</v>
      </c>
      <c r="BF12" s="153">
        <v>120</v>
      </c>
      <c r="BG12" s="153">
        <v>120</v>
      </c>
      <c r="BH12" s="153">
        <v>120</v>
      </c>
      <c r="BI12" s="153">
        <v>120</v>
      </c>
      <c r="BJ12" s="153">
        <v>120</v>
      </c>
      <c r="BK12" s="153">
        <v>120</v>
      </c>
      <c r="BL12" s="153">
        <v>120</v>
      </c>
      <c r="BM12" s="153">
        <v>120</v>
      </c>
      <c r="BN12" s="153">
        <v>120</v>
      </c>
      <c r="BP12" s="156">
        <v>120</v>
      </c>
      <c r="BQ12" s="156">
        <v>120</v>
      </c>
      <c r="BR12" s="156">
        <v>120</v>
      </c>
      <c r="BS12" s="156">
        <v>120</v>
      </c>
      <c r="BT12" s="156">
        <v>120</v>
      </c>
      <c r="BU12" s="156">
        <v>120</v>
      </c>
      <c r="BV12" s="156">
        <v>120</v>
      </c>
      <c r="BW12" s="156">
        <v>120</v>
      </c>
      <c r="BX12" s="156">
        <v>120</v>
      </c>
      <c r="BY12" s="156">
        <v>120</v>
      </c>
      <c r="BZ12" s="156">
        <v>120</v>
      </c>
      <c r="CA12" s="156">
        <v>120</v>
      </c>
      <c r="CB12" s="156">
        <v>120</v>
      </c>
      <c r="CC12" s="156">
        <v>120</v>
      </c>
      <c r="CD12" s="156">
        <v>120</v>
      </c>
      <c r="CE12" s="156">
        <v>120</v>
      </c>
      <c r="CF12" s="156">
        <v>120</v>
      </c>
      <c r="CG12" s="156">
        <v>120</v>
      </c>
      <c r="CH12" s="156">
        <v>120</v>
      </c>
      <c r="CJ12" s="156">
        <v>140</v>
      </c>
      <c r="CK12" s="156">
        <v>140</v>
      </c>
      <c r="CL12" s="156">
        <v>140</v>
      </c>
      <c r="CM12" s="156">
        <v>140</v>
      </c>
      <c r="CN12" s="156">
        <v>140</v>
      </c>
      <c r="CO12" s="156">
        <v>140</v>
      </c>
      <c r="CP12" s="156">
        <v>140</v>
      </c>
      <c r="CQ12" s="156">
        <v>140</v>
      </c>
      <c r="CR12" s="156">
        <v>140</v>
      </c>
      <c r="CS12" s="156">
        <v>140</v>
      </c>
      <c r="CT12" s="156">
        <v>140</v>
      </c>
      <c r="CU12" s="156">
        <v>140</v>
      </c>
      <c r="CV12" s="156">
        <v>140</v>
      </c>
      <c r="CW12" s="156">
        <v>140</v>
      </c>
      <c r="CX12" s="156">
        <v>140</v>
      </c>
      <c r="CZ12" s="156">
        <v>140</v>
      </c>
      <c r="DA12" s="156">
        <v>140</v>
      </c>
      <c r="DB12" s="156">
        <v>140</v>
      </c>
      <c r="DC12" s="156">
        <v>140</v>
      </c>
      <c r="DD12" s="156">
        <v>140</v>
      </c>
      <c r="DE12" s="156">
        <v>140</v>
      </c>
      <c r="DF12" s="156">
        <v>140</v>
      </c>
    </row>
    <row r="13" spans="1:110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6" t="s">
        <v>883</v>
      </c>
      <c r="H13" s="56">
        <v>5</v>
      </c>
      <c r="I13" s="56" t="s">
        <v>1194</v>
      </c>
      <c r="J13" s="56" t="s">
        <v>1208</v>
      </c>
      <c r="L13" s="165">
        <v>360</v>
      </c>
      <c r="O13" s="56">
        <v>10</v>
      </c>
      <c r="P13" s="162">
        <f t="shared" si="3"/>
        <v>0.13411848672575966</v>
      </c>
      <c r="Q13" s="178">
        <f t="shared" si="4"/>
        <v>0.14400000000000002</v>
      </c>
      <c r="V13" s="162" t="str">
        <f t="shared" si="0"/>
        <v/>
      </c>
      <c r="W13" s="178" t="str">
        <f t="shared" si="1"/>
        <v/>
      </c>
      <c r="AA13" s="153">
        <v>130</v>
      </c>
      <c r="BB13" s="153">
        <v>400</v>
      </c>
      <c r="BD13" s="153">
        <v>130</v>
      </c>
      <c r="BE13" s="153">
        <v>130</v>
      </c>
      <c r="BF13" s="153">
        <v>130</v>
      </c>
      <c r="BG13" s="153">
        <v>130</v>
      </c>
      <c r="BH13" s="153">
        <v>130</v>
      </c>
      <c r="BI13" s="153">
        <v>130</v>
      </c>
      <c r="BJ13" s="153">
        <v>130</v>
      </c>
      <c r="BK13" s="153">
        <v>130</v>
      </c>
      <c r="BL13" s="153">
        <v>130</v>
      </c>
      <c r="BM13" s="153">
        <v>130</v>
      </c>
      <c r="BN13" s="153">
        <v>130</v>
      </c>
      <c r="BP13" s="156">
        <v>130</v>
      </c>
      <c r="BQ13" s="156">
        <v>130</v>
      </c>
      <c r="BR13" s="156">
        <v>130</v>
      </c>
      <c r="BS13" s="156">
        <v>130</v>
      </c>
      <c r="BT13" s="156">
        <v>130</v>
      </c>
      <c r="BU13" s="156">
        <v>130</v>
      </c>
      <c r="BV13" s="156">
        <v>130</v>
      </c>
      <c r="BW13" s="156">
        <v>130</v>
      </c>
      <c r="BX13" s="156">
        <v>130</v>
      </c>
      <c r="BY13" s="156">
        <v>130</v>
      </c>
      <c r="BZ13" s="156">
        <v>130</v>
      </c>
      <c r="CA13" s="156">
        <v>130</v>
      </c>
      <c r="CB13" s="156">
        <v>130</v>
      </c>
      <c r="CC13" s="156">
        <v>130</v>
      </c>
      <c r="CD13" s="156">
        <v>130</v>
      </c>
      <c r="CE13" s="156">
        <v>130</v>
      </c>
      <c r="CF13" s="156">
        <v>130</v>
      </c>
      <c r="CG13" s="156">
        <v>130</v>
      </c>
      <c r="CH13" s="156">
        <v>130</v>
      </c>
      <c r="CJ13" s="156">
        <v>160</v>
      </c>
      <c r="CK13" s="156">
        <v>160</v>
      </c>
      <c r="CL13" s="156">
        <v>160</v>
      </c>
      <c r="CM13" s="156">
        <v>160</v>
      </c>
      <c r="CN13" s="156">
        <v>160</v>
      </c>
      <c r="CO13" s="156">
        <v>160</v>
      </c>
      <c r="CP13" s="156">
        <v>160</v>
      </c>
      <c r="CQ13" s="156">
        <v>160</v>
      </c>
      <c r="CR13" s="156">
        <v>160</v>
      </c>
      <c r="CS13" s="156">
        <v>160</v>
      </c>
      <c r="CT13" s="156">
        <v>160</v>
      </c>
      <c r="CU13" s="156">
        <v>160</v>
      </c>
      <c r="CV13" s="156">
        <v>160</v>
      </c>
      <c r="CW13" s="156">
        <v>160</v>
      </c>
      <c r="CX13" s="156">
        <v>160</v>
      </c>
      <c r="CZ13" s="156">
        <v>160</v>
      </c>
      <c r="DA13" s="156">
        <v>160</v>
      </c>
      <c r="DB13" s="156">
        <v>160</v>
      </c>
      <c r="DC13" s="156">
        <v>160</v>
      </c>
      <c r="DD13" s="156">
        <v>160</v>
      </c>
      <c r="DE13" s="156">
        <v>160</v>
      </c>
      <c r="DF13" s="156">
        <v>160</v>
      </c>
    </row>
    <row r="14" spans="1:110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P14" s="162" t="str">
        <f t="shared" si="3"/>
        <v/>
      </c>
      <c r="Q14" s="178" t="str">
        <f t="shared" si="4"/>
        <v/>
      </c>
      <c r="V14" s="162" t="str">
        <f t="shared" si="0"/>
        <v/>
      </c>
      <c r="W14" s="178" t="str">
        <f t="shared" si="1"/>
        <v/>
      </c>
    </row>
    <row r="15" spans="1:110" s="97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6"/>
      <c r="H15" s="56"/>
      <c r="I15" s="56"/>
      <c r="J15" s="56"/>
      <c r="K15" s="56"/>
      <c r="L15" s="165"/>
      <c r="M15" s="10"/>
      <c r="N15" s="56"/>
      <c r="O15" s="56"/>
      <c r="P15" s="162" t="str">
        <f t="shared" si="3"/>
        <v/>
      </c>
      <c r="Q15" s="178" t="str">
        <f t="shared" si="4"/>
        <v/>
      </c>
      <c r="R15" s="168"/>
      <c r="S15" s="56"/>
      <c r="T15" s="56"/>
      <c r="U15" s="56"/>
      <c r="V15" s="162" t="str">
        <f t="shared" si="0"/>
        <v/>
      </c>
      <c r="W15" s="178" t="str">
        <f t="shared" si="1"/>
        <v/>
      </c>
      <c r="X15" s="172"/>
      <c r="Y15" s="10"/>
      <c r="Z15" s="56"/>
      <c r="AA15" s="56"/>
      <c r="AB15" s="56"/>
      <c r="AC15" s="56"/>
      <c r="AD15" s="56"/>
      <c r="AE15" s="174"/>
      <c r="AF15" s="56"/>
      <c r="AG15" s="56"/>
      <c r="AH15" s="172"/>
      <c r="AI15" s="56"/>
      <c r="AJ15" s="56"/>
      <c r="AK15" s="56"/>
      <c r="AL15" s="56"/>
      <c r="AM15" s="56"/>
      <c r="AN15" s="56"/>
      <c r="AO15" s="172"/>
      <c r="AP15" s="56"/>
      <c r="AQ15" s="56"/>
      <c r="AR15" s="56"/>
      <c r="AS15" s="56"/>
      <c r="AT15" s="56"/>
      <c r="AU15" s="56"/>
      <c r="AV15" s="56"/>
      <c r="AW15" s="172"/>
      <c r="AX15" s="56"/>
      <c r="AY15" s="56"/>
      <c r="AZ15" s="56"/>
      <c r="BA15" s="172"/>
      <c r="BB15" s="56"/>
      <c r="BC15" s="10"/>
      <c r="BD15" s="56"/>
      <c r="BE15" s="56"/>
      <c r="BF15" s="56"/>
      <c r="BG15" s="56"/>
      <c r="BO15" s="145"/>
      <c r="CI15" s="145"/>
      <c r="CY15" s="145"/>
    </row>
    <row r="16" spans="1:110" s="97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6"/>
      <c r="H16" s="56"/>
      <c r="I16" s="56"/>
      <c r="J16" s="56"/>
      <c r="K16" s="56"/>
      <c r="L16" s="165"/>
      <c r="M16" s="10"/>
      <c r="N16" s="56"/>
      <c r="O16" s="56"/>
      <c r="P16" s="162" t="str">
        <f t="shared" si="3"/>
        <v/>
      </c>
      <c r="Q16" s="178" t="str">
        <f t="shared" si="4"/>
        <v/>
      </c>
      <c r="R16" s="168"/>
      <c r="S16" s="56"/>
      <c r="T16" s="56"/>
      <c r="U16" s="56"/>
      <c r="V16" s="162" t="str">
        <f t="shared" si="0"/>
        <v/>
      </c>
      <c r="W16" s="178" t="str">
        <f t="shared" si="1"/>
        <v/>
      </c>
      <c r="X16" s="172"/>
      <c r="Y16" s="10"/>
      <c r="Z16" s="56"/>
      <c r="AA16" s="56"/>
      <c r="AB16" s="56"/>
      <c r="AC16" s="56"/>
      <c r="AD16" s="56"/>
      <c r="AE16" s="174"/>
      <c r="AF16" s="56"/>
      <c r="AG16" s="56"/>
      <c r="AH16" s="172"/>
      <c r="AI16" s="56"/>
      <c r="AJ16" s="56"/>
      <c r="AK16" s="56"/>
      <c r="AL16" s="56"/>
      <c r="AM16" s="56"/>
      <c r="AN16" s="56"/>
      <c r="AO16" s="172"/>
      <c r="AP16" s="56"/>
      <c r="AQ16" s="56"/>
      <c r="AR16" s="56"/>
      <c r="AS16" s="56"/>
      <c r="AT16" s="56"/>
      <c r="AU16" s="56"/>
      <c r="AV16" s="56"/>
      <c r="AW16" s="172"/>
      <c r="AX16" s="56"/>
      <c r="AY16" s="56"/>
      <c r="AZ16" s="56"/>
      <c r="BA16" s="172"/>
      <c r="BB16" s="56"/>
      <c r="BC16" s="10"/>
      <c r="BD16" s="56"/>
      <c r="BE16" s="56"/>
      <c r="BF16" s="56"/>
      <c r="BG16" s="56"/>
      <c r="BO16" s="145"/>
      <c r="CI16" s="145"/>
      <c r="CY16" s="145"/>
    </row>
    <row r="17" spans="1:110" s="97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6"/>
      <c r="H17" s="56"/>
      <c r="I17" s="56"/>
      <c r="J17" s="56"/>
      <c r="K17" s="56"/>
      <c r="L17" s="165"/>
      <c r="M17" s="10"/>
      <c r="N17" s="56"/>
      <c r="O17" s="56"/>
      <c r="P17" s="162" t="str">
        <f t="shared" si="3"/>
        <v/>
      </c>
      <c r="Q17" s="178" t="str">
        <f t="shared" si="4"/>
        <v/>
      </c>
      <c r="R17" s="168"/>
      <c r="S17" s="56"/>
      <c r="T17" s="56"/>
      <c r="U17" s="56"/>
      <c r="V17" s="162" t="str">
        <f t="shared" si="0"/>
        <v/>
      </c>
      <c r="W17" s="178" t="str">
        <f t="shared" si="1"/>
        <v/>
      </c>
      <c r="X17" s="172"/>
      <c r="Y17" s="10"/>
      <c r="Z17" s="56"/>
      <c r="AA17" s="56"/>
      <c r="AB17" s="56"/>
      <c r="AC17" s="56"/>
      <c r="AD17" s="56"/>
      <c r="AE17" s="174"/>
      <c r="AF17" s="56"/>
      <c r="AG17" s="56"/>
      <c r="AH17" s="172"/>
      <c r="AI17" s="56"/>
      <c r="AJ17" s="56"/>
      <c r="AK17" s="56"/>
      <c r="AL17" s="56"/>
      <c r="AM17" s="56"/>
      <c r="AN17" s="56"/>
      <c r="AO17" s="172"/>
      <c r="AP17" s="56"/>
      <c r="AQ17" s="56"/>
      <c r="AR17" s="56"/>
      <c r="AS17" s="56"/>
      <c r="AT17" s="56"/>
      <c r="AU17" s="56"/>
      <c r="AV17" s="56"/>
      <c r="AW17" s="172"/>
      <c r="AX17" s="56"/>
      <c r="AY17" s="56"/>
      <c r="AZ17" s="56"/>
      <c r="BA17" s="172"/>
      <c r="BB17" s="56"/>
      <c r="BC17" s="10"/>
      <c r="BD17" s="56"/>
      <c r="BE17" s="56"/>
      <c r="BF17" s="56"/>
      <c r="BG17" s="56"/>
      <c r="BO17" s="145"/>
      <c r="CI17" s="145"/>
      <c r="CY17" s="145"/>
    </row>
    <row r="18" spans="1:110" s="97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6"/>
      <c r="H18" s="56"/>
      <c r="I18" s="56"/>
      <c r="J18" s="56"/>
      <c r="K18" s="56"/>
      <c r="L18" s="165"/>
      <c r="M18" s="10"/>
      <c r="N18" s="56"/>
      <c r="O18" s="56"/>
      <c r="P18" s="162" t="str">
        <f t="shared" si="3"/>
        <v/>
      </c>
      <c r="Q18" s="178" t="str">
        <f t="shared" si="4"/>
        <v/>
      </c>
      <c r="R18" s="168"/>
      <c r="S18" s="56"/>
      <c r="T18" s="56"/>
      <c r="U18" s="56"/>
      <c r="V18" s="162" t="str">
        <f t="shared" si="0"/>
        <v/>
      </c>
      <c r="W18" s="178" t="str">
        <f t="shared" si="1"/>
        <v/>
      </c>
      <c r="X18" s="172"/>
      <c r="Y18" s="10"/>
      <c r="Z18" s="56"/>
      <c r="AA18" s="56"/>
      <c r="AB18" s="56"/>
      <c r="AC18" s="56"/>
      <c r="AD18" s="56"/>
      <c r="AE18" s="174"/>
      <c r="AF18" s="56"/>
      <c r="AG18" s="56"/>
      <c r="AH18" s="172"/>
      <c r="AI18" s="56"/>
      <c r="AJ18" s="56"/>
      <c r="AK18" s="56"/>
      <c r="AL18" s="56"/>
      <c r="AM18" s="56"/>
      <c r="AN18" s="56"/>
      <c r="AO18" s="172"/>
      <c r="AP18" s="56"/>
      <c r="AQ18" s="56"/>
      <c r="AR18" s="56"/>
      <c r="AS18" s="56"/>
      <c r="AT18" s="56"/>
      <c r="AU18" s="56"/>
      <c r="AV18" s="56"/>
      <c r="AW18" s="172"/>
      <c r="AX18" s="56"/>
      <c r="AY18" s="56"/>
      <c r="AZ18" s="56"/>
      <c r="BA18" s="172"/>
      <c r="BB18" s="56"/>
      <c r="BC18" s="10"/>
      <c r="BD18" s="56"/>
      <c r="BE18" s="56"/>
      <c r="BF18" s="56"/>
      <c r="BG18" s="56"/>
      <c r="BO18" s="145"/>
      <c r="CI18" s="145"/>
      <c r="CY18" s="145"/>
    </row>
    <row r="19" spans="1:110" s="97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6"/>
      <c r="H19" s="56"/>
      <c r="I19" s="56"/>
      <c r="J19" s="56"/>
      <c r="K19" s="56"/>
      <c r="L19" s="165"/>
      <c r="M19" s="10"/>
      <c r="N19" s="56"/>
      <c r="O19" s="56"/>
      <c r="P19" s="162" t="str">
        <f t="shared" si="3"/>
        <v/>
      </c>
      <c r="Q19" s="178" t="str">
        <f t="shared" si="4"/>
        <v/>
      </c>
      <c r="R19" s="168"/>
      <c r="S19" s="56"/>
      <c r="T19" s="56"/>
      <c r="U19" s="56"/>
      <c r="V19" s="162" t="str">
        <f t="shared" si="0"/>
        <v/>
      </c>
      <c r="W19" s="178" t="str">
        <f t="shared" si="1"/>
        <v/>
      </c>
      <c r="X19" s="172"/>
      <c r="Y19" s="10"/>
      <c r="Z19" s="56"/>
      <c r="AA19" s="56"/>
      <c r="AB19" s="56"/>
      <c r="AC19" s="56"/>
      <c r="AD19" s="56"/>
      <c r="AE19" s="174"/>
      <c r="AF19" s="56"/>
      <c r="AG19" s="56"/>
      <c r="AH19" s="172"/>
      <c r="AI19" s="56"/>
      <c r="AJ19" s="56"/>
      <c r="AK19" s="56"/>
      <c r="AL19" s="56"/>
      <c r="AM19" s="56"/>
      <c r="AN19" s="56"/>
      <c r="AO19" s="172"/>
      <c r="AP19" s="56"/>
      <c r="AQ19" s="56"/>
      <c r="AR19" s="56"/>
      <c r="AS19" s="56"/>
      <c r="AT19" s="56"/>
      <c r="AU19" s="56"/>
      <c r="AV19" s="56"/>
      <c r="AW19" s="172"/>
      <c r="AX19" s="56"/>
      <c r="AY19" s="56"/>
      <c r="AZ19" s="56"/>
      <c r="BA19" s="172"/>
      <c r="BB19" s="56"/>
      <c r="BC19" s="10"/>
      <c r="BD19" s="56"/>
      <c r="BE19" s="56"/>
      <c r="BF19" s="56"/>
      <c r="BG19" s="56"/>
      <c r="BO19" s="145"/>
      <c r="CI19" s="145"/>
      <c r="CY19" s="145"/>
    </row>
    <row r="20" spans="1:110" s="97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6"/>
      <c r="H20" s="56"/>
      <c r="I20" s="56"/>
      <c r="J20" s="56"/>
      <c r="K20" s="56"/>
      <c r="L20" s="165"/>
      <c r="M20" s="10"/>
      <c r="N20" s="56"/>
      <c r="O20" s="56"/>
      <c r="P20" s="162" t="str">
        <f t="shared" si="3"/>
        <v/>
      </c>
      <c r="Q20" s="178" t="str">
        <f t="shared" si="4"/>
        <v/>
      </c>
      <c r="R20" s="168"/>
      <c r="S20" s="56"/>
      <c r="T20" s="56"/>
      <c r="U20" s="56"/>
      <c r="V20" s="162" t="str">
        <f t="shared" si="0"/>
        <v/>
      </c>
      <c r="W20" s="178" t="str">
        <f t="shared" si="1"/>
        <v/>
      </c>
      <c r="X20" s="172"/>
      <c r="Y20" s="10"/>
      <c r="Z20" s="56"/>
      <c r="AA20" s="56"/>
      <c r="AB20" s="56"/>
      <c r="AC20" s="56"/>
      <c r="AD20" s="56"/>
      <c r="AE20" s="174"/>
      <c r="AF20" s="56"/>
      <c r="AG20" s="56"/>
      <c r="AH20" s="172"/>
      <c r="AI20" s="56"/>
      <c r="AJ20" s="56"/>
      <c r="AK20" s="56"/>
      <c r="AL20" s="56"/>
      <c r="AM20" s="56"/>
      <c r="AN20" s="56"/>
      <c r="AO20" s="172"/>
      <c r="AP20" s="56"/>
      <c r="AQ20" s="56"/>
      <c r="AR20" s="56"/>
      <c r="AS20" s="56"/>
      <c r="AT20" s="56"/>
      <c r="AU20" s="56"/>
      <c r="AV20" s="56"/>
      <c r="AW20" s="172"/>
      <c r="AX20" s="56"/>
      <c r="AY20" s="56"/>
      <c r="AZ20" s="56"/>
      <c r="BA20" s="172"/>
      <c r="BB20" s="56"/>
      <c r="BC20" s="10"/>
      <c r="BD20" s="56"/>
      <c r="BE20" s="56"/>
      <c r="BF20" s="56"/>
      <c r="BG20" s="56"/>
      <c r="BO20" s="145"/>
      <c r="CI20" s="145"/>
      <c r="CY20" s="145"/>
    </row>
    <row r="21" spans="1:110" s="97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6"/>
      <c r="H21" s="56"/>
      <c r="I21" s="56"/>
      <c r="J21" s="56"/>
      <c r="K21" s="56"/>
      <c r="L21" s="165"/>
      <c r="M21" s="10"/>
      <c r="N21" s="56"/>
      <c r="O21" s="56"/>
      <c r="P21" s="162" t="str">
        <f t="shared" si="3"/>
        <v/>
      </c>
      <c r="Q21" s="178" t="str">
        <f t="shared" si="4"/>
        <v/>
      </c>
      <c r="R21" s="168"/>
      <c r="S21" s="56"/>
      <c r="T21" s="56"/>
      <c r="U21" s="56"/>
      <c r="V21" s="162" t="str">
        <f t="shared" si="0"/>
        <v/>
      </c>
      <c r="W21" s="178" t="str">
        <f t="shared" si="1"/>
        <v/>
      </c>
      <c r="X21" s="172"/>
      <c r="Y21" s="10"/>
      <c r="Z21" s="56"/>
      <c r="AA21" s="56"/>
      <c r="AB21" s="56"/>
      <c r="AC21" s="56"/>
      <c r="AD21" s="56"/>
      <c r="AE21" s="174"/>
      <c r="AF21" s="56"/>
      <c r="AG21" s="56"/>
      <c r="AH21" s="172"/>
      <c r="AI21" s="56"/>
      <c r="AJ21" s="56"/>
      <c r="AK21" s="56"/>
      <c r="AL21" s="56"/>
      <c r="AM21" s="56"/>
      <c r="AN21" s="56"/>
      <c r="AO21" s="172"/>
      <c r="AP21" s="56"/>
      <c r="AQ21" s="56"/>
      <c r="AR21" s="56"/>
      <c r="AS21" s="56"/>
      <c r="AT21" s="56"/>
      <c r="AU21" s="56"/>
      <c r="AV21" s="56"/>
      <c r="AW21" s="172"/>
      <c r="AX21" s="56"/>
      <c r="AY21" s="56"/>
      <c r="AZ21" s="56"/>
      <c r="BA21" s="172"/>
      <c r="BB21" s="56"/>
      <c r="BC21" s="10"/>
      <c r="BD21" s="56"/>
      <c r="BE21" s="56"/>
      <c r="BF21" s="56"/>
      <c r="BG21" s="56"/>
      <c r="BO21" s="145"/>
      <c r="CI21" s="145"/>
      <c r="CY21" s="145"/>
    </row>
    <row r="22" spans="1:110" s="97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6"/>
      <c r="H22" s="56"/>
      <c r="I22" s="56"/>
      <c r="J22" s="56"/>
      <c r="K22" s="56"/>
      <c r="L22" s="165"/>
      <c r="M22" s="10"/>
      <c r="N22" s="56"/>
      <c r="O22" s="56"/>
      <c r="P22" s="162" t="str">
        <f t="shared" si="3"/>
        <v/>
      </c>
      <c r="Q22" s="178" t="str">
        <f t="shared" si="4"/>
        <v/>
      </c>
      <c r="R22" s="168"/>
      <c r="S22" s="56"/>
      <c r="T22" s="56"/>
      <c r="U22" s="56"/>
      <c r="V22" s="162" t="str">
        <f t="shared" si="0"/>
        <v/>
      </c>
      <c r="W22" s="178" t="str">
        <f t="shared" si="1"/>
        <v/>
      </c>
      <c r="X22" s="172"/>
      <c r="Y22" s="10"/>
      <c r="Z22" s="56"/>
      <c r="AA22" s="56"/>
      <c r="AB22" s="56"/>
      <c r="AC22" s="56"/>
      <c r="AD22" s="56"/>
      <c r="AE22" s="174"/>
      <c r="AF22" s="56"/>
      <c r="AG22" s="56"/>
      <c r="AH22" s="172"/>
      <c r="AI22" s="56"/>
      <c r="AJ22" s="56"/>
      <c r="AK22" s="56"/>
      <c r="AL22" s="56"/>
      <c r="AM22" s="56"/>
      <c r="AN22" s="56"/>
      <c r="AO22" s="172"/>
      <c r="AP22" s="56"/>
      <c r="AQ22" s="56"/>
      <c r="AR22" s="56"/>
      <c r="AS22" s="56"/>
      <c r="AT22" s="56"/>
      <c r="AU22" s="56"/>
      <c r="AV22" s="56"/>
      <c r="AW22" s="172"/>
      <c r="AX22" s="56"/>
      <c r="AY22" s="56"/>
      <c r="AZ22" s="56"/>
      <c r="BA22" s="172"/>
      <c r="BB22" s="56"/>
      <c r="BC22" s="10"/>
      <c r="BD22" s="56"/>
      <c r="BE22" s="56"/>
      <c r="BF22" s="56"/>
      <c r="BG22" s="56"/>
      <c r="BO22" s="145"/>
      <c r="CI22" s="145"/>
      <c r="CY22" s="145"/>
    </row>
    <row r="23" spans="1:110" s="97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6"/>
      <c r="H23" s="56"/>
      <c r="I23" s="56"/>
      <c r="J23" s="56"/>
      <c r="K23" s="56"/>
      <c r="L23" s="165"/>
      <c r="M23" s="10"/>
      <c r="N23" s="56"/>
      <c r="O23" s="56"/>
      <c r="P23" s="162" t="str">
        <f t="shared" si="3"/>
        <v/>
      </c>
      <c r="Q23" s="178" t="str">
        <f t="shared" si="4"/>
        <v/>
      </c>
      <c r="R23" s="168"/>
      <c r="S23" s="56"/>
      <c r="T23" s="56"/>
      <c r="U23" s="56"/>
      <c r="V23" s="162" t="str">
        <f t="shared" si="0"/>
        <v/>
      </c>
      <c r="W23" s="178" t="str">
        <f t="shared" si="1"/>
        <v/>
      </c>
      <c r="X23" s="172"/>
      <c r="Y23" s="10"/>
      <c r="Z23" s="56"/>
      <c r="AA23" s="56"/>
      <c r="AB23" s="56"/>
      <c r="AC23" s="56"/>
      <c r="AD23" s="56"/>
      <c r="AE23" s="174"/>
      <c r="AF23" s="56"/>
      <c r="AG23" s="56"/>
      <c r="AH23" s="172"/>
      <c r="AI23" s="56"/>
      <c r="AJ23" s="56"/>
      <c r="AK23" s="56"/>
      <c r="AL23" s="56"/>
      <c r="AM23" s="56"/>
      <c r="AN23" s="56"/>
      <c r="AO23" s="172"/>
      <c r="AP23" s="56"/>
      <c r="AQ23" s="56"/>
      <c r="AR23" s="56"/>
      <c r="AS23" s="56"/>
      <c r="AT23" s="56"/>
      <c r="AU23" s="56"/>
      <c r="AV23" s="56"/>
      <c r="AW23" s="172"/>
      <c r="AX23" s="56"/>
      <c r="AY23" s="56"/>
      <c r="AZ23" s="56"/>
      <c r="BA23" s="172"/>
      <c r="BB23" s="56"/>
      <c r="BC23" s="10"/>
      <c r="BD23" s="56"/>
      <c r="BE23" s="56"/>
      <c r="BF23" s="56"/>
      <c r="BG23" s="56"/>
      <c r="BO23" s="145"/>
      <c r="CI23" s="145"/>
      <c r="CY23" s="145"/>
    </row>
    <row r="24" spans="1:110" s="97" customFormat="1" ht="17.25" thickBot="1" x14ac:dyDescent="0.2">
      <c r="A24" s="11">
        <f t="shared" si="2"/>
        <v>60010020</v>
      </c>
      <c r="B24" s="112">
        <v>6</v>
      </c>
      <c r="C24" s="12">
        <v>0</v>
      </c>
      <c r="D24" s="13">
        <v>1</v>
      </c>
      <c r="E24" s="112">
        <v>0</v>
      </c>
      <c r="F24" s="113">
        <v>20</v>
      </c>
      <c r="G24" s="56"/>
      <c r="H24" s="56"/>
      <c r="I24" s="56"/>
      <c r="J24" s="56"/>
      <c r="K24" s="56"/>
      <c r="L24" s="165"/>
      <c r="M24" s="10"/>
      <c r="N24" s="56"/>
      <c r="O24" s="56"/>
      <c r="P24" s="162" t="str">
        <f t="shared" si="3"/>
        <v/>
      </c>
      <c r="Q24" s="178" t="str">
        <f t="shared" si="4"/>
        <v/>
      </c>
      <c r="R24" s="168"/>
      <c r="S24" s="56"/>
      <c r="T24" s="56"/>
      <c r="U24" s="56"/>
      <c r="V24" s="162" t="str">
        <f t="shared" si="0"/>
        <v/>
      </c>
      <c r="W24" s="178" t="str">
        <f t="shared" si="1"/>
        <v/>
      </c>
      <c r="X24" s="172"/>
      <c r="Y24" s="10"/>
      <c r="Z24" s="56"/>
      <c r="AA24" s="56"/>
      <c r="AB24" s="56"/>
      <c r="AC24" s="56"/>
      <c r="AD24" s="56"/>
      <c r="AE24" s="174"/>
      <c r="AF24" s="56"/>
      <c r="AG24" s="56"/>
      <c r="AH24" s="172"/>
      <c r="AI24" s="56"/>
      <c r="AJ24" s="56"/>
      <c r="AK24" s="56"/>
      <c r="AL24" s="56"/>
      <c r="AM24" s="56"/>
      <c r="AN24" s="56"/>
      <c r="AO24" s="172"/>
      <c r="AP24" s="56"/>
      <c r="AQ24" s="56"/>
      <c r="AR24" s="56"/>
      <c r="AS24" s="56"/>
      <c r="AT24" s="56"/>
      <c r="AU24" s="56"/>
      <c r="AV24" s="56"/>
      <c r="AW24" s="172"/>
      <c r="AX24" s="56"/>
      <c r="AY24" s="56"/>
      <c r="AZ24" s="56"/>
      <c r="BA24" s="172"/>
      <c r="BB24" s="56"/>
      <c r="BC24" s="10"/>
      <c r="BD24" s="56"/>
      <c r="BE24" s="56"/>
      <c r="BF24" s="56"/>
      <c r="BG24" s="56"/>
      <c r="BO24" s="145"/>
      <c r="CI24" s="145"/>
      <c r="CY24" s="145"/>
    </row>
    <row r="25" spans="1:110" s="114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7" t="s">
        <v>1080</v>
      </c>
      <c r="H25" s="57">
        <v>1</v>
      </c>
      <c r="I25" s="57" t="s">
        <v>1196</v>
      </c>
      <c r="J25" s="57" t="s">
        <v>1209</v>
      </c>
      <c r="K25" s="57"/>
      <c r="L25" s="167">
        <v>360</v>
      </c>
      <c r="M25" s="17"/>
      <c r="N25" s="57"/>
      <c r="O25" s="57">
        <v>10</v>
      </c>
      <c r="P25" s="163">
        <f t="shared" si="3"/>
        <v>0.13411848672575966</v>
      </c>
      <c r="Q25" s="179">
        <f t="shared" si="4"/>
        <v>0.14400000000000002</v>
      </c>
      <c r="R25" s="169"/>
      <c r="S25" s="57"/>
      <c r="T25" s="57"/>
      <c r="U25" s="57"/>
      <c r="V25" s="163" t="str">
        <f t="shared" si="0"/>
        <v/>
      </c>
      <c r="W25" s="179" t="str">
        <f t="shared" si="1"/>
        <v/>
      </c>
      <c r="X25" s="173"/>
      <c r="Y25" s="17"/>
      <c r="Z25" s="57"/>
      <c r="AA25" s="57"/>
      <c r="AB25" s="57"/>
      <c r="AC25" s="57"/>
      <c r="AD25" s="57"/>
      <c r="AE25" s="176"/>
      <c r="AF25" s="57"/>
      <c r="AG25" s="57"/>
      <c r="AH25" s="173"/>
      <c r="AI25" s="57"/>
      <c r="AJ25" s="57"/>
      <c r="AK25" s="57"/>
      <c r="AL25" s="57"/>
      <c r="AM25" s="57"/>
      <c r="AN25" s="57"/>
      <c r="AO25" s="173"/>
      <c r="AP25" s="57"/>
      <c r="AQ25" s="57"/>
      <c r="AR25" s="57"/>
      <c r="AS25" s="57"/>
      <c r="AT25" s="57"/>
      <c r="AU25" s="57"/>
      <c r="AV25" s="57"/>
      <c r="AW25" s="173"/>
      <c r="AX25" s="57"/>
      <c r="AY25" s="57"/>
      <c r="AZ25" s="57"/>
      <c r="BA25" s="173"/>
      <c r="BB25" s="154">
        <v>120</v>
      </c>
      <c r="BC25" s="17"/>
      <c r="BD25" s="154">
        <v>140</v>
      </c>
      <c r="BE25" s="154">
        <v>140</v>
      </c>
      <c r="BF25" s="154">
        <v>140</v>
      </c>
      <c r="BG25" s="154">
        <v>140</v>
      </c>
      <c r="BH25" s="154">
        <v>140</v>
      </c>
      <c r="BI25" s="154">
        <v>140</v>
      </c>
      <c r="BJ25" s="154">
        <v>140</v>
      </c>
      <c r="BK25" s="154">
        <v>140</v>
      </c>
      <c r="BL25" s="154">
        <v>140</v>
      </c>
      <c r="BM25" s="154">
        <v>200</v>
      </c>
      <c r="BN25" s="154">
        <v>140</v>
      </c>
      <c r="BO25" s="144"/>
      <c r="BP25" s="155">
        <v>110</v>
      </c>
      <c r="BQ25" s="155">
        <v>110</v>
      </c>
      <c r="BR25" s="155">
        <v>110</v>
      </c>
      <c r="BS25" s="155">
        <v>110</v>
      </c>
      <c r="BT25" s="155">
        <v>110</v>
      </c>
      <c r="BU25" s="155">
        <v>110</v>
      </c>
      <c r="BV25" s="155">
        <v>110</v>
      </c>
      <c r="BW25" s="155">
        <v>110</v>
      </c>
      <c r="BX25" s="155">
        <v>110</v>
      </c>
      <c r="BY25" s="155">
        <v>110</v>
      </c>
      <c r="BZ25" s="155">
        <v>110</v>
      </c>
      <c r="CA25" s="155">
        <v>110</v>
      </c>
      <c r="CB25" s="155">
        <v>110</v>
      </c>
      <c r="CC25" s="155">
        <v>110</v>
      </c>
      <c r="CD25" s="155">
        <v>110</v>
      </c>
      <c r="CE25" s="155">
        <v>110</v>
      </c>
      <c r="CF25" s="155">
        <v>110</v>
      </c>
      <c r="CG25" s="155">
        <v>110</v>
      </c>
      <c r="CH25" s="155">
        <v>110</v>
      </c>
      <c r="CI25" s="144"/>
      <c r="CJ25" s="155">
        <v>150</v>
      </c>
      <c r="CK25" s="155">
        <v>150</v>
      </c>
      <c r="CL25" s="155">
        <v>150</v>
      </c>
      <c r="CM25" s="155">
        <v>150</v>
      </c>
      <c r="CN25" s="155">
        <v>150</v>
      </c>
      <c r="CO25" s="155">
        <v>150</v>
      </c>
      <c r="CP25" s="155">
        <v>150</v>
      </c>
      <c r="CQ25" s="155">
        <v>150</v>
      </c>
      <c r="CR25" s="155">
        <v>150</v>
      </c>
      <c r="CS25" s="155">
        <v>150</v>
      </c>
      <c r="CT25" s="155">
        <v>150</v>
      </c>
      <c r="CU25" s="155">
        <v>150</v>
      </c>
      <c r="CV25" s="155">
        <v>150</v>
      </c>
      <c r="CW25" s="155">
        <v>150</v>
      </c>
      <c r="CX25" s="155">
        <v>150</v>
      </c>
      <c r="CY25" s="144"/>
      <c r="CZ25" s="154">
        <v>140</v>
      </c>
      <c r="DA25" s="154">
        <v>140</v>
      </c>
      <c r="DB25" s="154">
        <v>140</v>
      </c>
      <c r="DC25" s="154">
        <v>140</v>
      </c>
      <c r="DD25" s="154">
        <v>200</v>
      </c>
      <c r="DE25" s="154">
        <v>140</v>
      </c>
      <c r="DF25" s="154">
        <v>140</v>
      </c>
    </row>
    <row r="26" spans="1:110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6" t="s">
        <v>1081</v>
      </c>
      <c r="H26" s="56">
        <v>3</v>
      </c>
      <c r="I26" s="56" t="s">
        <v>1196</v>
      </c>
      <c r="J26" s="56" t="s">
        <v>1209</v>
      </c>
      <c r="L26" s="165">
        <v>360</v>
      </c>
      <c r="O26" s="56">
        <v>8</v>
      </c>
      <c r="P26" s="162">
        <f t="shared" si="3"/>
        <v>0.10881621829913368</v>
      </c>
      <c r="Q26" s="178">
        <f t="shared" si="4"/>
        <v>0.11520000000000001</v>
      </c>
      <c r="V26" s="162" t="str">
        <f t="shared" si="0"/>
        <v/>
      </c>
      <c r="W26" s="178" t="str">
        <f t="shared" si="1"/>
        <v/>
      </c>
      <c r="BB26" s="153">
        <v>140</v>
      </c>
      <c r="BD26" s="153">
        <v>180</v>
      </c>
      <c r="BE26" s="153">
        <v>180</v>
      </c>
      <c r="BF26" s="153">
        <v>180</v>
      </c>
      <c r="BG26" s="153">
        <v>180</v>
      </c>
      <c r="BH26" s="153">
        <v>180</v>
      </c>
      <c r="BI26" s="153">
        <v>180</v>
      </c>
      <c r="BJ26" s="153">
        <v>180</v>
      </c>
      <c r="BK26" s="153">
        <v>180</v>
      </c>
      <c r="BL26" s="153">
        <v>180</v>
      </c>
      <c r="BM26" s="153">
        <v>400</v>
      </c>
      <c r="BN26" s="153">
        <v>180</v>
      </c>
      <c r="BP26" s="156">
        <v>120</v>
      </c>
      <c r="BQ26" s="156">
        <v>120</v>
      </c>
      <c r="BR26" s="156">
        <v>120</v>
      </c>
      <c r="BS26" s="156">
        <v>120</v>
      </c>
      <c r="BT26" s="156">
        <v>120</v>
      </c>
      <c r="BU26" s="156">
        <v>120</v>
      </c>
      <c r="BV26" s="156">
        <v>120</v>
      </c>
      <c r="BW26" s="156">
        <v>120</v>
      </c>
      <c r="BX26" s="156">
        <v>120</v>
      </c>
      <c r="BY26" s="156">
        <v>120</v>
      </c>
      <c r="BZ26" s="156">
        <v>120</v>
      </c>
      <c r="CA26" s="156">
        <v>120</v>
      </c>
      <c r="CB26" s="156">
        <v>120</v>
      </c>
      <c r="CC26" s="156">
        <v>120</v>
      </c>
      <c r="CD26" s="156">
        <v>120</v>
      </c>
      <c r="CE26" s="156">
        <v>120</v>
      </c>
      <c r="CF26" s="156">
        <v>120</v>
      </c>
      <c r="CG26" s="156">
        <v>120</v>
      </c>
      <c r="CH26" s="156">
        <v>120</v>
      </c>
      <c r="CJ26" s="156">
        <v>200</v>
      </c>
      <c r="CK26" s="156">
        <v>200</v>
      </c>
      <c r="CL26" s="156">
        <v>200</v>
      </c>
      <c r="CM26" s="156">
        <v>200</v>
      </c>
      <c r="CN26" s="156">
        <v>200</v>
      </c>
      <c r="CO26" s="156">
        <v>200</v>
      </c>
      <c r="CP26" s="156">
        <v>200</v>
      </c>
      <c r="CQ26" s="156">
        <v>200</v>
      </c>
      <c r="CR26" s="156">
        <v>200</v>
      </c>
      <c r="CS26" s="156">
        <v>200</v>
      </c>
      <c r="CT26" s="156">
        <v>200</v>
      </c>
      <c r="CU26" s="156">
        <v>200</v>
      </c>
      <c r="CV26" s="156">
        <v>200</v>
      </c>
      <c r="CW26" s="156">
        <v>200</v>
      </c>
      <c r="CX26" s="156">
        <v>200</v>
      </c>
      <c r="CZ26" s="153">
        <v>180</v>
      </c>
      <c r="DA26" s="153">
        <v>180</v>
      </c>
      <c r="DB26" s="153">
        <v>180</v>
      </c>
      <c r="DC26" s="153">
        <v>180</v>
      </c>
      <c r="DD26" s="153">
        <v>400</v>
      </c>
      <c r="DE26" s="153">
        <v>180</v>
      </c>
      <c r="DF26" s="153">
        <v>180</v>
      </c>
    </row>
    <row r="27" spans="1:110" x14ac:dyDescent="0.15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6" t="s">
        <v>1082</v>
      </c>
      <c r="H27" s="56">
        <v>5</v>
      </c>
      <c r="I27" s="56" t="s">
        <v>1196</v>
      </c>
      <c r="J27" s="56" t="s">
        <v>1209</v>
      </c>
      <c r="L27" s="165">
        <v>360</v>
      </c>
      <c r="O27" s="56">
        <v>5</v>
      </c>
      <c r="P27" s="162">
        <f t="shared" si="3"/>
        <v>6.9470779198735899E-2</v>
      </c>
      <c r="Q27" s="178">
        <f t="shared" si="4"/>
        <v>7.2000000000000008E-2</v>
      </c>
      <c r="V27" s="162" t="str">
        <f t="shared" si="0"/>
        <v/>
      </c>
      <c r="W27" s="178" t="str">
        <f t="shared" si="1"/>
        <v/>
      </c>
      <c r="BB27" s="153">
        <v>160</v>
      </c>
      <c r="BD27" s="153">
        <v>220</v>
      </c>
      <c r="BE27" s="153">
        <v>220</v>
      </c>
      <c r="BF27" s="153">
        <v>220</v>
      </c>
      <c r="BG27" s="153">
        <v>220</v>
      </c>
      <c r="BH27" s="153">
        <v>220</v>
      </c>
      <c r="BI27" s="153">
        <v>220</v>
      </c>
      <c r="BJ27" s="153">
        <v>220</v>
      </c>
      <c r="BK27" s="153">
        <v>220</v>
      </c>
      <c r="BL27" s="153">
        <v>220</v>
      </c>
      <c r="BM27" s="153">
        <v>800</v>
      </c>
      <c r="BN27" s="153">
        <v>220</v>
      </c>
      <c r="BP27" s="156">
        <v>130</v>
      </c>
      <c r="BQ27" s="156">
        <v>130</v>
      </c>
      <c r="BR27" s="156">
        <v>130</v>
      </c>
      <c r="BS27" s="156">
        <v>130</v>
      </c>
      <c r="BT27" s="156">
        <v>130</v>
      </c>
      <c r="BU27" s="156">
        <v>130</v>
      </c>
      <c r="BV27" s="156">
        <v>130</v>
      </c>
      <c r="BW27" s="156">
        <v>130</v>
      </c>
      <c r="BX27" s="156">
        <v>130</v>
      </c>
      <c r="BY27" s="156">
        <v>130</v>
      </c>
      <c r="BZ27" s="156">
        <v>130</v>
      </c>
      <c r="CA27" s="156">
        <v>130</v>
      </c>
      <c r="CB27" s="156">
        <v>130</v>
      </c>
      <c r="CC27" s="156">
        <v>130</v>
      </c>
      <c r="CD27" s="156">
        <v>130</v>
      </c>
      <c r="CE27" s="156">
        <v>130</v>
      </c>
      <c r="CF27" s="156">
        <v>130</v>
      </c>
      <c r="CG27" s="156">
        <v>130</v>
      </c>
      <c r="CH27" s="156">
        <v>130</v>
      </c>
      <c r="CJ27" s="156">
        <v>250</v>
      </c>
      <c r="CK27" s="156">
        <v>250</v>
      </c>
      <c r="CL27" s="156">
        <v>250</v>
      </c>
      <c r="CM27" s="156">
        <v>250</v>
      </c>
      <c r="CN27" s="156">
        <v>250</v>
      </c>
      <c r="CO27" s="156">
        <v>250</v>
      </c>
      <c r="CP27" s="156">
        <v>250</v>
      </c>
      <c r="CQ27" s="156">
        <v>250</v>
      </c>
      <c r="CR27" s="156">
        <v>250</v>
      </c>
      <c r="CS27" s="156">
        <v>250</v>
      </c>
      <c r="CT27" s="156">
        <v>250</v>
      </c>
      <c r="CU27" s="156">
        <v>250</v>
      </c>
      <c r="CV27" s="156">
        <v>250</v>
      </c>
      <c r="CW27" s="156">
        <v>250</v>
      </c>
      <c r="CX27" s="156">
        <v>250</v>
      </c>
      <c r="CZ27" s="153">
        <v>220</v>
      </c>
      <c r="DA27" s="153">
        <v>220</v>
      </c>
      <c r="DB27" s="153">
        <v>220</v>
      </c>
      <c r="DC27" s="153">
        <v>220</v>
      </c>
      <c r="DD27" s="153">
        <v>800</v>
      </c>
      <c r="DE27" s="153">
        <v>220</v>
      </c>
      <c r="DF27" s="153">
        <v>220</v>
      </c>
    </row>
    <row r="28" spans="1:110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6" t="s">
        <v>1094</v>
      </c>
      <c r="H28" s="56">
        <v>1</v>
      </c>
      <c r="I28" s="56" t="s">
        <v>1211</v>
      </c>
      <c r="J28" s="56" t="s">
        <v>1210</v>
      </c>
      <c r="L28" s="165">
        <v>360</v>
      </c>
      <c r="P28" s="162" t="str">
        <f t="shared" si="3"/>
        <v/>
      </c>
      <c r="Q28" s="178" t="str">
        <f t="shared" si="4"/>
        <v/>
      </c>
      <c r="V28" s="162" t="str">
        <f t="shared" si="0"/>
        <v/>
      </c>
      <c r="W28" s="178" t="str">
        <f t="shared" si="1"/>
        <v/>
      </c>
      <c r="AG28" s="153">
        <v>110</v>
      </c>
      <c r="BB28" s="153">
        <v>70</v>
      </c>
      <c r="BD28" s="153">
        <v>80</v>
      </c>
      <c r="BE28" s="153">
        <v>80</v>
      </c>
      <c r="BF28" s="153">
        <v>80</v>
      </c>
      <c r="BG28" s="153">
        <v>80</v>
      </c>
      <c r="BH28" s="153">
        <v>80</v>
      </c>
      <c r="BI28" s="153">
        <v>80</v>
      </c>
      <c r="BJ28" s="153">
        <v>80</v>
      </c>
      <c r="BK28" s="153">
        <v>80</v>
      </c>
      <c r="BL28" s="153">
        <v>80</v>
      </c>
      <c r="BM28" s="153">
        <v>50</v>
      </c>
      <c r="BN28" s="153">
        <v>80</v>
      </c>
      <c r="BP28" s="153">
        <v>80</v>
      </c>
      <c r="BQ28" s="153">
        <v>80</v>
      </c>
      <c r="BR28" s="153">
        <v>80</v>
      </c>
      <c r="BS28" s="153">
        <v>80</v>
      </c>
      <c r="BT28" s="153">
        <v>80</v>
      </c>
      <c r="BU28" s="153">
        <v>80</v>
      </c>
      <c r="BV28" s="153">
        <v>80</v>
      </c>
      <c r="BW28" s="153">
        <v>80</v>
      </c>
      <c r="BX28" s="153">
        <v>80</v>
      </c>
      <c r="BY28" s="153">
        <v>80</v>
      </c>
      <c r="BZ28" s="153">
        <v>80</v>
      </c>
      <c r="CA28" s="153">
        <v>80</v>
      </c>
      <c r="CB28" s="153">
        <v>80</v>
      </c>
      <c r="CC28" s="153">
        <v>80</v>
      </c>
      <c r="CD28" s="153">
        <v>80</v>
      </c>
      <c r="CE28" s="153">
        <v>80</v>
      </c>
      <c r="CF28" s="153">
        <v>80</v>
      </c>
      <c r="CG28" s="153">
        <v>80</v>
      </c>
      <c r="CH28" s="153">
        <v>80</v>
      </c>
      <c r="CJ28" s="153">
        <v>70</v>
      </c>
      <c r="CK28" s="153">
        <v>70</v>
      </c>
      <c r="CL28" s="153">
        <v>70</v>
      </c>
      <c r="CM28" s="153">
        <v>70</v>
      </c>
      <c r="CN28" s="153">
        <v>70</v>
      </c>
      <c r="CO28" s="153">
        <v>70</v>
      </c>
      <c r="CP28" s="153">
        <v>70</v>
      </c>
      <c r="CQ28" s="153">
        <v>70</v>
      </c>
      <c r="CR28" s="153">
        <v>70</v>
      </c>
      <c r="CS28" s="153">
        <v>70</v>
      </c>
      <c r="CT28" s="153">
        <v>70</v>
      </c>
      <c r="CU28" s="153">
        <v>70</v>
      </c>
      <c r="CV28" s="153">
        <v>70</v>
      </c>
      <c r="CW28" s="153">
        <v>70</v>
      </c>
      <c r="CX28" s="153">
        <v>70</v>
      </c>
      <c r="CZ28" s="153">
        <v>70</v>
      </c>
      <c r="DA28" s="153">
        <v>70</v>
      </c>
      <c r="DB28" s="153">
        <v>70</v>
      </c>
      <c r="DC28" s="153">
        <v>70</v>
      </c>
      <c r="DD28" s="153">
        <v>50</v>
      </c>
      <c r="DE28" s="153">
        <v>70</v>
      </c>
      <c r="DF28" s="153">
        <v>70</v>
      </c>
    </row>
    <row r="29" spans="1:110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6" t="s">
        <v>1095</v>
      </c>
      <c r="H29" s="56">
        <v>3</v>
      </c>
      <c r="I29" s="56" t="s">
        <v>1211</v>
      </c>
      <c r="J29" s="56" t="s">
        <v>1210</v>
      </c>
      <c r="L29" s="165">
        <v>360</v>
      </c>
      <c r="P29" s="162" t="str">
        <f t="shared" si="3"/>
        <v/>
      </c>
      <c r="Q29" s="178" t="str">
        <f t="shared" si="4"/>
        <v/>
      </c>
      <c r="V29" s="162" t="str">
        <f t="shared" si="0"/>
        <v/>
      </c>
      <c r="W29" s="178" t="str">
        <f t="shared" si="1"/>
        <v/>
      </c>
      <c r="AG29" s="153">
        <v>120</v>
      </c>
      <c r="BB29" s="153">
        <v>50</v>
      </c>
      <c r="BD29" s="153">
        <v>70</v>
      </c>
      <c r="BE29" s="153">
        <v>70</v>
      </c>
      <c r="BF29" s="153">
        <v>70</v>
      </c>
      <c r="BG29" s="153">
        <v>70</v>
      </c>
      <c r="BH29" s="153">
        <v>70</v>
      </c>
      <c r="BI29" s="153">
        <v>70</v>
      </c>
      <c r="BJ29" s="153">
        <v>70</v>
      </c>
      <c r="BK29" s="153">
        <v>70</v>
      </c>
      <c r="BL29" s="153">
        <v>70</v>
      </c>
      <c r="BM29" s="153">
        <v>40</v>
      </c>
      <c r="BN29" s="153">
        <v>70</v>
      </c>
      <c r="BP29" s="153">
        <v>70</v>
      </c>
      <c r="BQ29" s="153">
        <v>70</v>
      </c>
      <c r="BR29" s="153">
        <v>70</v>
      </c>
      <c r="BS29" s="153">
        <v>70</v>
      </c>
      <c r="BT29" s="153">
        <v>70</v>
      </c>
      <c r="BU29" s="153">
        <v>70</v>
      </c>
      <c r="BV29" s="153">
        <v>70</v>
      </c>
      <c r="BW29" s="153">
        <v>70</v>
      </c>
      <c r="BX29" s="153">
        <v>70</v>
      </c>
      <c r="BY29" s="153">
        <v>70</v>
      </c>
      <c r="BZ29" s="153">
        <v>70</v>
      </c>
      <c r="CA29" s="153">
        <v>70</v>
      </c>
      <c r="CB29" s="153">
        <v>70</v>
      </c>
      <c r="CC29" s="153">
        <v>70</v>
      </c>
      <c r="CD29" s="153">
        <v>70</v>
      </c>
      <c r="CE29" s="153">
        <v>70</v>
      </c>
      <c r="CF29" s="153">
        <v>70</v>
      </c>
      <c r="CG29" s="153">
        <v>70</v>
      </c>
      <c r="CH29" s="153">
        <v>70</v>
      </c>
      <c r="CJ29" s="153">
        <v>60</v>
      </c>
      <c r="CK29" s="153">
        <v>60</v>
      </c>
      <c r="CL29" s="153">
        <v>60</v>
      </c>
      <c r="CM29" s="153">
        <v>60</v>
      </c>
      <c r="CN29" s="153">
        <v>60</v>
      </c>
      <c r="CO29" s="153">
        <v>60</v>
      </c>
      <c r="CP29" s="153">
        <v>60</v>
      </c>
      <c r="CQ29" s="153">
        <v>60</v>
      </c>
      <c r="CR29" s="153">
        <v>60</v>
      </c>
      <c r="CS29" s="153">
        <v>60</v>
      </c>
      <c r="CT29" s="153">
        <v>60</v>
      </c>
      <c r="CU29" s="153">
        <v>60</v>
      </c>
      <c r="CV29" s="153">
        <v>60</v>
      </c>
      <c r="CW29" s="153">
        <v>60</v>
      </c>
      <c r="CX29" s="153">
        <v>60</v>
      </c>
      <c r="CZ29" s="153">
        <v>60</v>
      </c>
      <c r="DA29" s="153">
        <v>60</v>
      </c>
      <c r="DB29" s="153">
        <v>60</v>
      </c>
      <c r="DC29" s="153">
        <v>60</v>
      </c>
      <c r="DD29" s="153">
        <v>40</v>
      </c>
      <c r="DE29" s="153">
        <v>60</v>
      </c>
      <c r="DF29" s="153">
        <v>60</v>
      </c>
    </row>
    <row r="30" spans="1:110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6" t="s">
        <v>1096</v>
      </c>
      <c r="H30" s="56">
        <v>5</v>
      </c>
      <c r="I30" s="56" t="s">
        <v>1211</v>
      </c>
      <c r="J30" s="56" t="s">
        <v>1210</v>
      </c>
      <c r="L30" s="165">
        <v>360</v>
      </c>
      <c r="P30" s="162" t="str">
        <f t="shared" si="3"/>
        <v/>
      </c>
      <c r="Q30" s="178" t="str">
        <f t="shared" si="4"/>
        <v/>
      </c>
      <c r="V30" s="162" t="str">
        <f t="shared" si="0"/>
        <v/>
      </c>
      <c r="W30" s="178" t="str">
        <f t="shared" si="1"/>
        <v/>
      </c>
      <c r="AG30" s="153">
        <v>130</v>
      </c>
      <c r="BB30" s="153">
        <v>20</v>
      </c>
      <c r="BD30" s="153">
        <v>60</v>
      </c>
      <c r="BE30" s="153">
        <v>60</v>
      </c>
      <c r="BF30" s="153">
        <v>60</v>
      </c>
      <c r="BG30" s="153">
        <v>60</v>
      </c>
      <c r="BH30" s="153">
        <v>60</v>
      </c>
      <c r="BI30" s="153">
        <v>60</v>
      </c>
      <c r="BJ30" s="153">
        <v>60</v>
      </c>
      <c r="BK30" s="153">
        <v>60</v>
      </c>
      <c r="BL30" s="153">
        <v>60</v>
      </c>
      <c r="BM30" s="153">
        <v>30</v>
      </c>
      <c r="BN30" s="153">
        <v>60</v>
      </c>
      <c r="BP30" s="153">
        <v>60</v>
      </c>
      <c r="BQ30" s="153">
        <v>60</v>
      </c>
      <c r="BR30" s="153">
        <v>60</v>
      </c>
      <c r="BS30" s="153">
        <v>60</v>
      </c>
      <c r="BT30" s="153">
        <v>60</v>
      </c>
      <c r="BU30" s="153">
        <v>60</v>
      </c>
      <c r="BV30" s="153">
        <v>60</v>
      </c>
      <c r="BW30" s="153">
        <v>60</v>
      </c>
      <c r="BX30" s="153">
        <v>60</v>
      </c>
      <c r="BY30" s="153">
        <v>60</v>
      </c>
      <c r="BZ30" s="153">
        <v>60</v>
      </c>
      <c r="CA30" s="153">
        <v>60</v>
      </c>
      <c r="CB30" s="153">
        <v>60</v>
      </c>
      <c r="CC30" s="153">
        <v>60</v>
      </c>
      <c r="CD30" s="153">
        <v>60</v>
      </c>
      <c r="CE30" s="153">
        <v>60</v>
      </c>
      <c r="CF30" s="153">
        <v>60</v>
      </c>
      <c r="CG30" s="153">
        <v>60</v>
      </c>
      <c r="CH30" s="153">
        <v>60</v>
      </c>
      <c r="CJ30" s="153">
        <v>50</v>
      </c>
      <c r="CK30" s="153">
        <v>50</v>
      </c>
      <c r="CL30" s="153">
        <v>50</v>
      </c>
      <c r="CM30" s="153">
        <v>50</v>
      </c>
      <c r="CN30" s="153">
        <v>50</v>
      </c>
      <c r="CO30" s="153">
        <v>50</v>
      </c>
      <c r="CP30" s="153">
        <v>50</v>
      </c>
      <c r="CQ30" s="153">
        <v>50</v>
      </c>
      <c r="CR30" s="153">
        <v>50</v>
      </c>
      <c r="CS30" s="153">
        <v>50</v>
      </c>
      <c r="CT30" s="153">
        <v>50</v>
      </c>
      <c r="CU30" s="153">
        <v>50</v>
      </c>
      <c r="CV30" s="153">
        <v>50</v>
      </c>
      <c r="CW30" s="153">
        <v>50</v>
      </c>
      <c r="CX30" s="153">
        <v>50</v>
      </c>
      <c r="CZ30" s="153">
        <v>50</v>
      </c>
      <c r="DA30" s="153">
        <v>50</v>
      </c>
      <c r="DB30" s="153">
        <v>50</v>
      </c>
      <c r="DC30" s="153">
        <v>50</v>
      </c>
      <c r="DD30" s="153">
        <v>30</v>
      </c>
      <c r="DE30" s="153">
        <v>50</v>
      </c>
      <c r="DF30" s="153">
        <v>50</v>
      </c>
    </row>
    <row r="31" spans="1:110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5"/>
      <c r="P31" s="164" t="str">
        <f t="shared" si="3"/>
        <v/>
      </c>
      <c r="Q31" s="180" t="str">
        <f t="shared" si="4"/>
        <v/>
      </c>
      <c r="R31" s="170"/>
      <c r="V31" s="162" t="str">
        <f t="shared" si="0"/>
        <v/>
      </c>
      <c r="W31" s="178" t="str">
        <f t="shared" si="1"/>
        <v/>
      </c>
    </row>
    <row r="32" spans="1:110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P32" s="162" t="str">
        <f t="shared" si="3"/>
        <v/>
      </c>
      <c r="Q32" s="178" t="str">
        <f t="shared" si="4"/>
        <v/>
      </c>
      <c r="V32" s="162" t="str">
        <f t="shared" si="0"/>
        <v/>
      </c>
      <c r="W32" s="178" t="str">
        <f t="shared" si="1"/>
        <v/>
      </c>
    </row>
    <row r="33" spans="1:109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P33" s="162" t="str">
        <f t="shared" si="3"/>
        <v/>
      </c>
      <c r="Q33" s="178" t="str">
        <f t="shared" si="4"/>
        <v/>
      </c>
      <c r="V33" s="162" t="str">
        <f t="shared" si="0"/>
        <v/>
      </c>
      <c r="W33" s="178" t="str">
        <f t="shared" si="1"/>
        <v/>
      </c>
    </row>
    <row r="34" spans="1:109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P34" s="162" t="str">
        <f t="shared" si="3"/>
        <v/>
      </c>
      <c r="Q34" s="178" t="str">
        <f t="shared" si="4"/>
        <v/>
      </c>
      <c r="V34" s="162" t="str">
        <f t="shared" si="0"/>
        <v/>
      </c>
      <c r="W34" s="178" t="str">
        <f t="shared" si="1"/>
        <v/>
      </c>
    </row>
    <row r="35" spans="1:109" s="97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6"/>
      <c r="H35" s="56"/>
      <c r="I35" s="56"/>
      <c r="J35" s="56"/>
      <c r="K35" s="56"/>
      <c r="L35" s="165"/>
      <c r="M35" s="10"/>
      <c r="N35" s="56"/>
      <c r="O35" s="56"/>
      <c r="P35" s="162" t="str">
        <f t="shared" si="3"/>
        <v/>
      </c>
      <c r="Q35" s="178" t="str">
        <f t="shared" si="4"/>
        <v/>
      </c>
      <c r="R35" s="168"/>
      <c r="S35" s="56"/>
      <c r="T35" s="56"/>
      <c r="U35" s="56"/>
      <c r="V35" s="162" t="str">
        <f t="shared" si="0"/>
        <v/>
      </c>
      <c r="W35" s="178" t="str">
        <f t="shared" si="1"/>
        <v/>
      </c>
      <c r="X35" s="172"/>
      <c r="Y35" s="10"/>
      <c r="Z35" s="56"/>
      <c r="AA35" s="56"/>
      <c r="AB35" s="56"/>
      <c r="AC35" s="56"/>
      <c r="AD35" s="56"/>
      <c r="AE35" s="174"/>
      <c r="AF35" s="56"/>
      <c r="AG35" s="56"/>
      <c r="AH35" s="172"/>
      <c r="AI35" s="56"/>
      <c r="AJ35" s="56"/>
      <c r="AK35" s="56"/>
      <c r="AL35" s="56"/>
      <c r="AM35" s="56"/>
      <c r="AN35" s="56"/>
      <c r="AO35" s="172"/>
      <c r="AP35" s="56"/>
      <c r="AQ35" s="56"/>
      <c r="AR35" s="56"/>
      <c r="AS35" s="56"/>
      <c r="AT35" s="56"/>
      <c r="AU35" s="56"/>
      <c r="AV35" s="56"/>
      <c r="AW35" s="172"/>
      <c r="AX35" s="56"/>
      <c r="AY35" s="56"/>
      <c r="AZ35" s="56"/>
      <c r="BA35" s="172"/>
      <c r="BB35" s="56"/>
      <c r="BC35" s="10"/>
      <c r="BD35" s="56"/>
      <c r="BE35" s="56"/>
      <c r="BF35" s="56"/>
      <c r="BG35" s="56"/>
      <c r="BO35" s="145"/>
      <c r="CI35" s="145"/>
      <c r="CY35" s="145"/>
    </row>
    <row r="36" spans="1:109" s="97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6"/>
      <c r="H36" s="56"/>
      <c r="I36" s="56"/>
      <c r="J36" s="56"/>
      <c r="K36" s="56"/>
      <c r="L36" s="165"/>
      <c r="M36" s="10"/>
      <c r="N36" s="56"/>
      <c r="O36" s="56"/>
      <c r="P36" s="162" t="str">
        <f t="shared" si="3"/>
        <v/>
      </c>
      <c r="Q36" s="178" t="str">
        <f t="shared" si="4"/>
        <v/>
      </c>
      <c r="R36" s="168"/>
      <c r="S36" s="56"/>
      <c r="T36" s="56"/>
      <c r="U36" s="56"/>
      <c r="V36" s="162" t="str">
        <f t="shared" si="0"/>
        <v/>
      </c>
      <c r="W36" s="178" t="str">
        <f t="shared" si="1"/>
        <v/>
      </c>
      <c r="X36" s="172"/>
      <c r="Y36" s="10"/>
      <c r="Z36" s="56"/>
      <c r="AA36" s="56"/>
      <c r="AB36" s="56"/>
      <c r="AC36" s="56"/>
      <c r="AD36" s="56"/>
      <c r="AE36" s="174"/>
      <c r="AF36" s="56"/>
      <c r="AG36" s="56"/>
      <c r="AH36" s="172"/>
      <c r="AI36" s="56"/>
      <c r="AJ36" s="56"/>
      <c r="AK36" s="56"/>
      <c r="AL36" s="56"/>
      <c r="AM36" s="56"/>
      <c r="AN36" s="56"/>
      <c r="AO36" s="172"/>
      <c r="AP36" s="56"/>
      <c r="AQ36" s="56"/>
      <c r="AR36" s="56"/>
      <c r="AS36" s="56"/>
      <c r="AT36" s="56"/>
      <c r="AU36" s="56"/>
      <c r="AV36" s="56"/>
      <c r="AW36" s="172"/>
      <c r="AX36" s="56"/>
      <c r="AY36" s="56"/>
      <c r="AZ36" s="56"/>
      <c r="BA36" s="172"/>
      <c r="BB36" s="56"/>
      <c r="BC36" s="10"/>
      <c r="BD36" s="56"/>
      <c r="BE36" s="56"/>
      <c r="BF36" s="56"/>
      <c r="BG36" s="56"/>
      <c r="BO36" s="145"/>
      <c r="CI36" s="145"/>
      <c r="CY36" s="145"/>
    </row>
    <row r="37" spans="1:109" s="97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6"/>
      <c r="H37" s="56"/>
      <c r="I37" s="56"/>
      <c r="J37" s="56"/>
      <c r="K37" s="56"/>
      <c r="L37" s="165"/>
      <c r="M37" s="10"/>
      <c r="N37" s="56"/>
      <c r="O37" s="56"/>
      <c r="P37" s="162" t="str">
        <f t="shared" si="3"/>
        <v/>
      </c>
      <c r="Q37" s="178" t="str">
        <f t="shared" si="4"/>
        <v/>
      </c>
      <c r="R37" s="168"/>
      <c r="S37" s="56"/>
      <c r="T37" s="56"/>
      <c r="U37" s="56"/>
      <c r="V37" s="162" t="str">
        <f t="shared" si="0"/>
        <v/>
      </c>
      <c r="W37" s="178" t="str">
        <f t="shared" si="1"/>
        <v/>
      </c>
      <c r="X37" s="172"/>
      <c r="Y37" s="10"/>
      <c r="Z37" s="56"/>
      <c r="AA37" s="56"/>
      <c r="AB37" s="56"/>
      <c r="AC37" s="56"/>
      <c r="AD37" s="56"/>
      <c r="AE37" s="174"/>
      <c r="AF37" s="56"/>
      <c r="AG37" s="56"/>
      <c r="AH37" s="172"/>
      <c r="AI37" s="56"/>
      <c r="AJ37" s="56"/>
      <c r="AK37" s="56"/>
      <c r="AL37" s="56"/>
      <c r="AM37" s="56"/>
      <c r="AN37" s="56"/>
      <c r="AO37" s="172"/>
      <c r="AP37" s="56"/>
      <c r="AQ37" s="56"/>
      <c r="AR37" s="56"/>
      <c r="AS37" s="56"/>
      <c r="AT37" s="56"/>
      <c r="AU37" s="56"/>
      <c r="AV37" s="56"/>
      <c r="AW37" s="172"/>
      <c r="AX37" s="56"/>
      <c r="AY37" s="56"/>
      <c r="AZ37" s="56"/>
      <c r="BA37" s="172"/>
      <c r="BB37" s="56"/>
      <c r="BC37" s="10"/>
      <c r="BD37" s="56"/>
      <c r="BE37" s="56"/>
      <c r="BF37" s="56"/>
      <c r="BG37" s="56"/>
      <c r="BO37" s="145"/>
      <c r="CI37" s="145"/>
      <c r="CY37" s="145"/>
    </row>
    <row r="38" spans="1:109" s="97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6"/>
      <c r="H38" s="56"/>
      <c r="I38" s="56"/>
      <c r="J38" s="56"/>
      <c r="K38" s="56"/>
      <c r="L38" s="165"/>
      <c r="M38" s="10"/>
      <c r="N38" s="56"/>
      <c r="O38" s="56"/>
      <c r="P38" s="162" t="str">
        <f t="shared" si="3"/>
        <v/>
      </c>
      <c r="Q38" s="178" t="str">
        <f t="shared" si="4"/>
        <v/>
      </c>
      <c r="R38" s="168"/>
      <c r="S38" s="56"/>
      <c r="T38" s="56"/>
      <c r="U38" s="56"/>
      <c r="V38" s="162" t="str">
        <f t="shared" si="0"/>
        <v/>
      </c>
      <c r="W38" s="178" t="str">
        <f t="shared" si="1"/>
        <v/>
      </c>
      <c r="X38" s="172"/>
      <c r="Y38" s="10"/>
      <c r="Z38" s="56"/>
      <c r="AA38" s="56"/>
      <c r="AB38" s="56"/>
      <c r="AC38" s="56"/>
      <c r="AD38" s="56"/>
      <c r="AE38" s="174"/>
      <c r="AF38" s="56"/>
      <c r="AG38" s="56"/>
      <c r="AH38" s="172"/>
      <c r="AI38" s="56"/>
      <c r="AJ38" s="56"/>
      <c r="AK38" s="56"/>
      <c r="AL38" s="56"/>
      <c r="AM38" s="56"/>
      <c r="AN38" s="56"/>
      <c r="AO38" s="172"/>
      <c r="AP38" s="56"/>
      <c r="AQ38" s="56"/>
      <c r="AR38" s="56"/>
      <c r="AS38" s="56"/>
      <c r="AT38" s="56"/>
      <c r="AU38" s="56"/>
      <c r="AV38" s="56"/>
      <c r="AW38" s="172"/>
      <c r="AX38" s="56"/>
      <c r="AY38" s="56"/>
      <c r="AZ38" s="56"/>
      <c r="BA38" s="172"/>
      <c r="BB38" s="56"/>
      <c r="BC38" s="10"/>
      <c r="BD38" s="56"/>
      <c r="BE38" s="56"/>
      <c r="BF38" s="56"/>
      <c r="BG38" s="56"/>
      <c r="BO38" s="145"/>
      <c r="CI38" s="145"/>
      <c r="CY38" s="145"/>
    </row>
    <row r="39" spans="1:109" s="97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6"/>
      <c r="H39" s="56"/>
      <c r="I39" s="56"/>
      <c r="J39" s="56"/>
      <c r="K39" s="56"/>
      <c r="L39" s="165"/>
      <c r="M39" s="10"/>
      <c r="N39" s="56"/>
      <c r="O39" s="56"/>
      <c r="P39" s="162" t="str">
        <f t="shared" si="3"/>
        <v/>
      </c>
      <c r="Q39" s="178" t="str">
        <f t="shared" si="4"/>
        <v/>
      </c>
      <c r="R39" s="168"/>
      <c r="S39" s="56"/>
      <c r="T39" s="56"/>
      <c r="U39" s="56"/>
      <c r="V39" s="162" t="str">
        <f t="shared" si="0"/>
        <v/>
      </c>
      <c r="W39" s="178" t="str">
        <f t="shared" si="1"/>
        <v/>
      </c>
      <c r="X39" s="172"/>
      <c r="Y39" s="10"/>
      <c r="Z39" s="56"/>
      <c r="AA39" s="56"/>
      <c r="AB39" s="56"/>
      <c r="AC39" s="56"/>
      <c r="AD39" s="56"/>
      <c r="AE39" s="174"/>
      <c r="AF39" s="56"/>
      <c r="AG39" s="56"/>
      <c r="AH39" s="172"/>
      <c r="AI39" s="56"/>
      <c r="AJ39" s="56"/>
      <c r="AK39" s="56"/>
      <c r="AL39" s="56"/>
      <c r="AM39" s="56"/>
      <c r="AN39" s="56"/>
      <c r="AO39" s="172"/>
      <c r="AP39" s="56"/>
      <c r="AQ39" s="56"/>
      <c r="AR39" s="56"/>
      <c r="AS39" s="56"/>
      <c r="AT39" s="56"/>
      <c r="AU39" s="56"/>
      <c r="AV39" s="56"/>
      <c r="AW39" s="172"/>
      <c r="AX39" s="56"/>
      <c r="AY39" s="56"/>
      <c r="AZ39" s="56"/>
      <c r="BA39" s="172"/>
      <c r="BB39" s="56"/>
      <c r="BC39" s="10"/>
      <c r="BD39" s="56"/>
      <c r="BE39" s="56"/>
      <c r="BF39" s="56"/>
      <c r="BG39" s="56"/>
      <c r="BO39" s="145"/>
      <c r="CI39" s="145"/>
      <c r="CY39" s="145"/>
    </row>
    <row r="40" spans="1:109" s="97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6"/>
      <c r="H40" s="56"/>
      <c r="I40" s="56"/>
      <c r="J40" s="56"/>
      <c r="K40" s="56"/>
      <c r="L40" s="165"/>
      <c r="M40" s="10"/>
      <c r="N40" s="56"/>
      <c r="O40" s="56"/>
      <c r="P40" s="162" t="str">
        <f t="shared" si="3"/>
        <v/>
      </c>
      <c r="Q40" s="178" t="str">
        <f t="shared" si="4"/>
        <v/>
      </c>
      <c r="R40" s="168"/>
      <c r="S40" s="56"/>
      <c r="T40" s="56"/>
      <c r="U40" s="56"/>
      <c r="V40" s="162" t="str">
        <f t="shared" si="0"/>
        <v/>
      </c>
      <c r="W40" s="178" t="str">
        <f t="shared" si="1"/>
        <v/>
      </c>
      <c r="X40" s="172"/>
      <c r="Y40" s="10"/>
      <c r="Z40" s="56"/>
      <c r="AA40" s="56"/>
      <c r="AB40" s="56"/>
      <c r="AC40" s="56"/>
      <c r="AD40" s="56"/>
      <c r="AE40" s="174"/>
      <c r="AF40" s="56"/>
      <c r="AG40" s="56"/>
      <c r="AH40" s="172"/>
      <c r="AI40" s="56"/>
      <c r="AJ40" s="56"/>
      <c r="AK40" s="56"/>
      <c r="AL40" s="56"/>
      <c r="AM40" s="56"/>
      <c r="AN40" s="56"/>
      <c r="AO40" s="172"/>
      <c r="AP40" s="56"/>
      <c r="AQ40" s="56"/>
      <c r="AR40" s="56"/>
      <c r="AS40" s="56"/>
      <c r="AT40" s="56"/>
      <c r="AU40" s="56"/>
      <c r="AV40" s="56"/>
      <c r="AW40" s="172"/>
      <c r="AX40" s="56"/>
      <c r="AY40" s="56"/>
      <c r="AZ40" s="56"/>
      <c r="BA40" s="172"/>
      <c r="BB40" s="56"/>
      <c r="BC40" s="10"/>
      <c r="BD40" s="56"/>
      <c r="BE40" s="56"/>
      <c r="BF40" s="56"/>
      <c r="BG40" s="56"/>
      <c r="BO40" s="145"/>
      <c r="CI40" s="145"/>
      <c r="CY40" s="145"/>
    </row>
    <row r="41" spans="1:109" s="97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6"/>
      <c r="H41" s="56"/>
      <c r="I41" s="56"/>
      <c r="J41" s="56"/>
      <c r="K41" s="56"/>
      <c r="L41" s="165"/>
      <c r="M41" s="10"/>
      <c r="N41" s="56"/>
      <c r="O41" s="56"/>
      <c r="P41" s="162" t="str">
        <f t="shared" si="3"/>
        <v/>
      </c>
      <c r="Q41" s="178" t="str">
        <f t="shared" si="4"/>
        <v/>
      </c>
      <c r="R41" s="168"/>
      <c r="S41" s="56"/>
      <c r="T41" s="56"/>
      <c r="U41" s="56"/>
      <c r="V41" s="162" t="str">
        <f t="shared" si="0"/>
        <v/>
      </c>
      <c r="W41" s="178" t="str">
        <f t="shared" si="1"/>
        <v/>
      </c>
      <c r="X41" s="172"/>
      <c r="Y41" s="10"/>
      <c r="Z41" s="56"/>
      <c r="AA41" s="56"/>
      <c r="AB41" s="56"/>
      <c r="AC41" s="56"/>
      <c r="AD41" s="56"/>
      <c r="AE41" s="174"/>
      <c r="AF41" s="56"/>
      <c r="AG41" s="56"/>
      <c r="AH41" s="172"/>
      <c r="AI41" s="56"/>
      <c r="AJ41" s="56"/>
      <c r="AK41" s="56"/>
      <c r="AL41" s="56"/>
      <c r="AM41" s="56"/>
      <c r="AN41" s="56"/>
      <c r="AO41" s="172"/>
      <c r="AP41" s="56"/>
      <c r="AQ41" s="56"/>
      <c r="AR41" s="56"/>
      <c r="AS41" s="56"/>
      <c r="AT41" s="56"/>
      <c r="AU41" s="56"/>
      <c r="AV41" s="56"/>
      <c r="AW41" s="172"/>
      <c r="AX41" s="56"/>
      <c r="AY41" s="56"/>
      <c r="AZ41" s="56"/>
      <c r="BA41" s="172"/>
      <c r="BB41" s="56"/>
      <c r="BC41" s="10"/>
      <c r="BD41" s="56"/>
      <c r="BE41" s="56"/>
      <c r="BF41" s="56"/>
      <c r="BG41" s="56"/>
      <c r="BO41" s="145"/>
      <c r="CI41" s="145"/>
      <c r="CY41" s="145"/>
    </row>
    <row r="42" spans="1:109" s="97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6"/>
      <c r="H42" s="56"/>
      <c r="I42" s="56"/>
      <c r="J42" s="56"/>
      <c r="K42" s="56"/>
      <c r="L42" s="165"/>
      <c r="M42" s="10"/>
      <c r="N42" s="56"/>
      <c r="O42" s="56"/>
      <c r="P42" s="162" t="str">
        <f t="shared" si="3"/>
        <v/>
      </c>
      <c r="Q42" s="178" t="str">
        <f t="shared" si="4"/>
        <v/>
      </c>
      <c r="R42" s="168"/>
      <c r="S42" s="56"/>
      <c r="T42" s="56"/>
      <c r="U42" s="56"/>
      <c r="V42" s="162" t="str">
        <f t="shared" si="0"/>
        <v/>
      </c>
      <c r="W42" s="178" t="str">
        <f t="shared" si="1"/>
        <v/>
      </c>
      <c r="X42" s="172"/>
      <c r="Y42" s="10"/>
      <c r="Z42" s="56"/>
      <c r="AA42" s="56"/>
      <c r="AB42" s="56"/>
      <c r="AC42" s="56"/>
      <c r="AD42" s="56"/>
      <c r="AE42" s="174"/>
      <c r="AF42" s="56"/>
      <c r="AG42" s="56"/>
      <c r="AH42" s="172"/>
      <c r="AI42" s="56"/>
      <c r="AJ42" s="56"/>
      <c r="AK42" s="56"/>
      <c r="AL42" s="56"/>
      <c r="AM42" s="56"/>
      <c r="AN42" s="56"/>
      <c r="AO42" s="172"/>
      <c r="AP42" s="56"/>
      <c r="AQ42" s="56"/>
      <c r="AR42" s="56"/>
      <c r="AS42" s="56"/>
      <c r="AT42" s="56"/>
      <c r="AU42" s="56"/>
      <c r="AV42" s="56"/>
      <c r="AW42" s="172"/>
      <c r="AX42" s="56"/>
      <c r="AY42" s="56"/>
      <c r="AZ42" s="56"/>
      <c r="BA42" s="172"/>
      <c r="BB42" s="56"/>
      <c r="BC42" s="10"/>
      <c r="BD42" s="56"/>
      <c r="BE42" s="56"/>
      <c r="BF42" s="56"/>
      <c r="BG42" s="56"/>
      <c r="BO42" s="145"/>
      <c r="CI42" s="145"/>
      <c r="CY42" s="145"/>
    </row>
    <row r="43" spans="1:109" s="97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6"/>
      <c r="H43" s="56"/>
      <c r="I43" s="56"/>
      <c r="J43" s="56"/>
      <c r="K43" s="56"/>
      <c r="L43" s="165"/>
      <c r="M43" s="10"/>
      <c r="N43" s="56"/>
      <c r="O43" s="56"/>
      <c r="P43" s="162" t="str">
        <f t="shared" si="3"/>
        <v/>
      </c>
      <c r="Q43" s="178" t="str">
        <f t="shared" si="4"/>
        <v/>
      </c>
      <c r="R43" s="168"/>
      <c r="S43" s="56"/>
      <c r="T43" s="56"/>
      <c r="U43" s="56"/>
      <c r="V43" s="162" t="str">
        <f t="shared" si="0"/>
        <v/>
      </c>
      <c r="W43" s="178" t="str">
        <f t="shared" si="1"/>
        <v/>
      </c>
      <c r="X43" s="172"/>
      <c r="Y43" s="10"/>
      <c r="Z43" s="56"/>
      <c r="AA43" s="56"/>
      <c r="AB43" s="56"/>
      <c r="AC43" s="56"/>
      <c r="AD43" s="56"/>
      <c r="AE43" s="174"/>
      <c r="AF43" s="56"/>
      <c r="AG43" s="56"/>
      <c r="AH43" s="172"/>
      <c r="AI43" s="56"/>
      <c r="AJ43" s="56"/>
      <c r="AK43" s="56"/>
      <c r="AL43" s="56"/>
      <c r="AM43" s="56"/>
      <c r="AN43" s="56"/>
      <c r="AO43" s="172"/>
      <c r="AP43" s="56"/>
      <c r="AQ43" s="56"/>
      <c r="AR43" s="56"/>
      <c r="AS43" s="56"/>
      <c r="AT43" s="56"/>
      <c r="AU43" s="56"/>
      <c r="AV43" s="56"/>
      <c r="AW43" s="172"/>
      <c r="AX43" s="56"/>
      <c r="AY43" s="56"/>
      <c r="AZ43" s="56"/>
      <c r="BA43" s="172"/>
      <c r="BB43" s="56"/>
      <c r="BC43" s="10"/>
      <c r="BD43" s="56"/>
      <c r="BE43" s="56"/>
      <c r="BF43" s="56"/>
      <c r="BG43" s="56"/>
      <c r="BO43" s="145"/>
      <c r="CI43" s="145"/>
      <c r="CY43" s="145"/>
    </row>
    <row r="44" spans="1:109" s="97" customFormat="1" ht="17.25" thickBot="1" x14ac:dyDescent="0.2">
      <c r="A44" s="11">
        <f t="shared" si="2"/>
        <v>60020020</v>
      </c>
      <c r="B44" s="112">
        <v>6</v>
      </c>
      <c r="C44" s="12">
        <v>0</v>
      </c>
      <c r="D44" s="112">
        <v>2</v>
      </c>
      <c r="E44" s="112">
        <v>0</v>
      </c>
      <c r="F44" s="113">
        <v>20</v>
      </c>
      <c r="G44" s="56"/>
      <c r="H44" s="56"/>
      <c r="I44" s="56"/>
      <c r="J44" s="56"/>
      <c r="K44" s="56"/>
      <c r="L44" s="165"/>
      <c r="M44" s="10"/>
      <c r="N44" s="56"/>
      <c r="O44" s="56"/>
      <c r="P44" s="162" t="str">
        <f t="shared" si="3"/>
        <v/>
      </c>
      <c r="Q44" s="178" t="str">
        <f t="shared" si="4"/>
        <v/>
      </c>
      <c r="R44" s="168"/>
      <c r="S44" s="56"/>
      <c r="T44" s="56"/>
      <c r="U44" s="56"/>
      <c r="V44" s="162" t="str">
        <f t="shared" si="0"/>
        <v/>
      </c>
      <c r="W44" s="178" t="str">
        <f t="shared" si="1"/>
        <v/>
      </c>
      <c r="X44" s="172"/>
      <c r="Y44" s="10"/>
      <c r="Z44" s="56"/>
      <c r="AA44" s="56"/>
      <c r="AB44" s="56"/>
      <c r="AC44" s="56"/>
      <c r="AD44" s="56"/>
      <c r="AE44" s="174"/>
      <c r="AF44" s="56"/>
      <c r="AG44" s="56"/>
      <c r="AH44" s="172"/>
      <c r="AI44" s="56"/>
      <c r="AJ44" s="56"/>
      <c r="AK44" s="56"/>
      <c r="AL44" s="56"/>
      <c r="AM44" s="56"/>
      <c r="AN44" s="56"/>
      <c r="AO44" s="172"/>
      <c r="AP44" s="56"/>
      <c r="AQ44" s="56"/>
      <c r="AR44" s="56"/>
      <c r="AS44" s="56"/>
      <c r="AT44" s="56"/>
      <c r="AU44" s="56"/>
      <c r="AV44" s="56"/>
      <c r="AW44" s="172"/>
      <c r="AX44" s="56"/>
      <c r="AY44" s="56"/>
      <c r="AZ44" s="56"/>
      <c r="BA44" s="172"/>
      <c r="BB44" s="56"/>
      <c r="BC44" s="10"/>
      <c r="BD44" s="56"/>
      <c r="BE44" s="56"/>
      <c r="BF44" s="56"/>
      <c r="BG44" s="56"/>
      <c r="BO44" s="145"/>
      <c r="CI44" s="145"/>
      <c r="CY44" s="145"/>
    </row>
    <row r="45" spans="1:109" s="114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7" t="s">
        <v>889</v>
      </c>
      <c r="H45" s="57">
        <v>1</v>
      </c>
      <c r="I45" s="57" t="s">
        <v>1197</v>
      </c>
      <c r="J45" s="57" t="s">
        <v>1212</v>
      </c>
      <c r="K45" s="57"/>
      <c r="L45" s="167">
        <v>5</v>
      </c>
      <c r="M45" s="17"/>
      <c r="N45" s="57"/>
      <c r="O45" s="57">
        <v>10</v>
      </c>
      <c r="P45" s="163">
        <f t="shared" si="3"/>
        <v>0.13411848672575966</v>
      </c>
      <c r="Q45" s="179">
        <f t="shared" si="4"/>
        <v>0.14400000000000002</v>
      </c>
      <c r="R45" s="169"/>
      <c r="S45" s="57"/>
      <c r="T45" s="57"/>
      <c r="U45" s="57"/>
      <c r="V45" s="163" t="str">
        <f t="shared" si="0"/>
        <v/>
      </c>
      <c r="W45" s="179" t="str">
        <f t="shared" si="1"/>
        <v/>
      </c>
      <c r="X45" s="173"/>
      <c r="Y45" s="17"/>
      <c r="Z45" s="57"/>
      <c r="AA45" s="57"/>
      <c r="AB45" s="57"/>
      <c r="AC45" s="57"/>
      <c r="AD45" s="57"/>
      <c r="AE45" s="176"/>
      <c r="AF45" s="57"/>
      <c r="AG45" s="57"/>
      <c r="AH45" s="173"/>
      <c r="AI45" s="154">
        <v>70</v>
      </c>
      <c r="AJ45" s="154">
        <v>70</v>
      </c>
      <c r="AK45" s="154">
        <v>80</v>
      </c>
      <c r="AL45" s="57"/>
      <c r="AM45" s="57"/>
      <c r="AN45" s="57"/>
      <c r="AO45" s="173"/>
      <c r="AP45" s="57"/>
      <c r="AQ45" s="57"/>
      <c r="AR45" s="57"/>
      <c r="AS45" s="57"/>
      <c r="AT45" s="57"/>
      <c r="AU45" s="57"/>
      <c r="AV45" s="57"/>
      <c r="AW45" s="173"/>
      <c r="AX45" s="57"/>
      <c r="AY45" s="57"/>
      <c r="AZ45" s="57"/>
      <c r="BA45" s="173"/>
      <c r="BB45" s="57"/>
      <c r="BC45" s="17"/>
      <c r="BD45" s="154">
        <v>150</v>
      </c>
      <c r="BE45" s="154">
        <v>150</v>
      </c>
      <c r="BF45" s="154">
        <v>150</v>
      </c>
      <c r="BG45" s="57"/>
      <c r="BK45" s="154">
        <v>150</v>
      </c>
      <c r="BO45" s="144"/>
      <c r="CI45" s="144"/>
      <c r="CY45" s="144"/>
    </row>
    <row r="46" spans="1:109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6" t="s">
        <v>890</v>
      </c>
      <c r="H46" s="56">
        <v>3</v>
      </c>
      <c r="I46" s="56" t="s">
        <v>1197</v>
      </c>
      <c r="J46" s="56" t="s">
        <v>1212</v>
      </c>
      <c r="L46" s="165">
        <v>5</v>
      </c>
      <c r="O46" s="56">
        <v>8</v>
      </c>
      <c r="P46" s="162">
        <f t="shared" si="3"/>
        <v>0.10881621829913368</v>
      </c>
      <c r="Q46" s="178">
        <f t="shared" si="4"/>
        <v>0.11520000000000001</v>
      </c>
      <c r="V46" s="162" t="str">
        <f t="shared" si="0"/>
        <v/>
      </c>
      <c r="W46" s="178" t="str">
        <f t="shared" si="1"/>
        <v/>
      </c>
      <c r="AI46" s="153">
        <v>50</v>
      </c>
      <c r="AJ46" s="153">
        <v>50</v>
      </c>
      <c r="AK46" s="153">
        <v>50</v>
      </c>
      <c r="BD46" s="153">
        <v>180</v>
      </c>
      <c r="BE46" s="153">
        <v>180</v>
      </c>
      <c r="BF46" s="153">
        <v>180</v>
      </c>
      <c r="BH46" s="109"/>
      <c r="BK46" s="153">
        <v>180</v>
      </c>
    </row>
    <row r="47" spans="1:109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6" t="s">
        <v>891</v>
      </c>
      <c r="H47" s="56">
        <v>5</v>
      </c>
      <c r="I47" s="56" t="s">
        <v>1197</v>
      </c>
      <c r="J47" s="56" t="s">
        <v>1212</v>
      </c>
      <c r="L47" s="165">
        <v>5</v>
      </c>
      <c r="O47" s="56">
        <v>5</v>
      </c>
      <c r="P47" s="162">
        <f t="shared" si="3"/>
        <v>6.9470779198735899E-2</v>
      </c>
      <c r="Q47" s="178">
        <f t="shared" si="4"/>
        <v>7.2000000000000008E-2</v>
      </c>
      <c r="V47" s="162" t="str">
        <f t="shared" si="0"/>
        <v/>
      </c>
      <c r="W47" s="178" t="str">
        <f t="shared" si="1"/>
        <v/>
      </c>
      <c r="AI47" s="153">
        <v>20</v>
      </c>
      <c r="AJ47" s="153">
        <v>20</v>
      </c>
      <c r="AK47" s="153">
        <v>20</v>
      </c>
      <c r="BD47" s="153">
        <v>210</v>
      </c>
      <c r="BE47" s="153">
        <v>210</v>
      </c>
      <c r="BF47" s="153">
        <v>210</v>
      </c>
      <c r="BH47" s="109"/>
      <c r="BK47" s="153">
        <v>210</v>
      </c>
    </row>
    <row r="48" spans="1:109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6" t="s">
        <v>892</v>
      </c>
      <c r="H48" s="56">
        <v>1</v>
      </c>
      <c r="I48" s="56" t="s">
        <v>1198</v>
      </c>
      <c r="J48" s="56" t="s">
        <v>1214</v>
      </c>
      <c r="L48" s="165">
        <v>360</v>
      </c>
      <c r="O48" s="56">
        <v>10</v>
      </c>
      <c r="P48" s="162">
        <f t="shared" si="3"/>
        <v>0.13411848672575966</v>
      </c>
      <c r="Q48" s="178">
        <f t="shared" si="4"/>
        <v>0.14400000000000002</v>
      </c>
      <c r="V48" s="162" t="str">
        <f t="shared" si="0"/>
        <v/>
      </c>
      <c r="W48" s="178" t="str">
        <f t="shared" si="1"/>
        <v/>
      </c>
      <c r="AP48" s="153">
        <v>70</v>
      </c>
      <c r="AQ48" s="153">
        <v>70</v>
      </c>
      <c r="AR48" s="153">
        <v>80</v>
      </c>
      <c r="AS48" s="153">
        <v>60</v>
      </c>
      <c r="AT48" s="153">
        <v>60</v>
      </c>
      <c r="AU48" s="153">
        <v>80</v>
      </c>
      <c r="BD48" s="153">
        <v>150</v>
      </c>
      <c r="BE48" s="153">
        <v>150</v>
      </c>
      <c r="BF48" s="153">
        <v>150</v>
      </c>
      <c r="BH48" s="153">
        <v>150</v>
      </c>
      <c r="BI48" s="153">
        <v>150</v>
      </c>
      <c r="BK48" s="153">
        <v>150</v>
      </c>
      <c r="CZ48" s="153">
        <v>150</v>
      </c>
      <c r="DA48" s="156">
        <v>110</v>
      </c>
      <c r="DB48" s="156">
        <v>110</v>
      </c>
      <c r="DE48" s="153">
        <v>150</v>
      </c>
    </row>
    <row r="49" spans="1:109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6" t="s">
        <v>893</v>
      </c>
      <c r="H49" s="56">
        <v>3</v>
      </c>
      <c r="I49" s="56" t="s">
        <v>1198</v>
      </c>
      <c r="J49" s="56" t="s">
        <v>1214</v>
      </c>
      <c r="L49" s="165">
        <v>360</v>
      </c>
      <c r="O49" s="56">
        <v>8</v>
      </c>
      <c r="P49" s="162">
        <f t="shared" si="3"/>
        <v>0.10881621829913368</v>
      </c>
      <c r="Q49" s="178">
        <f t="shared" si="4"/>
        <v>0.11520000000000001</v>
      </c>
      <c r="V49" s="162" t="str">
        <f t="shared" si="0"/>
        <v/>
      </c>
      <c r="W49" s="178" t="str">
        <f t="shared" si="1"/>
        <v/>
      </c>
      <c r="AP49" s="153">
        <v>50</v>
      </c>
      <c r="AQ49" s="153">
        <v>50</v>
      </c>
      <c r="AR49" s="153">
        <v>50</v>
      </c>
      <c r="AS49" s="153">
        <v>40</v>
      </c>
      <c r="AT49" s="153">
        <v>40</v>
      </c>
      <c r="AU49" s="153">
        <v>50</v>
      </c>
      <c r="BD49" s="153">
        <v>180</v>
      </c>
      <c r="BE49" s="153">
        <v>180</v>
      </c>
      <c r="BF49" s="153">
        <v>180</v>
      </c>
      <c r="BH49" s="153">
        <v>180</v>
      </c>
      <c r="BI49" s="153">
        <v>180</v>
      </c>
      <c r="BK49" s="153">
        <v>180</v>
      </c>
      <c r="CZ49" s="153">
        <v>180</v>
      </c>
      <c r="DA49" s="156">
        <v>120</v>
      </c>
      <c r="DB49" s="156">
        <v>120</v>
      </c>
      <c r="DE49" s="153">
        <v>180</v>
      </c>
    </row>
    <row r="50" spans="1:109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6" t="s">
        <v>894</v>
      </c>
      <c r="H50" s="56">
        <v>5</v>
      </c>
      <c r="I50" s="56" t="s">
        <v>1198</v>
      </c>
      <c r="J50" s="56" t="s">
        <v>1214</v>
      </c>
      <c r="L50" s="165">
        <v>360</v>
      </c>
      <c r="O50" s="56">
        <v>5</v>
      </c>
      <c r="P50" s="162">
        <f t="shared" si="3"/>
        <v>6.9470779198735899E-2</v>
      </c>
      <c r="Q50" s="178">
        <f t="shared" si="4"/>
        <v>7.2000000000000008E-2</v>
      </c>
      <c r="V50" s="162" t="str">
        <f t="shared" si="0"/>
        <v/>
      </c>
      <c r="W50" s="178" t="str">
        <f t="shared" si="1"/>
        <v/>
      </c>
      <c r="AP50" s="153">
        <v>20</v>
      </c>
      <c r="AQ50" s="153">
        <v>20</v>
      </c>
      <c r="AR50" s="153">
        <v>20</v>
      </c>
      <c r="AS50" s="153">
        <v>10</v>
      </c>
      <c r="AT50" s="153">
        <v>10</v>
      </c>
      <c r="AU50" s="153">
        <v>20</v>
      </c>
      <c r="BD50" s="153">
        <v>210</v>
      </c>
      <c r="BE50" s="153">
        <v>210</v>
      </c>
      <c r="BF50" s="153">
        <v>210</v>
      </c>
      <c r="BH50" s="153">
        <v>210</v>
      </c>
      <c r="BI50" s="153">
        <v>210</v>
      </c>
      <c r="BK50" s="153">
        <v>210</v>
      </c>
      <c r="CZ50" s="153">
        <v>210</v>
      </c>
      <c r="DA50" s="156">
        <v>130</v>
      </c>
      <c r="DB50" s="156">
        <v>130</v>
      </c>
      <c r="DE50" s="153">
        <v>210</v>
      </c>
    </row>
    <row r="51" spans="1:109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6" t="s">
        <v>987</v>
      </c>
      <c r="H51" s="56">
        <v>1</v>
      </c>
      <c r="I51" s="56" t="s">
        <v>1199</v>
      </c>
      <c r="J51" s="56" t="s">
        <v>1213</v>
      </c>
      <c r="L51" s="165">
        <v>360</v>
      </c>
      <c r="O51" s="56">
        <v>10</v>
      </c>
      <c r="P51" s="162">
        <f t="shared" si="3"/>
        <v>0.13411848672575966</v>
      </c>
      <c r="Q51" s="178">
        <f t="shared" si="4"/>
        <v>0.14400000000000002</v>
      </c>
      <c r="V51" s="162" t="str">
        <f t="shared" si="0"/>
        <v/>
      </c>
      <c r="W51" s="178" t="str">
        <f t="shared" si="1"/>
        <v/>
      </c>
      <c r="AP51" s="153">
        <v>70</v>
      </c>
      <c r="AQ51" s="153">
        <v>70</v>
      </c>
      <c r="AR51" s="153">
        <v>70</v>
      </c>
      <c r="AS51" s="153">
        <v>150</v>
      </c>
      <c r="AT51" s="153">
        <v>150</v>
      </c>
      <c r="AU51" s="153">
        <v>70</v>
      </c>
      <c r="BD51" s="153">
        <v>150</v>
      </c>
      <c r="BE51" s="153">
        <v>150</v>
      </c>
      <c r="BF51" s="153">
        <v>150</v>
      </c>
      <c r="BH51" s="158">
        <v>70</v>
      </c>
      <c r="CZ51" s="158">
        <v>70</v>
      </c>
      <c r="DA51" s="156">
        <v>110</v>
      </c>
      <c r="DB51" s="156">
        <v>110</v>
      </c>
      <c r="DE51" s="153">
        <v>150</v>
      </c>
    </row>
    <row r="52" spans="1:109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6" t="s">
        <v>988</v>
      </c>
      <c r="H52" s="56">
        <v>3</v>
      </c>
      <c r="I52" s="56" t="s">
        <v>1199</v>
      </c>
      <c r="J52" s="56" t="s">
        <v>1213</v>
      </c>
      <c r="L52" s="165">
        <v>360</v>
      </c>
      <c r="O52" s="56">
        <v>8</v>
      </c>
      <c r="P52" s="162">
        <f t="shared" si="3"/>
        <v>0.10881621829913368</v>
      </c>
      <c r="Q52" s="178">
        <f t="shared" si="4"/>
        <v>0.11520000000000001</v>
      </c>
      <c r="V52" s="162" t="str">
        <f t="shared" si="0"/>
        <v/>
      </c>
      <c r="W52" s="178" t="str">
        <f t="shared" si="1"/>
        <v/>
      </c>
      <c r="AP52" s="153">
        <v>50</v>
      </c>
      <c r="AQ52" s="153">
        <v>50</v>
      </c>
      <c r="AR52" s="153">
        <v>50</v>
      </c>
      <c r="AS52" s="153">
        <v>180</v>
      </c>
      <c r="AT52" s="153">
        <v>180</v>
      </c>
      <c r="AU52" s="153">
        <v>50</v>
      </c>
      <c r="BD52" s="153">
        <v>180</v>
      </c>
      <c r="BE52" s="153">
        <v>180</v>
      </c>
      <c r="BF52" s="153">
        <v>180</v>
      </c>
      <c r="BH52" s="158">
        <v>50</v>
      </c>
      <c r="CZ52" s="158">
        <v>50</v>
      </c>
      <c r="DA52" s="156">
        <v>120</v>
      </c>
      <c r="DB52" s="156">
        <v>120</v>
      </c>
      <c r="DE52" s="153">
        <v>180</v>
      </c>
    </row>
    <row r="53" spans="1:109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6" t="s">
        <v>989</v>
      </c>
      <c r="H53" s="56">
        <v>5</v>
      </c>
      <c r="I53" s="56" t="s">
        <v>1199</v>
      </c>
      <c r="J53" s="56" t="s">
        <v>1213</v>
      </c>
      <c r="L53" s="165">
        <v>360</v>
      </c>
      <c r="O53" s="56">
        <v>5</v>
      </c>
      <c r="P53" s="162">
        <f t="shared" si="3"/>
        <v>6.9470779198735899E-2</v>
      </c>
      <c r="Q53" s="178">
        <f t="shared" si="4"/>
        <v>7.2000000000000008E-2</v>
      </c>
      <c r="V53" s="162" t="str">
        <f t="shared" si="0"/>
        <v/>
      </c>
      <c r="W53" s="178" t="str">
        <f t="shared" si="1"/>
        <v/>
      </c>
      <c r="AP53" s="153">
        <v>20</v>
      </c>
      <c r="AQ53" s="153">
        <v>20</v>
      </c>
      <c r="AR53" s="153">
        <v>20</v>
      </c>
      <c r="AS53" s="153">
        <v>200</v>
      </c>
      <c r="AT53" s="153">
        <v>200</v>
      </c>
      <c r="AU53" s="153">
        <v>20</v>
      </c>
      <c r="BD53" s="153">
        <v>210</v>
      </c>
      <c r="BE53" s="153">
        <v>210</v>
      </c>
      <c r="BF53" s="153">
        <v>210</v>
      </c>
      <c r="BH53" s="158">
        <v>20</v>
      </c>
      <c r="CZ53" s="158">
        <v>20</v>
      </c>
      <c r="DA53" s="156">
        <v>130</v>
      </c>
      <c r="DB53" s="156">
        <v>130</v>
      </c>
      <c r="DE53" s="153">
        <v>210</v>
      </c>
    </row>
    <row r="54" spans="1:109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6" t="s">
        <v>1100</v>
      </c>
      <c r="H54" s="56">
        <v>1</v>
      </c>
      <c r="I54" s="56" t="s">
        <v>1200</v>
      </c>
      <c r="J54" s="56" t="s">
        <v>1215</v>
      </c>
      <c r="L54" s="165">
        <v>360</v>
      </c>
      <c r="O54" s="56">
        <v>10</v>
      </c>
      <c r="P54" s="162">
        <f t="shared" si="3"/>
        <v>0.13411848672575966</v>
      </c>
      <c r="Q54" s="178">
        <f t="shared" si="4"/>
        <v>0.14400000000000002</v>
      </c>
      <c r="V54" s="162" t="str">
        <f t="shared" si="0"/>
        <v/>
      </c>
      <c r="W54" s="178" t="str">
        <f t="shared" si="1"/>
        <v/>
      </c>
      <c r="Z54" s="153">
        <v>30</v>
      </c>
      <c r="AI54" s="153">
        <v>70</v>
      </c>
      <c r="AJ54" s="153">
        <v>70</v>
      </c>
      <c r="AK54" s="153">
        <v>70</v>
      </c>
      <c r="AN54" s="153">
        <v>70</v>
      </c>
      <c r="AP54" s="153">
        <v>70</v>
      </c>
      <c r="AQ54" s="153">
        <v>70</v>
      </c>
      <c r="AR54" s="153">
        <v>70</v>
      </c>
      <c r="AU54" s="153">
        <v>70</v>
      </c>
      <c r="AV54" s="153">
        <v>200</v>
      </c>
      <c r="AX54" s="153"/>
      <c r="AY54" s="153"/>
      <c r="AZ54" s="153">
        <v>50</v>
      </c>
      <c r="BB54" s="153">
        <v>150</v>
      </c>
      <c r="BD54" s="153">
        <v>150</v>
      </c>
      <c r="BE54" s="153">
        <v>150</v>
      </c>
      <c r="BF54" s="153">
        <v>150</v>
      </c>
      <c r="BI54" s="153">
        <v>150</v>
      </c>
      <c r="BK54" s="153">
        <v>150</v>
      </c>
      <c r="DA54" s="156">
        <v>110</v>
      </c>
      <c r="DB54" s="156">
        <v>110</v>
      </c>
      <c r="DE54" s="153">
        <v>150</v>
      </c>
    </row>
    <row r="55" spans="1:109" s="97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6" t="s">
        <v>1101</v>
      </c>
      <c r="H55" s="56">
        <v>3</v>
      </c>
      <c r="I55" s="56" t="s">
        <v>1200</v>
      </c>
      <c r="J55" s="56" t="s">
        <v>1215</v>
      </c>
      <c r="K55" s="56"/>
      <c r="L55" s="165">
        <v>360</v>
      </c>
      <c r="M55" s="10"/>
      <c r="N55" s="56"/>
      <c r="O55" s="56">
        <v>8</v>
      </c>
      <c r="P55" s="162">
        <f t="shared" si="3"/>
        <v>0.10881621829913368</v>
      </c>
      <c r="Q55" s="178">
        <f t="shared" si="4"/>
        <v>0.11520000000000001</v>
      </c>
      <c r="R55" s="168"/>
      <c r="S55" s="56"/>
      <c r="T55" s="56"/>
      <c r="U55" s="56"/>
      <c r="V55" s="162" t="str">
        <f t="shared" si="0"/>
        <v/>
      </c>
      <c r="W55" s="178" t="str">
        <f t="shared" si="1"/>
        <v/>
      </c>
      <c r="X55" s="172"/>
      <c r="Y55" s="10"/>
      <c r="Z55" s="153">
        <v>15</v>
      </c>
      <c r="AA55" s="56"/>
      <c r="AB55" s="56"/>
      <c r="AC55" s="56"/>
      <c r="AD55" s="56"/>
      <c r="AE55" s="174"/>
      <c r="AF55" s="56"/>
      <c r="AG55" s="56"/>
      <c r="AH55" s="172"/>
      <c r="AI55" s="153">
        <v>50</v>
      </c>
      <c r="AJ55" s="153">
        <v>50</v>
      </c>
      <c r="AK55" s="153">
        <v>50</v>
      </c>
      <c r="AL55" s="56"/>
      <c r="AM55" s="56"/>
      <c r="AN55" s="153">
        <v>50</v>
      </c>
      <c r="AO55" s="172"/>
      <c r="AP55" s="153">
        <v>50</v>
      </c>
      <c r="AQ55" s="153">
        <v>50</v>
      </c>
      <c r="AR55" s="153">
        <v>50</v>
      </c>
      <c r="AS55" s="56"/>
      <c r="AT55" s="56"/>
      <c r="AU55" s="153">
        <v>50</v>
      </c>
      <c r="AV55" s="153">
        <v>400</v>
      </c>
      <c r="AW55" s="172"/>
      <c r="AX55" s="153">
        <v>40</v>
      </c>
      <c r="AY55" s="153">
        <v>40</v>
      </c>
      <c r="AZ55" s="153">
        <v>35</v>
      </c>
      <c r="BA55" s="172"/>
      <c r="BB55" s="153">
        <v>200</v>
      </c>
      <c r="BC55" s="10"/>
      <c r="BD55" s="153">
        <v>180</v>
      </c>
      <c r="BE55" s="153">
        <v>180</v>
      </c>
      <c r="BF55" s="153">
        <v>180</v>
      </c>
      <c r="BG55" s="56"/>
      <c r="BI55" s="153">
        <v>180</v>
      </c>
      <c r="BK55" s="153">
        <v>180</v>
      </c>
      <c r="BO55" s="145"/>
      <c r="CI55" s="145"/>
      <c r="CY55" s="145"/>
      <c r="DA55" s="156">
        <v>120</v>
      </c>
      <c r="DB55" s="156">
        <v>120</v>
      </c>
      <c r="DE55" s="153">
        <v>180</v>
      </c>
    </row>
    <row r="56" spans="1:109" s="97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6" t="s">
        <v>1102</v>
      </c>
      <c r="H56" s="56">
        <v>5</v>
      </c>
      <c r="I56" s="56" t="s">
        <v>1200</v>
      </c>
      <c r="J56" s="56" t="s">
        <v>1215</v>
      </c>
      <c r="K56" s="56"/>
      <c r="L56" s="165">
        <v>360</v>
      </c>
      <c r="M56" s="10"/>
      <c r="N56" s="56"/>
      <c r="O56" s="56">
        <v>5</v>
      </c>
      <c r="P56" s="162">
        <f t="shared" si="3"/>
        <v>6.9470779198735899E-2</v>
      </c>
      <c r="Q56" s="178">
        <f t="shared" si="4"/>
        <v>7.2000000000000008E-2</v>
      </c>
      <c r="R56" s="168"/>
      <c r="S56" s="56"/>
      <c r="T56" s="56"/>
      <c r="U56" s="56"/>
      <c r="V56" s="162" t="str">
        <f t="shared" si="0"/>
        <v/>
      </c>
      <c r="W56" s="178" t="str">
        <f t="shared" si="1"/>
        <v/>
      </c>
      <c r="X56" s="172"/>
      <c r="Y56" s="10"/>
      <c r="Z56" s="153">
        <v>10</v>
      </c>
      <c r="AA56" s="56"/>
      <c r="AB56" s="56"/>
      <c r="AC56" s="56"/>
      <c r="AD56" s="56"/>
      <c r="AE56" s="174"/>
      <c r="AF56" s="56"/>
      <c r="AG56" s="56"/>
      <c r="AH56" s="172"/>
      <c r="AI56" s="153">
        <v>20</v>
      </c>
      <c r="AJ56" s="153">
        <v>20</v>
      </c>
      <c r="AK56" s="153">
        <v>20</v>
      </c>
      <c r="AL56" s="56"/>
      <c r="AM56" s="56"/>
      <c r="AN56" s="153">
        <v>20</v>
      </c>
      <c r="AO56" s="172"/>
      <c r="AP56" s="153">
        <v>20</v>
      </c>
      <c r="AQ56" s="153">
        <v>20</v>
      </c>
      <c r="AR56" s="153">
        <v>20</v>
      </c>
      <c r="AS56" s="56"/>
      <c r="AT56" s="56"/>
      <c r="AU56" s="153">
        <v>20</v>
      </c>
      <c r="AV56" s="153">
        <v>600</v>
      </c>
      <c r="AW56" s="172"/>
      <c r="AX56" s="153">
        <v>10</v>
      </c>
      <c r="AY56" s="153">
        <v>10</v>
      </c>
      <c r="AZ56" s="153">
        <v>20</v>
      </c>
      <c r="BA56" s="172"/>
      <c r="BB56" s="153">
        <v>300</v>
      </c>
      <c r="BC56" s="10"/>
      <c r="BD56" s="153">
        <v>210</v>
      </c>
      <c r="BE56" s="153">
        <v>210</v>
      </c>
      <c r="BF56" s="153">
        <v>210</v>
      </c>
      <c r="BG56" s="56"/>
      <c r="BI56" s="153">
        <v>210</v>
      </c>
      <c r="BK56" s="153">
        <v>210</v>
      </c>
      <c r="BO56" s="145"/>
      <c r="CI56" s="145"/>
      <c r="CY56" s="145"/>
      <c r="DA56" s="156">
        <v>130</v>
      </c>
      <c r="DB56" s="156">
        <v>130</v>
      </c>
      <c r="DE56" s="153">
        <v>210</v>
      </c>
    </row>
    <row r="57" spans="1:109" s="97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6" t="s">
        <v>1201</v>
      </c>
      <c r="H57" s="56">
        <v>1</v>
      </c>
      <c r="I57" s="56" t="s">
        <v>1202</v>
      </c>
      <c r="J57" s="56" t="s">
        <v>1216</v>
      </c>
      <c r="K57" s="56"/>
      <c r="L57" s="165">
        <v>360</v>
      </c>
      <c r="M57" s="10"/>
      <c r="N57" s="56"/>
      <c r="O57" s="56">
        <v>10</v>
      </c>
      <c r="P57" s="162">
        <f t="shared" si="3"/>
        <v>0.13411848672575966</v>
      </c>
      <c r="Q57" s="178">
        <f t="shared" si="4"/>
        <v>0.14400000000000002</v>
      </c>
      <c r="R57" s="168"/>
      <c r="S57" s="56"/>
      <c r="T57" s="56"/>
      <c r="U57" s="56"/>
      <c r="V57" s="162" t="str">
        <f t="shared" si="0"/>
        <v/>
      </c>
      <c r="W57" s="178" t="str">
        <f t="shared" si="1"/>
        <v/>
      </c>
      <c r="X57" s="172"/>
      <c r="Y57" s="10"/>
      <c r="Z57" s="56"/>
      <c r="AA57" s="56"/>
      <c r="AB57" s="56"/>
      <c r="AC57" s="56"/>
      <c r="AD57" s="56"/>
      <c r="AE57" s="174"/>
      <c r="AF57" s="56"/>
      <c r="AG57" s="56"/>
      <c r="AH57" s="172"/>
      <c r="AI57" s="56"/>
      <c r="AJ57" s="56"/>
      <c r="AK57" s="56"/>
      <c r="AL57" s="56"/>
      <c r="AM57" s="56"/>
      <c r="AN57" s="56"/>
      <c r="AO57" s="172"/>
      <c r="AP57" s="56"/>
      <c r="AQ57" s="56"/>
      <c r="AR57" s="56"/>
      <c r="AS57" s="56"/>
      <c r="AT57" s="56"/>
      <c r="AU57" s="56"/>
      <c r="AV57" s="56"/>
      <c r="AW57" s="172"/>
      <c r="AX57" s="153">
        <v>50</v>
      </c>
      <c r="AY57" s="153">
        <v>50</v>
      </c>
      <c r="AZ57" s="153"/>
      <c r="BA57" s="172"/>
      <c r="BB57" s="56"/>
      <c r="BC57" s="10"/>
      <c r="BD57" s="56"/>
      <c r="BE57" s="56"/>
      <c r="BF57" s="56"/>
      <c r="BG57" s="56"/>
      <c r="BO57" s="145"/>
      <c r="CI57" s="145"/>
      <c r="CY57" s="145"/>
    </row>
    <row r="58" spans="1:109" s="97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6" t="s">
        <v>990</v>
      </c>
      <c r="H58" s="56">
        <v>3</v>
      </c>
      <c r="I58" s="56" t="s">
        <v>1202</v>
      </c>
      <c r="J58" s="56" t="s">
        <v>1216</v>
      </c>
      <c r="K58" s="56"/>
      <c r="L58" s="165">
        <v>360</v>
      </c>
      <c r="M58" s="10"/>
      <c r="N58" s="56"/>
      <c r="O58" s="56">
        <v>8</v>
      </c>
      <c r="P58" s="162">
        <f t="shared" si="3"/>
        <v>0.10881621829913368</v>
      </c>
      <c r="Q58" s="178">
        <f t="shared" si="4"/>
        <v>0.11520000000000001</v>
      </c>
      <c r="R58" s="168"/>
      <c r="S58" s="56"/>
      <c r="T58" s="56"/>
      <c r="U58" s="56"/>
      <c r="V58" s="162" t="str">
        <f t="shared" si="0"/>
        <v/>
      </c>
      <c r="W58" s="178" t="str">
        <f t="shared" si="1"/>
        <v/>
      </c>
      <c r="X58" s="172"/>
      <c r="Y58" s="10"/>
      <c r="Z58" s="56"/>
      <c r="AA58" s="56"/>
      <c r="AB58" s="56"/>
      <c r="AC58" s="56"/>
      <c r="AD58" s="56"/>
      <c r="AE58" s="174"/>
      <c r="AF58" s="56"/>
      <c r="AG58" s="56"/>
      <c r="AH58" s="172"/>
      <c r="AI58" s="56"/>
      <c r="AJ58" s="56"/>
      <c r="AK58" s="56"/>
      <c r="AL58" s="56"/>
      <c r="AM58" s="56"/>
      <c r="AN58" s="56"/>
      <c r="AO58" s="172"/>
      <c r="AP58" s="56"/>
      <c r="AQ58" s="56"/>
      <c r="AR58" s="56"/>
      <c r="AS58" s="56"/>
      <c r="AT58" s="56"/>
      <c r="AU58" s="56"/>
      <c r="AV58" s="56"/>
      <c r="AW58" s="172"/>
      <c r="AX58" s="153">
        <v>30</v>
      </c>
      <c r="AY58" s="153">
        <v>30</v>
      </c>
      <c r="AZ58" s="153"/>
      <c r="BA58" s="172"/>
      <c r="BB58" s="56"/>
      <c r="BC58" s="10"/>
      <c r="BD58" s="56"/>
      <c r="BE58" s="56"/>
      <c r="BF58" s="56"/>
      <c r="BG58" s="56"/>
      <c r="BO58" s="145"/>
      <c r="CI58" s="145"/>
      <c r="CY58" s="145"/>
    </row>
    <row r="59" spans="1:109" s="97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6" t="s">
        <v>991</v>
      </c>
      <c r="H59" s="56">
        <v>5</v>
      </c>
      <c r="I59" s="56" t="s">
        <v>1202</v>
      </c>
      <c r="J59" s="56" t="s">
        <v>1216</v>
      </c>
      <c r="K59" s="56"/>
      <c r="L59" s="165">
        <v>360</v>
      </c>
      <c r="M59" s="10"/>
      <c r="N59" s="56"/>
      <c r="O59" s="56">
        <v>5</v>
      </c>
      <c r="P59" s="162">
        <f t="shared" si="3"/>
        <v>6.9470779198735899E-2</v>
      </c>
      <c r="Q59" s="178">
        <f t="shared" si="4"/>
        <v>7.2000000000000008E-2</v>
      </c>
      <c r="R59" s="168"/>
      <c r="S59" s="56"/>
      <c r="T59" s="56"/>
      <c r="U59" s="56"/>
      <c r="V59" s="162" t="str">
        <f t="shared" si="0"/>
        <v/>
      </c>
      <c r="W59" s="178" t="str">
        <f t="shared" si="1"/>
        <v/>
      </c>
      <c r="X59" s="172"/>
      <c r="Y59" s="10"/>
      <c r="Z59" s="56"/>
      <c r="AA59" s="56"/>
      <c r="AB59" s="56"/>
      <c r="AC59" s="56"/>
      <c r="AD59" s="56"/>
      <c r="AE59" s="174"/>
      <c r="AF59" s="56"/>
      <c r="AG59" s="56"/>
      <c r="AH59" s="172"/>
      <c r="AI59" s="56"/>
      <c r="AJ59" s="56"/>
      <c r="AK59" s="56"/>
      <c r="AL59" s="56"/>
      <c r="AM59" s="56"/>
      <c r="AN59" s="56"/>
      <c r="AO59" s="172"/>
      <c r="AP59" s="56"/>
      <c r="AQ59" s="56"/>
      <c r="AR59" s="56"/>
      <c r="AS59" s="56"/>
      <c r="AT59" s="56"/>
      <c r="AU59" s="56"/>
      <c r="AV59" s="56"/>
      <c r="AW59" s="172"/>
      <c r="AX59" s="153">
        <v>0</v>
      </c>
      <c r="AY59" s="153">
        <v>0</v>
      </c>
      <c r="AZ59" s="153"/>
      <c r="BA59" s="172"/>
      <c r="BB59" s="56"/>
      <c r="BC59" s="10"/>
      <c r="BD59" s="56"/>
      <c r="BE59" s="56"/>
      <c r="BF59" s="56"/>
      <c r="BG59" s="56"/>
      <c r="BO59" s="145"/>
      <c r="CI59" s="145"/>
      <c r="CY59" s="145"/>
    </row>
    <row r="60" spans="1:109" s="97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6" t="s">
        <v>897</v>
      </c>
      <c r="H60" s="56">
        <v>1</v>
      </c>
      <c r="I60" s="56" t="s">
        <v>1203</v>
      </c>
      <c r="J60" s="56" t="s">
        <v>1217</v>
      </c>
      <c r="K60" s="56"/>
      <c r="L60" s="165">
        <v>360</v>
      </c>
      <c r="M60" s="10"/>
      <c r="N60" s="56"/>
      <c r="O60" s="56">
        <v>10</v>
      </c>
      <c r="P60" s="162">
        <f t="shared" si="3"/>
        <v>0.13411848672575966</v>
      </c>
      <c r="Q60" s="178">
        <f t="shared" si="4"/>
        <v>0.14400000000000002</v>
      </c>
      <c r="R60" s="168"/>
      <c r="S60" s="56"/>
      <c r="T60" s="56"/>
      <c r="U60" s="56"/>
      <c r="V60" s="162" t="str">
        <f t="shared" si="0"/>
        <v/>
      </c>
      <c r="W60" s="178" t="str">
        <f t="shared" si="1"/>
        <v/>
      </c>
      <c r="X60" s="172"/>
      <c r="Y60" s="10"/>
      <c r="Z60" s="56"/>
      <c r="AA60" s="56"/>
      <c r="AB60" s="56"/>
      <c r="AC60" s="56"/>
      <c r="AD60" s="56"/>
      <c r="AE60" s="174"/>
      <c r="AF60" s="56"/>
      <c r="AG60" s="56"/>
      <c r="AH60" s="172"/>
      <c r="AI60" s="153">
        <v>60</v>
      </c>
      <c r="AJ60" s="153">
        <v>60</v>
      </c>
      <c r="AK60" s="153">
        <v>60</v>
      </c>
      <c r="AL60" s="56"/>
      <c r="AM60" s="56"/>
      <c r="AN60" s="153">
        <v>60</v>
      </c>
      <c r="AO60" s="172"/>
      <c r="AP60" s="153">
        <v>60</v>
      </c>
      <c r="AQ60" s="153">
        <v>60</v>
      </c>
      <c r="AR60" s="153">
        <v>60</v>
      </c>
      <c r="AS60" s="56"/>
      <c r="AT60" s="56"/>
      <c r="AU60" s="153">
        <v>60</v>
      </c>
      <c r="AV60" s="56"/>
      <c r="AW60" s="172"/>
      <c r="AX60" s="56"/>
      <c r="AY60" s="56"/>
      <c r="AZ60" s="56"/>
      <c r="BA60" s="172"/>
      <c r="BB60" s="56"/>
      <c r="BC60" s="10"/>
      <c r="BD60" s="153">
        <v>150</v>
      </c>
      <c r="BE60" s="153">
        <v>150</v>
      </c>
      <c r="BF60" s="153">
        <v>150</v>
      </c>
      <c r="BG60" s="56"/>
      <c r="BI60" s="153">
        <v>150</v>
      </c>
      <c r="BK60" s="153">
        <v>150</v>
      </c>
      <c r="BO60" s="145"/>
      <c r="CI60" s="145"/>
      <c r="CY60" s="145"/>
      <c r="DA60" s="156">
        <v>110</v>
      </c>
      <c r="DB60" s="156">
        <v>110</v>
      </c>
      <c r="DE60" s="153">
        <v>150</v>
      </c>
    </row>
    <row r="61" spans="1:109" s="97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6" t="s">
        <v>898</v>
      </c>
      <c r="H61" s="56">
        <v>3</v>
      </c>
      <c r="I61" s="56" t="s">
        <v>1203</v>
      </c>
      <c r="J61" s="56" t="s">
        <v>1217</v>
      </c>
      <c r="K61" s="56"/>
      <c r="L61" s="165">
        <v>360</v>
      </c>
      <c r="M61" s="10"/>
      <c r="N61" s="56"/>
      <c r="O61" s="56">
        <v>8</v>
      </c>
      <c r="P61" s="162">
        <f t="shared" si="3"/>
        <v>0.10881621829913368</v>
      </c>
      <c r="Q61" s="178">
        <f t="shared" si="4"/>
        <v>0.11520000000000001</v>
      </c>
      <c r="R61" s="168"/>
      <c r="S61" s="56"/>
      <c r="T61" s="56"/>
      <c r="U61" s="56"/>
      <c r="V61" s="162" t="str">
        <f t="shared" si="0"/>
        <v/>
      </c>
      <c r="W61" s="178" t="str">
        <f t="shared" si="1"/>
        <v/>
      </c>
      <c r="X61" s="172"/>
      <c r="Y61" s="10"/>
      <c r="Z61" s="56"/>
      <c r="AA61" s="56"/>
      <c r="AB61" s="56"/>
      <c r="AC61" s="56"/>
      <c r="AD61" s="56"/>
      <c r="AE61" s="174"/>
      <c r="AF61" s="56"/>
      <c r="AG61" s="56"/>
      <c r="AH61" s="172"/>
      <c r="AI61" s="153">
        <v>30</v>
      </c>
      <c r="AJ61" s="153">
        <v>30</v>
      </c>
      <c r="AK61" s="153">
        <v>30</v>
      </c>
      <c r="AL61" s="56"/>
      <c r="AM61" s="56"/>
      <c r="AN61" s="153">
        <v>30</v>
      </c>
      <c r="AO61" s="172"/>
      <c r="AP61" s="153">
        <v>30</v>
      </c>
      <c r="AQ61" s="153">
        <v>30</v>
      </c>
      <c r="AR61" s="153">
        <v>30</v>
      </c>
      <c r="AS61" s="56"/>
      <c r="AT61" s="56"/>
      <c r="AU61" s="153">
        <v>30</v>
      </c>
      <c r="AV61" s="56"/>
      <c r="AW61" s="172"/>
      <c r="AX61" s="56"/>
      <c r="AY61" s="56"/>
      <c r="AZ61" s="56"/>
      <c r="BA61" s="172"/>
      <c r="BB61" s="56"/>
      <c r="BC61" s="10"/>
      <c r="BD61" s="153">
        <v>180</v>
      </c>
      <c r="BE61" s="153">
        <v>180</v>
      </c>
      <c r="BF61" s="153">
        <v>180</v>
      </c>
      <c r="BG61" s="56"/>
      <c r="BI61" s="153">
        <v>180</v>
      </c>
      <c r="BK61" s="153">
        <v>180</v>
      </c>
      <c r="BO61" s="145"/>
      <c r="CI61" s="145"/>
      <c r="CY61" s="145"/>
      <c r="DA61" s="156">
        <v>120</v>
      </c>
      <c r="DB61" s="156">
        <v>120</v>
      </c>
      <c r="DE61" s="153">
        <v>180</v>
      </c>
    </row>
    <row r="62" spans="1:109" s="97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6" t="s">
        <v>899</v>
      </c>
      <c r="H62" s="56">
        <v>5</v>
      </c>
      <c r="I62" s="56" t="s">
        <v>1203</v>
      </c>
      <c r="J62" s="56" t="s">
        <v>1217</v>
      </c>
      <c r="K62" s="56"/>
      <c r="L62" s="165">
        <v>360</v>
      </c>
      <c r="M62" s="10"/>
      <c r="N62" s="56"/>
      <c r="O62" s="56">
        <v>5</v>
      </c>
      <c r="P62" s="162">
        <f t="shared" si="3"/>
        <v>6.9470779198735899E-2</v>
      </c>
      <c r="Q62" s="178">
        <f t="shared" si="4"/>
        <v>7.2000000000000008E-2</v>
      </c>
      <c r="R62" s="168"/>
      <c r="S62" s="56"/>
      <c r="T62" s="56"/>
      <c r="U62" s="56"/>
      <c r="V62" s="162" t="str">
        <f t="shared" si="0"/>
        <v/>
      </c>
      <c r="W62" s="178" t="str">
        <f t="shared" si="1"/>
        <v/>
      </c>
      <c r="X62" s="172"/>
      <c r="Y62" s="10"/>
      <c r="Z62" s="56"/>
      <c r="AA62" s="56"/>
      <c r="AB62" s="56"/>
      <c r="AC62" s="56"/>
      <c r="AD62" s="56"/>
      <c r="AE62" s="174"/>
      <c r="AF62" s="56"/>
      <c r="AG62" s="56"/>
      <c r="AH62" s="172"/>
      <c r="AI62" s="153">
        <v>0</v>
      </c>
      <c r="AJ62" s="153">
        <v>0</v>
      </c>
      <c r="AK62" s="153">
        <v>0</v>
      </c>
      <c r="AL62" s="56"/>
      <c r="AM62" s="56"/>
      <c r="AN62" s="153">
        <v>0</v>
      </c>
      <c r="AO62" s="172"/>
      <c r="AP62" s="153">
        <v>0</v>
      </c>
      <c r="AQ62" s="153">
        <v>0</v>
      </c>
      <c r="AR62" s="153">
        <v>0</v>
      </c>
      <c r="AS62" s="56"/>
      <c r="AT62" s="56"/>
      <c r="AU62" s="153">
        <v>0</v>
      </c>
      <c r="AV62" s="56"/>
      <c r="AW62" s="172"/>
      <c r="AX62" s="56"/>
      <c r="AY62" s="56"/>
      <c r="AZ62" s="56"/>
      <c r="BA62" s="172"/>
      <c r="BB62" s="56"/>
      <c r="BC62" s="10"/>
      <c r="BD62" s="153">
        <v>260</v>
      </c>
      <c r="BE62" s="153">
        <v>260</v>
      </c>
      <c r="BF62" s="153">
        <v>260</v>
      </c>
      <c r="BG62" s="56"/>
      <c r="BI62" s="153">
        <v>260</v>
      </c>
      <c r="BK62" s="153">
        <v>260</v>
      </c>
      <c r="BO62" s="145"/>
      <c r="CI62" s="145"/>
      <c r="CY62" s="145"/>
      <c r="DA62" s="156">
        <v>130</v>
      </c>
      <c r="DB62" s="156">
        <v>130</v>
      </c>
      <c r="DE62" s="153">
        <v>260</v>
      </c>
    </row>
    <row r="63" spans="1:109" s="97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6" t="s">
        <v>992</v>
      </c>
      <c r="H63" s="56">
        <v>1</v>
      </c>
      <c r="I63" s="56" t="s">
        <v>1204</v>
      </c>
      <c r="J63" s="56" t="s">
        <v>1218</v>
      </c>
      <c r="K63" s="56"/>
      <c r="L63" s="165">
        <v>360</v>
      </c>
      <c r="M63" s="10"/>
      <c r="N63" s="56"/>
      <c r="O63" s="56">
        <v>10</v>
      </c>
      <c r="P63" s="162">
        <f t="shared" si="3"/>
        <v>0.13411848672575966</v>
      </c>
      <c r="Q63" s="178">
        <f t="shared" si="4"/>
        <v>0.14400000000000002</v>
      </c>
      <c r="R63" s="168"/>
      <c r="S63" s="56"/>
      <c r="T63" s="56"/>
      <c r="U63" s="56"/>
      <c r="V63" s="162" t="str">
        <f t="shared" si="0"/>
        <v/>
      </c>
      <c r="W63" s="178" t="str">
        <f t="shared" si="1"/>
        <v/>
      </c>
      <c r="X63" s="172"/>
      <c r="Y63" s="10"/>
      <c r="Z63" s="56"/>
      <c r="AA63" s="56"/>
      <c r="AB63" s="56"/>
      <c r="AC63" s="56"/>
      <c r="AD63" s="56"/>
      <c r="AE63" s="174"/>
      <c r="AF63" s="56"/>
      <c r="AG63" s="56"/>
      <c r="AH63" s="172"/>
      <c r="AI63" s="153">
        <v>60</v>
      </c>
      <c r="AJ63" s="56"/>
      <c r="AK63" s="56"/>
      <c r="AL63" s="56"/>
      <c r="AM63" s="56"/>
      <c r="AN63" s="56"/>
      <c r="AO63" s="172"/>
      <c r="AP63" s="153">
        <v>60</v>
      </c>
      <c r="AQ63" s="56"/>
      <c r="AR63" s="56"/>
      <c r="AS63" s="56"/>
      <c r="AT63" s="56"/>
      <c r="AU63" s="56"/>
      <c r="AV63" s="56"/>
      <c r="AW63" s="172"/>
      <c r="AX63" s="56"/>
      <c r="AY63" s="56"/>
      <c r="AZ63" s="56"/>
      <c r="BA63" s="172"/>
      <c r="BB63" s="56"/>
      <c r="BC63" s="10"/>
      <c r="BD63" s="153">
        <v>150</v>
      </c>
      <c r="BE63" s="56"/>
      <c r="BF63" s="56"/>
      <c r="BG63" s="56"/>
      <c r="BO63" s="145"/>
      <c r="CI63" s="145"/>
      <c r="CY63" s="145"/>
      <c r="DB63" s="156">
        <v>110</v>
      </c>
    </row>
    <row r="64" spans="1:109" s="97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6" t="s">
        <v>993</v>
      </c>
      <c r="H64" s="56">
        <v>3</v>
      </c>
      <c r="I64" s="56" t="s">
        <v>1204</v>
      </c>
      <c r="J64" s="56" t="s">
        <v>1218</v>
      </c>
      <c r="K64" s="56"/>
      <c r="L64" s="165">
        <v>360</v>
      </c>
      <c r="M64" s="10"/>
      <c r="N64" s="56"/>
      <c r="O64" s="56">
        <v>8</v>
      </c>
      <c r="P64" s="162">
        <f t="shared" si="3"/>
        <v>0.10881621829913368</v>
      </c>
      <c r="Q64" s="178">
        <f t="shared" si="4"/>
        <v>0.11520000000000001</v>
      </c>
      <c r="R64" s="168"/>
      <c r="S64" s="56"/>
      <c r="T64" s="56"/>
      <c r="U64" s="56"/>
      <c r="V64" s="162" t="str">
        <f t="shared" si="0"/>
        <v/>
      </c>
      <c r="W64" s="178" t="str">
        <f t="shared" si="1"/>
        <v/>
      </c>
      <c r="X64" s="172"/>
      <c r="Y64" s="10"/>
      <c r="Z64" s="56"/>
      <c r="AA64" s="56"/>
      <c r="AB64" s="56"/>
      <c r="AC64" s="56"/>
      <c r="AD64" s="56"/>
      <c r="AE64" s="174"/>
      <c r="AF64" s="56"/>
      <c r="AG64" s="56"/>
      <c r="AH64" s="172"/>
      <c r="AI64" s="153">
        <v>30</v>
      </c>
      <c r="AJ64" s="56"/>
      <c r="AK64" s="56"/>
      <c r="AL64" s="56"/>
      <c r="AM64" s="56"/>
      <c r="AN64" s="56"/>
      <c r="AO64" s="172"/>
      <c r="AP64" s="153">
        <v>30</v>
      </c>
      <c r="AQ64" s="56"/>
      <c r="AR64" s="56"/>
      <c r="AS64" s="56"/>
      <c r="AT64" s="56"/>
      <c r="AU64" s="56"/>
      <c r="AV64" s="56"/>
      <c r="AW64" s="172"/>
      <c r="AX64" s="56"/>
      <c r="AY64" s="56"/>
      <c r="AZ64" s="56"/>
      <c r="BA64" s="172"/>
      <c r="BB64" s="56"/>
      <c r="BC64" s="10"/>
      <c r="BD64" s="153">
        <v>180</v>
      </c>
      <c r="BE64" s="56"/>
      <c r="BF64" s="56"/>
      <c r="BG64" s="56"/>
      <c r="BO64" s="145"/>
      <c r="CI64" s="145"/>
      <c r="CY64" s="145"/>
      <c r="DB64" s="156">
        <v>120</v>
      </c>
    </row>
    <row r="65" spans="1:109" s="97" customFormat="1" x14ac:dyDescent="0.15">
      <c r="A65" s="11">
        <f t="shared" ref="A65:A84" si="5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6" t="s">
        <v>994</v>
      </c>
      <c r="H65" s="56">
        <v>5</v>
      </c>
      <c r="I65" s="56" t="s">
        <v>1204</v>
      </c>
      <c r="J65" s="56" t="s">
        <v>1218</v>
      </c>
      <c r="K65" s="56"/>
      <c r="L65" s="165">
        <v>360</v>
      </c>
      <c r="M65" s="10"/>
      <c r="N65" s="56"/>
      <c r="O65" s="56">
        <v>5</v>
      </c>
      <c r="P65" s="162">
        <f t="shared" si="3"/>
        <v>6.9470779198735899E-2</v>
      </c>
      <c r="Q65" s="178">
        <f t="shared" si="4"/>
        <v>7.2000000000000008E-2</v>
      </c>
      <c r="R65" s="168"/>
      <c r="S65" s="56"/>
      <c r="T65" s="56"/>
      <c r="U65" s="56"/>
      <c r="V65" s="162" t="str">
        <f t="shared" si="0"/>
        <v/>
      </c>
      <c r="W65" s="178" t="str">
        <f t="shared" si="1"/>
        <v/>
      </c>
      <c r="X65" s="172"/>
      <c r="Y65" s="10"/>
      <c r="Z65" s="56"/>
      <c r="AA65" s="56"/>
      <c r="AB65" s="56"/>
      <c r="AC65" s="56"/>
      <c r="AD65" s="56"/>
      <c r="AE65" s="174"/>
      <c r="AF65" s="56"/>
      <c r="AG65" s="56"/>
      <c r="AH65" s="172"/>
      <c r="AI65" s="153">
        <v>0</v>
      </c>
      <c r="AJ65" s="56"/>
      <c r="AK65" s="56"/>
      <c r="AL65" s="56"/>
      <c r="AM65" s="56"/>
      <c r="AN65" s="56"/>
      <c r="AO65" s="172"/>
      <c r="AP65" s="153">
        <v>0</v>
      </c>
      <c r="AQ65" s="56"/>
      <c r="AR65" s="56"/>
      <c r="AS65" s="56"/>
      <c r="AT65" s="56"/>
      <c r="AU65" s="56"/>
      <c r="AV65" s="56"/>
      <c r="AW65" s="172"/>
      <c r="AX65" s="56"/>
      <c r="AY65" s="56"/>
      <c r="AZ65" s="56"/>
      <c r="BA65" s="172"/>
      <c r="BB65" s="56"/>
      <c r="BC65" s="10"/>
      <c r="BD65" s="153">
        <v>260</v>
      </c>
      <c r="BE65" s="56"/>
      <c r="BF65" s="56"/>
      <c r="BG65" s="56"/>
      <c r="BO65" s="145"/>
      <c r="CI65" s="145"/>
      <c r="CY65" s="145"/>
      <c r="DB65" s="156">
        <v>130</v>
      </c>
    </row>
    <row r="66" spans="1:109" x14ac:dyDescent="0.15">
      <c r="A66" s="11">
        <f t="shared" si="5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6" t="s">
        <v>1091</v>
      </c>
      <c r="H66" s="56">
        <v>1</v>
      </c>
      <c r="I66" s="56" t="s">
        <v>1205</v>
      </c>
      <c r="J66" s="56" t="s">
        <v>1219</v>
      </c>
      <c r="L66" s="165">
        <v>360</v>
      </c>
      <c r="O66" s="56">
        <v>25</v>
      </c>
      <c r="P66" s="162">
        <f t="shared" si="3"/>
        <v>0.30235507389056804</v>
      </c>
      <c r="Q66" s="178">
        <f t="shared" si="4"/>
        <v>0.36</v>
      </c>
      <c r="V66" s="162" t="str">
        <f t="shared" si="0"/>
        <v/>
      </c>
      <c r="W66" s="178" t="str">
        <f t="shared" si="1"/>
        <v/>
      </c>
      <c r="Z66" s="153">
        <v>90</v>
      </c>
      <c r="AP66" s="153">
        <v>130</v>
      </c>
      <c r="AQ66" s="153">
        <v>130</v>
      </c>
      <c r="AR66" s="153">
        <v>130</v>
      </c>
      <c r="AU66" s="153">
        <v>130</v>
      </c>
      <c r="AZ66" s="153">
        <v>120</v>
      </c>
      <c r="BD66" s="153">
        <v>80</v>
      </c>
      <c r="BE66" s="153">
        <v>80</v>
      </c>
      <c r="BF66" s="153">
        <v>80</v>
      </c>
      <c r="BG66" s="153">
        <v>130</v>
      </c>
      <c r="BH66" s="109"/>
      <c r="BI66" s="153">
        <v>80</v>
      </c>
      <c r="BK66" s="153">
        <v>80</v>
      </c>
      <c r="CZ66" s="153">
        <v>80</v>
      </c>
      <c r="DA66" s="153">
        <v>80</v>
      </c>
      <c r="DB66" s="153">
        <v>80</v>
      </c>
      <c r="DC66" s="156">
        <v>130</v>
      </c>
      <c r="DE66" s="153">
        <v>80</v>
      </c>
    </row>
    <row r="67" spans="1:109" x14ac:dyDescent="0.15">
      <c r="A67" s="11">
        <f t="shared" si="5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6" t="s">
        <v>1092</v>
      </c>
      <c r="H67" s="56">
        <v>3</v>
      </c>
      <c r="I67" s="56" t="s">
        <v>1205</v>
      </c>
      <c r="J67" s="56" t="s">
        <v>1219</v>
      </c>
      <c r="L67" s="165">
        <v>360</v>
      </c>
      <c r="O67" s="56">
        <v>20</v>
      </c>
      <c r="P67" s="162">
        <f t="shared" si="3"/>
        <v>0.25026000346329735</v>
      </c>
      <c r="Q67" s="178">
        <f t="shared" si="4"/>
        <v>0.28800000000000003</v>
      </c>
      <c r="V67" s="162" t="str">
        <f t="shared" si="0"/>
        <v/>
      </c>
      <c r="W67" s="178" t="str">
        <f t="shared" si="1"/>
        <v/>
      </c>
      <c r="Z67" s="153">
        <v>80</v>
      </c>
      <c r="AP67" s="153">
        <v>160</v>
      </c>
      <c r="AQ67" s="153">
        <v>160</v>
      </c>
      <c r="AR67" s="153">
        <v>160</v>
      </c>
      <c r="AU67" s="153">
        <v>160</v>
      </c>
      <c r="AZ67" s="153">
        <v>150</v>
      </c>
      <c r="BD67" s="153">
        <v>70</v>
      </c>
      <c r="BE67" s="153">
        <v>70</v>
      </c>
      <c r="BF67" s="153">
        <v>70</v>
      </c>
      <c r="BG67" s="153">
        <v>150</v>
      </c>
      <c r="BH67" s="109"/>
      <c r="BI67" s="153">
        <v>70</v>
      </c>
      <c r="BK67" s="153">
        <v>70</v>
      </c>
      <c r="CZ67" s="153">
        <v>70</v>
      </c>
      <c r="DA67" s="153">
        <v>70</v>
      </c>
      <c r="DB67" s="153">
        <v>70</v>
      </c>
      <c r="DC67" s="156">
        <v>140</v>
      </c>
      <c r="DE67" s="153">
        <v>70</v>
      </c>
    </row>
    <row r="68" spans="1:109" x14ac:dyDescent="0.15">
      <c r="A68" s="11">
        <f t="shared" si="5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6" t="s">
        <v>1093</v>
      </c>
      <c r="H68" s="56">
        <v>5</v>
      </c>
      <c r="I68" s="56" t="s">
        <v>1205</v>
      </c>
      <c r="J68" s="56" t="s">
        <v>1219</v>
      </c>
      <c r="L68" s="165">
        <v>360</v>
      </c>
      <c r="O68" s="56">
        <v>10</v>
      </c>
      <c r="P68" s="162">
        <f t="shared" si="3"/>
        <v>0.13411848672575966</v>
      </c>
      <c r="Q68" s="178">
        <f t="shared" si="4"/>
        <v>0.14400000000000002</v>
      </c>
      <c r="V68" s="162" t="str">
        <f t="shared" si="0"/>
        <v/>
      </c>
      <c r="W68" s="178" t="str">
        <f t="shared" si="1"/>
        <v/>
      </c>
      <c r="Z68" s="153">
        <v>70</v>
      </c>
      <c r="AP68" s="153">
        <v>200</v>
      </c>
      <c r="AQ68" s="153">
        <v>200</v>
      </c>
      <c r="AR68" s="153">
        <v>200</v>
      </c>
      <c r="AU68" s="153">
        <v>200</v>
      </c>
      <c r="AZ68" s="153">
        <v>180</v>
      </c>
      <c r="BD68" s="153">
        <v>50</v>
      </c>
      <c r="BE68" s="153">
        <v>50</v>
      </c>
      <c r="BF68" s="153">
        <v>50</v>
      </c>
      <c r="BG68" s="153">
        <v>200</v>
      </c>
      <c r="BI68" s="153">
        <v>50</v>
      </c>
      <c r="BK68" s="153">
        <v>50</v>
      </c>
      <c r="CZ68" s="153">
        <v>50</v>
      </c>
      <c r="DA68" s="153">
        <v>50</v>
      </c>
      <c r="DB68" s="153">
        <v>50</v>
      </c>
      <c r="DC68" s="156">
        <v>150</v>
      </c>
      <c r="DE68" s="153">
        <v>50</v>
      </c>
    </row>
    <row r="69" spans="1:109" x14ac:dyDescent="0.15">
      <c r="A69" s="11">
        <f t="shared" si="5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5"/>
      <c r="P69" s="162" t="str">
        <f t="shared" si="3"/>
        <v/>
      </c>
      <c r="Q69" s="178" t="str">
        <f t="shared" si="4"/>
        <v/>
      </c>
      <c r="V69" s="162" t="str">
        <f t="shared" ref="V69:V84" si="6">IF((1-(1-S69/100000)^L69)=0,"",1-(1-S69/100000)^L69)</f>
        <v/>
      </c>
      <c r="W69" s="178" t="str">
        <f t="shared" si="1"/>
        <v/>
      </c>
    </row>
    <row r="70" spans="1:109" x14ac:dyDescent="0.15">
      <c r="A70" s="11">
        <f t="shared" si="5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5"/>
      <c r="P70" s="162" t="str">
        <f t="shared" ref="P70:P133" si="7">IF((1-(1-O70/100000)^1440)=0,"",1-(1-O70/100000)^1440)</f>
        <v/>
      </c>
      <c r="Q70" s="178" t="str">
        <f t="shared" ref="Q70:Q133" si="8">IF((O70/100000)*1440=0,"",(O70/100000)*1440)</f>
        <v/>
      </c>
      <c r="V70" s="162" t="str">
        <f t="shared" si="6"/>
        <v/>
      </c>
      <c r="W70" s="178" t="str">
        <f t="shared" ref="W70:W84" si="9">IF((S70/100000)*L70=0,"",(S70/100000)*L70)</f>
        <v/>
      </c>
    </row>
    <row r="71" spans="1:109" x14ac:dyDescent="0.15">
      <c r="A71" s="11">
        <f t="shared" si="5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5"/>
      <c r="P71" s="162" t="str">
        <f t="shared" si="7"/>
        <v/>
      </c>
      <c r="Q71" s="178" t="str">
        <f t="shared" si="8"/>
        <v/>
      </c>
      <c r="V71" s="162" t="str">
        <f t="shared" si="6"/>
        <v/>
      </c>
      <c r="W71" s="178" t="str">
        <f t="shared" si="9"/>
        <v/>
      </c>
    </row>
    <row r="72" spans="1:109" x14ac:dyDescent="0.15">
      <c r="A72" s="11">
        <f t="shared" si="5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P72" s="162" t="str">
        <f t="shared" si="7"/>
        <v/>
      </c>
      <c r="Q72" s="178" t="str">
        <f t="shared" si="8"/>
        <v/>
      </c>
      <c r="V72" s="162" t="str">
        <f t="shared" si="6"/>
        <v/>
      </c>
      <c r="W72" s="178" t="str">
        <f t="shared" si="9"/>
        <v/>
      </c>
    </row>
    <row r="73" spans="1:109" x14ac:dyDescent="0.15">
      <c r="A73" s="11">
        <f t="shared" si="5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P73" s="162" t="str">
        <f t="shared" si="7"/>
        <v/>
      </c>
      <c r="Q73" s="178" t="str">
        <f t="shared" si="8"/>
        <v/>
      </c>
      <c r="V73" s="162" t="str">
        <f t="shared" si="6"/>
        <v/>
      </c>
      <c r="W73" s="178" t="str">
        <f t="shared" si="9"/>
        <v/>
      </c>
    </row>
    <row r="74" spans="1:109" x14ac:dyDescent="0.15">
      <c r="A74" s="11">
        <f t="shared" si="5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P74" s="162" t="str">
        <f t="shared" si="7"/>
        <v/>
      </c>
      <c r="Q74" s="178" t="str">
        <f t="shared" si="8"/>
        <v/>
      </c>
      <c r="V74" s="162" t="str">
        <f t="shared" si="6"/>
        <v/>
      </c>
      <c r="W74" s="178" t="str">
        <f t="shared" si="9"/>
        <v/>
      </c>
    </row>
    <row r="75" spans="1:109" s="97" customFormat="1" x14ac:dyDescent="0.15">
      <c r="A75" s="11">
        <f t="shared" si="5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6"/>
      <c r="H75" s="56"/>
      <c r="I75" s="56"/>
      <c r="J75" s="56"/>
      <c r="K75" s="56"/>
      <c r="L75" s="165"/>
      <c r="M75" s="10"/>
      <c r="N75" s="56"/>
      <c r="O75" s="56"/>
      <c r="P75" s="162" t="str">
        <f t="shared" si="7"/>
        <v/>
      </c>
      <c r="Q75" s="178" t="str">
        <f t="shared" si="8"/>
        <v/>
      </c>
      <c r="R75" s="168"/>
      <c r="S75" s="56"/>
      <c r="T75" s="56"/>
      <c r="U75" s="56"/>
      <c r="V75" s="162" t="str">
        <f t="shared" si="6"/>
        <v/>
      </c>
      <c r="W75" s="178" t="str">
        <f t="shared" si="9"/>
        <v/>
      </c>
      <c r="X75" s="172"/>
      <c r="Y75" s="10"/>
      <c r="Z75" s="56"/>
      <c r="AA75" s="56"/>
      <c r="AB75" s="56"/>
      <c r="AC75" s="56"/>
      <c r="AD75" s="56"/>
      <c r="AE75" s="174"/>
      <c r="AF75" s="56"/>
      <c r="AG75" s="56"/>
      <c r="AH75" s="172"/>
      <c r="AI75" s="56"/>
      <c r="AJ75" s="56"/>
      <c r="AK75" s="56"/>
      <c r="AL75" s="56"/>
      <c r="AM75" s="56"/>
      <c r="AN75" s="56"/>
      <c r="AO75" s="172"/>
      <c r="AP75" s="56"/>
      <c r="AQ75" s="56"/>
      <c r="AR75" s="56"/>
      <c r="AS75" s="56"/>
      <c r="AT75" s="56"/>
      <c r="AU75" s="56"/>
      <c r="AV75" s="56"/>
      <c r="AW75" s="172"/>
      <c r="AX75" s="56"/>
      <c r="AY75" s="56"/>
      <c r="AZ75" s="56"/>
      <c r="BA75" s="172"/>
      <c r="BB75" s="56"/>
      <c r="BC75" s="10"/>
      <c r="BD75" s="56"/>
      <c r="BE75" s="56"/>
      <c r="BF75" s="56"/>
      <c r="BG75" s="56"/>
      <c r="BO75" s="145"/>
      <c r="CI75" s="145"/>
      <c r="CY75" s="145"/>
    </row>
    <row r="76" spans="1:109" s="97" customFormat="1" x14ac:dyDescent="0.15">
      <c r="A76" s="11">
        <f t="shared" si="5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6"/>
      <c r="H76" s="56"/>
      <c r="I76" s="56"/>
      <c r="J76" s="56"/>
      <c r="K76" s="56"/>
      <c r="L76" s="165"/>
      <c r="M76" s="10"/>
      <c r="N76" s="56"/>
      <c r="O76" s="56"/>
      <c r="P76" s="162" t="str">
        <f t="shared" si="7"/>
        <v/>
      </c>
      <c r="Q76" s="178" t="str">
        <f t="shared" si="8"/>
        <v/>
      </c>
      <c r="R76" s="168"/>
      <c r="S76" s="56"/>
      <c r="T76" s="56"/>
      <c r="U76" s="56"/>
      <c r="V76" s="162" t="str">
        <f t="shared" si="6"/>
        <v/>
      </c>
      <c r="W76" s="178" t="str">
        <f t="shared" si="9"/>
        <v/>
      </c>
      <c r="X76" s="172"/>
      <c r="Y76" s="10"/>
      <c r="Z76" s="56"/>
      <c r="AA76" s="56"/>
      <c r="AB76" s="56"/>
      <c r="AC76" s="56"/>
      <c r="AD76" s="56"/>
      <c r="AE76" s="174"/>
      <c r="AF76" s="56"/>
      <c r="AG76" s="56"/>
      <c r="AH76" s="172"/>
      <c r="AI76" s="56"/>
      <c r="AJ76" s="56"/>
      <c r="AK76" s="56"/>
      <c r="AL76" s="56"/>
      <c r="AM76" s="56"/>
      <c r="AN76" s="56"/>
      <c r="AO76" s="172"/>
      <c r="AP76" s="56"/>
      <c r="AQ76" s="56"/>
      <c r="AR76" s="56"/>
      <c r="AS76" s="56"/>
      <c r="AT76" s="56"/>
      <c r="AU76" s="56"/>
      <c r="AV76" s="56"/>
      <c r="AW76" s="172"/>
      <c r="AX76" s="56"/>
      <c r="AY76" s="56"/>
      <c r="AZ76" s="56"/>
      <c r="BA76" s="172"/>
      <c r="BB76" s="56"/>
      <c r="BC76" s="10"/>
      <c r="BD76" s="56"/>
      <c r="BE76" s="56"/>
      <c r="BF76" s="56"/>
      <c r="BG76" s="56"/>
      <c r="BO76" s="145"/>
      <c r="CI76" s="145"/>
      <c r="CY76" s="145"/>
    </row>
    <row r="77" spans="1:109" s="97" customFormat="1" x14ac:dyDescent="0.15">
      <c r="A77" s="11">
        <f t="shared" si="5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6"/>
      <c r="H77" s="56"/>
      <c r="I77" s="56"/>
      <c r="J77" s="56"/>
      <c r="K77" s="56"/>
      <c r="L77" s="165"/>
      <c r="M77" s="10"/>
      <c r="N77" s="56"/>
      <c r="O77" s="56"/>
      <c r="P77" s="162" t="str">
        <f t="shared" si="7"/>
        <v/>
      </c>
      <c r="Q77" s="178" t="str">
        <f t="shared" si="8"/>
        <v/>
      </c>
      <c r="R77" s="168"/>
      <c r="S77" s="56"/>
      <c r="T77" s="56"/>
      <c r="U77" s="56"/>
      <c r="V77" s="162" t="str">
        <f t="shared" si="6"/>
        <v/>
      </c>
      <c r="W77" s="178" t="str">
        <f t="shared" si="9"/>
        <v/>
      </c>
      <c r="X77" s="172"/>
      <c r="Y77" s="10"/>
      <c r="Z77" s="56"/>
      <c r="AA77" s="56"/>
      <c r="AB77" s="56"/>
      <c r="AC77" s="56"/>
      <c r="AD77" s="56"/>
      <c r="AE77" s="174"/>
      <c r="AF77" s="56"/>
      <c r="AG77" s="56"/>
      <c r="AH77" s="172"/>
      <c r="AI77" s="56"/>
      <c r="AJ77" s="56"/>
      <c r="AK77" s="56"/>
      <c r="AL77" s="56"/>
      <c r="AM77" s="56"/>
      <c r="AN77" s="56"/>
      <c r="AO77" s="172"/>
      <c r="AP77" s="56"/>
      <c r="AQ77" s="56"/>
      <c r="AR77" s="56"/>
      <c r="AS77" s="56"/>
      <c r="AT77" s="56"/>
      <c r="AU77" s="56"/>
      <c r="AV77" s="56"/>
      <c r="AW77" s="172"/>
      <c r="AX77" s="56"/>
      <c r="AY77" s="56"/>
      <c r="AZ77" s="56"/>
      <c r="BA77" s="172"/>
      <c r="BB77" s="56"/>
      <c r="BC77" s="10"/>
      <c r="BD77" s="56"/>
      <c r="BE77" s="56"/>
      <c r="BF77" s="56"/>
      <c r="BG77" s="56"/>
      <c r="BO77" s="145"/>
      <c r="CI77" s="145"/>
      <c r="CY77" s="145"/>
    </row>
    <row r="78" spans="1:109" s="97" customFormat="1" x14ac:dyDescent="0.15">
      <c r="A78" s="11">
        <f t="shared" si="5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6"/>
      <c r="H78" s="56"/>
      <c r="I78" s="56"/>
      <c r="J78" s="56"/>
      <c r="K78" s="56"/>
      <c r="L78" s="165"/>
      <c r="M78" s="10"/>
      <c r="N78" s="56"/>
      <c r="O78" s="56"/>
      <c r="P78" s="162" t="str">
        <f t="shared" si="7"/>
        <v/>
      </c>
      <c r="Q78" s="178" t="str">
        <f t="shared" si="8"/>
        <v/>
      </c>
      <c r="R78" s="168"/>
      <c r="S78" s="56"/>
      <c r="T78" s="56"/>
      <c r="U78" s="56"/>
      <c r="V78" s="162" t="str">
        <f t="shared" si="6"/>
        <v/>
      </c>
      <c r="W78" s="178" t="str">
        <f t="shared" si="9"/>
        <v/>
      </c>
      <c r="X78" s="172"/>
      <c r="Y78" s="10"/>
      <c r="Z78" s="56"/>
      <c r="AA78" s="56"/>
      <c r="AB78" s="56"/>
      <c r="AC78" s="56"/>
      <c r="AD78" s="56"/>
      <c r="AE78" s="174"/>
      <c r="AF78" s="56"/>
      <c r="AG78" s="56"/>
      <c r="AH78" s="172"/>
      <c r="AI78" s="56"/>
      <c r="AJ78" s="56"/>
      <c r="AK78" s="56"/>
      <c r="AL78" s="56"/>
      <c r="AM78" s="56"/>
      <c r="AN78" s="56"/>
      <c r="AO78" s="172"/>
      <c r="AP78" s="56"/>
      <c r="AQ78" s="56"/>
      <c r="AR78" s="56"/>
      <c r="AS78" s="56"/>
      <c r="AT78" s="56"/>
      <c r="AU78" s="56"/>
      <c r="AV78" s="56"/>
      <c r="AW78" s="172"/>
      <c r="AX78" s="56"/>
      <c r="AY78" s="56"/>
      <c r="AZ78" s="56"/>
      <c r="BA78" s="172"/>
      <c r="BB78" s="56"/>
      <c r="BC78" s="10"/>
      <c r="BD78" s="56"/>
      <c r="BE78" s="56"/>
      <c r="BF78" s="56"/>
      <c r="BG78" s="56"/>
      <c r="BO78" s="145"/>
      <c r="CI78" s="145"/>
      <c r="CY78" s="145"/>
    </row>
    <row r="79" spans="1:109" s="97" customFormat="1" x14ac:dyDescent="0.15">
      <c r="A79" s="11">
        <f t="shared" si="5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6"/>
      <c r="H79" s="56"/>
      <c r="I79" s="56"/>
      <c r="J79" s="56"/>
      <c r="K79" s="56"/>
      <c r="L79" s="165"/>
      <c r="M79" s="10"/>
      <c r="N79" s="56"/>
      <c r="O79" s="56"/>
      <c r="P79" s="162" t="str">
        <f t="shared" si="7"/>
        <v/>
      </c>
      <c r="Q79" s="178" t="str">
        <f t="shared" si="8"/>
        <v/>
      </c>
      <c r="R79" s="168"/>
      <c r="S79" s="56"/>
      <c r="T79" s="56"/>
      <c r="U79" s="56"/>
      <c r="V79" s="162" t="str">
        <f t="shared" si="6"/>
        <v/>
      </c>
      <c r="W79" s="178" t="str">
        <f t="shared" si="9"/>
        <v/>
      </c>
      <c r="X79" s="172"/>
      <c r="Y79" s="10"/>
      <c r="Z79" s="56"/>
      <c r="AA79" s="56"/>
      <c r="AB79" s="56"/>
      <c r="AC79" s="56"/>
      <c r="AD79" s="56"/>
      <c r="AE79" s="174"/>
      <c r="AF79" s="56"/>
      <c r="AG79" s="56"/>
      <c r="AH79" s="172"/>
      <c r="AI79" s="56"/>
      <c r="AJ79" s="56"/>
      <c r="AK79" s="56"/>
      <c r="AL79" s="56"/>
      <c r="AM79" s="56"/>
      <c r="AN79" s="56"/>
      <c r="AO79" s="172"/>
      <c r="AP79" s="56"/>
      <c r="AQ79" s="56"/>
      <c r="AR79" s="56"/>
      <c r="AS79" s="56"/>
      <c r="AT79" s="56"/>
      <c r="AU79" s="56"/>
      <c r="AV79" s="56"/>
      <c r="AW79" s="172"/>
      <c r="AX79" s="56"/>
      <c r="AY79" s="56"/>
      <c r="AZ79" s="56"/>
      <c r="BA79" s="172"/>
      <c r="BB79" s="56"/>
      <c r="BC79" s="10"/>
      <c r="BD79" s="56"/>
      <c r="BE79" s="56"/>
      <c r="BF79" s="56"/>
      <c r="BG79" s="56"/>
      <c r="BO79" s="145"/>
      <c r="CI79" s="145"/>
      <c r="CY79" s="145"/>
    </row>
    <row r="80" spans="1:109" s="97" customFormat="1" x14ac:dyDescent="0.15">
      <c r="A80" s="11">
        <f t="shared" si="5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6"/>
      <c r="H80" s="56"/>
      <c r="I80" s="56"/>
      <c r="J80" s="56"/>
      <c r="K80" s="56"/>
      <c r="L80" s="165"/>
      <c r="M80" s="10"/>
      <c r="N80" s="56"/>
      <c r="O80" s="56"/>
      <c r="P80" s="162" t="str">
        <f t="shared" si="7"/>
        <v/>
      </c>
      <c r="Q80" s="178" t="str">
        <f t="shared" si="8"/>
        <v/>
      </c>
      <c r="R80" s="168"/>
      <c r="S80" s="56"/>
      <c r="T80" s="56"/>
      <c r="U80" s="56"/>
      <c r="V80" s="162" t="str">
        <f t="shared" si="6"/>
        <v/>
      </c>
      <c r="W80" s="178" t="str">
        <f t="shared" si="9"/>
        <v/>
      </c>
      <c r="X80" s="172"/>
      <c r="Y80" s="10"/>
      <c r="Z80" s="56"/>
      <c r="AA80" s="56"/>
      <c r="AB80" s="56"/>
      <c r="AC80" s="56"/>
      <c r="AD80" s="56"/>
      <c r="AE80" s="174"/>
      <c r="AF80" s="56"/>
      <c r="AG80" s="56"/>
      <c r="AH80" s="172"/>
      <c r="AI80" s="56"/>
      <c r="AJ80" s="56"/>
      <c r="AK80" s="56"/>
      <c r="AL80" s="56"/>
      <c r="AM80" s="56"/>
      <c r="AN80" s="56"/>
      <c r="AO80" s="172"/>
      <c r="AP80" s="56"/>
      <c r="AQ80" s="56"/>
      <c r="AR80" s="56"/>
      <c r="AS80" s="56"/>
      <c r="AT80" s="56"/>
      <c r="AU80" s="56"/>
      <c r="AV80" s="56"/>
      <c r="AW80" s="172"/>
      <c r="AX80" s="56"/>
      <c r="AY80" s="56"/>
      <c r="AZ80" s="56"/>
      <c r="BA80" s="172"/>
      <c r="BB80" s="56"/>
      <c r="BC80" s="10"/>
      <c r="BD80" s="56"/>
      <c r="BE80" s="56"/>
      <c r="BF80" s="56"/>
      <c r="BG80" s="56"/>
      <c r="BO80" s="145"/>
      <c r="CI80" s="145"/>
      <c r="CY80" s="145"/>
    </row>
    <row r="81" spans="1:106" s="97" customFormat="1" x14ac:dyDescent="0.15">
      <c r="A81" s="11">
        <f t="shared" si="5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6"/>
      <c r="H81" s="56"/>
      <c r="I81" s="56"/>
      <c r="J81" s="56"/>
      <c r="K81" s="56"/>
      <c r="L81" s="165"/>
      <c r="M81" s="10"/>
      <c r="N81" s="56"/>
      <c r="O81" s="56"/>
      <c r="P81" s="162" t="str">
        <f t="shared" si="7"/>
        <v/>
      </c>
      <c r="Q81" s="178" t="str">
        <f t="shared" si="8"/>
        <v/>
      </c>
      <c r="R81" s="168"/>
      <c r="S81" s="56"/>
      <c r="T81" s="56"/>
      <c r="U81" s="56"/>
      <c r="V81" s="162" t="str">
        <f t="shared" si="6"/>
        <v/>
      </c>
      <c r="W81" s="178" t="str">
        <f t="shared" si="9"/>
        <v/>
      </c>
      <c r="X81" s="172"/>
      <c r="Y81" s="10"/>
      <c r="Z81" s="56"/>
      <c r="AA81" s="56"/>
      <c r="AB81" s="56"/>
      <c r="AC81" s="56"/>
      <c r="AD81" s="56"/>
      <c r="AE81" s="174"/>
      <c r="AF81" s="56"/>
      <c r="AG81" s="56"/>
      <c r="AH81" s="172"/>
      <c r="AI81" s="56"/>
      <c r="AJ81" s="56"/>
      <c r="AK81" s="56"/>
      <c r="AL81" s="56"/>
      <c r="AM81" s="56"/>
      <c r="AN81" s="56"/>
      <c r="AO81" s="172"/>
      <c r="AP81" s="56"/>
      <c r="AQ81" s="56"/>
      <c r="AR81" s="56"/>
      <c r="AS81" s="56"/>
      <c r="AT81" s="56"/>
      <c r="AU81" s="56"/>
      <c r="AV81" s="56"/>
      <c r="AW81" s="172"/>
      <c r="AX81" s="56"/>
      <c r="AY81" s="56"/>
      <c r="AZ81" s="56"/>
      <c r="BA81" s="172"/>
      <c r="BB81" s="56"/>
      <c r="BC81" s="10"/>
      <c r="BD81" s="56"/>
      <c r="BE81" s="56"/>
      <c r="BF81" s="56"/>
      <c r="BG81" s="56"/>
      <c r="BO81" s="145"/>
      <c r="CI81" s="145"/>
      <c r="CY81" s="145"/>
    </row>
    <row r="82" spans="1:106" s="97" customFormat="1" x14ac:dyDescent="0.15">
      <c r="A82" s="11">
        <f t="shared" si="5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6"/>
      <c r="H82" s="56"/>
      <c r="I82" s="56"/>
      <c r="J82" s="56"/>
      <c r="K82" s="56"/>
      <c r="L82" s="165"/>
      <c r="M82" s="10"/>
      <c r="N82" s="56"/>
      <c r="O82" s="56"/>
      <c r="P82" s="162" t="str">
        <f t="shared" si="7"/>
        <v/>
      </c>
      <c r="Q82" s="178" t="str">
        <f t="shared" si="8"/>
        <v/>
      </c>
      <c r="R82" s="168"/>
      <c r="S82" s="56"/>
      <c r="T82" s="56"/>
      <c r="U82" s="56"/>
      <c r="V82" s="162" t="str">
        <f t="shared" si="6"/>
        <v/>
      </c>
      <c r="W82" s="178" t="str">
        <f t="shared" si="9"/>
        <v/>
      </c>
      <c r="X82" s="172"/>
      <c r="Y82" s="10"/>
      <c r="Z82" s="56"/>
      <c r="AA82" s="56"/>
      <c r="AB82" s="56"/>
      <c r="AC82" s="56"/>
      <c r="AD82" s="56"/>
      <c r="AE82" s="174"/>
      <c r="AF82" s="56"/>
      <c r="AG82" s="56"/>
      <c r="AH82" s="172"/>
      <c r="AI82" s="56"/>
      <c r="AJ82" s="56"/>
      <c r="AK82" s="56"/>
      <c r="AL82" s="56"/>
      <c r="AM82" s="56"/>
      <c r="AN82" s="56"/>
      <c r="AO82" s="172"/>
      <c r="AP82" s="56"/>
      <c r="AQ82" s="56"/>
      <c r="AR82" s="56"/>
      <c r="AS82" s="56"/>
      <c r="AT82" s="56"/>
      <c r="AU82" s="56"/>
      <c r="AV82" s="56"/>
      <c r="AW82" s="172"/>
      <c r="AX82" s="56"/>
      <c r="AY82" s="56"/>
      <c r="AZ82" s="56"/>
      <c r="BA82" s="172"/>
      <c r="BB82" s="56"/>
      <c r="BC82" s="10"/>
      <c r="BD82" s="56"/>
      <c r="BE82" s="56"/>
      <c r="BF82" s="56"/>
      <c r="BG82" s="56"/>
      <c r="BO82" s="145"/>
      <c r="CI82" s="145"/>
      <c r="CY82" s="145"/>
    </row>
    <row r="83" spans="1:106" s="97" customFormat="1" x14ac:dyDescent="0.15">
      <c r="A83" s="11">
        <f t="shared" si="5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6"/>
      <c r="H83" s="56"/>
      <c r="I83" s="56"/>
      <c r="J83" s="56"/>
      <c r="K83" s="56"/>
      <c r="L83" s="165"/>
      <c r="M83" s="10"/>
      <c r="N83" s="56"/>
      <c r="O83" s="56"/>
      <c r="P83" s="162" t="str">
        <f t="shared" si="7"/>
        <v/>
      </c>
      <c r="Q83" s="178" t="str">
        <f t="shared" si="8"/>
        <v/>
      </c>
      <c r="R83" s="168"/>
      <c r="S83" s="56"/>
      <c r="T83" s="56"/>
      <c r="U83" s="56"/>
      <c r="V83" s="162" t="str">
        <f t="shared" si="6"/>
        <v/>
      </c>
      <c r="W83" s="178" t="str">
        <f t="shared" si="9"/>
        <v/>
      </c>
      <c r="X83" s="172"/>
      <c r="Y83" s="10"/>
      <c r="Z83" s="56"/>
      <c r="AA83" s="56"/>
      <c r="AB83" s="56"/>
      <c r="AC83" s="56"/>
      <c r="AD83" s="56"/>
      <c r="AE83" s="174"/>
      <c r="AF83" s="56"/>
      <c r="AG83" s="56"/>
      <c r="AH83" s="172"/>
      <c r="AI83" s="56"/>
      <c r="AJ83" s="56"/>
      <c r="AK83" s="56"/>
      <c r="AL83" s="56"/>
      <c r="AM83" s="56"/>
      <c r="AN83" s="56"/>
      <c r="AO83" s="172"/>
      <c r="AP83" s="56"/>
      <c r="AQ83" s="56"/>
      <c r="AR83" s="56"/>
      <c r="AS83" s="56"/>
      <c r="AT83" s="56"/>
      <c r="AU83" s="56"/>
      <c r="AV83" s="56"/>
      <c r="AW83" s="172"/>
      <c r="AX83" s="56"/>
      <c r="AY83" s="56"/>
      <c r="AZ83" s="56"/>
      <c r="BA83" s="172"/>
      <c r="BB83" s="56"/>
      <c r="BC83" s="10"/>
      <c r="BD83" s="56"/>
      <c r="BE83" s="56"/>
      <c r="BF83" s="56"/>
      <c r="BG83" s="56"/>
      <c r="BO83" s="145"/>
      <c r="CI83" s="145"/>
      <c r="CY83" s="145"/>
    </row>
    <row r="84" spans="1:106" s="97" customFormat="1" ht="17.25" thickBot="1" x14ac:dyDescent="0.2">
      <c r="A84" s="11">
        <f t="shared" si="5"/>
        <v>60030040</v>
      </c>
      <c r="B84" s="112">
        <v>6</v>
      </c>
      <c r="C84" s="12">
        <v>0</v>
      </c>
      <c r="D84" s="112">
        <v>3</v>
      </c>
      <c r="E84" s="112">
        <v>0</v>
      </c>
      <c r="F84" s="113">
        <v>40</v>
      </c>
      <c r="G84" s="56"/>
      <c r="H84" s="56"/>
      <c r="I84" s="56"/>
      <c r="J84" s="56"/>
      <c r="K84" s="56"/>
      <c r="L84" s="165"/>
      <c r="M84" s="10"/>
      <c r="N84" s="56"/>
      <c r="O84" s="56"/>
      <c r="P84" s="162" t="str">
        <f t="shared" si="7"/>
        <v/>
      </c>
      <c r="Q84" s="178" t="str">
        <f t="shared" si="8"/>
        <v/>
      </c>
      <c r="R84" s="168"/>
      <c r="S84" s="56"/>
      <c r="T84" s="56"/>
      <c r="U84" s="56"/>
      <c r="V84" s="162" t="str">
        <f t="shared" si="6"/>
        <v/>
      </c>
      <c r="W84" s="178" t="str">
        <f t="shared" si="9"/>
        <v/>
      </c>
      <c r="X84" s="172"/>
      <c r="Y84" s="10"/>
      <c r="Z84" s="56"/>
      <c r="AA84" s="56"/>
      <c r="AB84" s="56"/>
      <c r="AC84" s="56"/>
      <c r="AD84" s="56"/>
      <c r="AE84" s="174"/>
      <c r="AF84" s="56"/>
      <c r="AG84" s="56"/>
      <c r="AH84" s="172"/>
      <c r="AI84" s="56"/>
      <c r="AJ84" s="56"/>
      <c r="AK84" s="56"/>
      <c r="AL84" s="56"/>
      <c r="AM84" s="56"/>
      <c r="AN84" s="56"/>
      <c r="AO84" s="172"/>
      <c r="AP84" s="56"/>
      <c r="AQ84" s="56"/>
      <c r="AR84" s="56"/>
      <c r="AS84" s="56"/>
      <c r="AT84" s="56"/>
      <c r="AU84" s="56"/>
      <c r="AV84" s="56"/>
      <c r="AW84" s="172"/>
      <c r="AX84" s="56"/>
      <c r="AY84" s="56"/>
      <c r="AZ84" s="56"/>
      <c r="BA84" s="172"/>
      <c r="BB84" s="56"/>
      <c r="BC84" s="10"/>
      <c r="BD84" s="56"/>
      <c r="BE84" s="56"/>
      <c r="BF84" s="56"/>
      <c r="BG84" s="56"/>
      <c r="BO84" s="145"/>
      <c r="CI84" s="145"/>
      <c r="CY84" s="145"/>
    </row>
    <row r="85" spans="1:106" s="114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7" t="s">
        <v>900</v>
      </c>
      <c r="H85" s="57">
        <v>1</v>
      </c>
      <c r="I85" s="57"/>
      <c r="J85" s="57"/>
      <c r="K85" s="57"/>
      <c r="L85" s="167">
        <v>360</v>
      </c>
      <c r="M85" s="17"/>
      <c r="N85" s="57"/>
      <c r="O85" s="57">
        <v>10</v>
      </c>
      <c r="P85" s="163">
        <f t="shared" si="7"/>
        <v>0.13411848672575966</v>
      </c>
      <c r="Q85" s="179">
        <f t="shared" si="8"/>
        <v>0.14400000000000002</v>
      </c>
      <c r="R85" s="171" t="s">
        <v>1123</v>
      </c>
      <c r="S85" s="57">
        <v>100</v>
      </c>
      <c r="T85" s="57" t="s">
        <v>1127</v>
      </c>
      <c r="U85" s="57" t="s">
        <v>1128</v>
      </c>
      <c r="V85" s="163">
        <f>IF((1-(1-S85/100000)^L85)=0,"",1-(1-S85/100000)^L85)</f>
        <v>0.30244932813489689</v>
      </c>
      <c r="W85" s="179">
        <f>IF((S85/100000)*L85=0,"",(S85/100000)*L85)</f>
        <v>0.36</v>
      </c>
      <c r="X85" s="173"/>
      <c r="Y85" s="17"/>
      <c r="Z85" s="57"/>
      <c r="AA85" s="57"/>
      <c r="AB85" s="57"/>
      <c r="AC85" s="57"/>
      <c r="AD85" s="57"/>
      <c r="AE85" s="176"/>
      <c r="AF85" s="154">
        <v>90</v>
      </c>
      <c r="AG85" s="154">
        <v>90</v>
      </c>
      <c r="AH85" s="173"/>
      <c r="AI85" s="57"/>
      <c r="AJ85" s="57"/>
      <c r="AK85" s="57"/>
      <c r="AL85" s="57"/>
      <c r="AM85" s="57"/>
      <c r="AN85" s="57"/>
      <c r="AO85" s="173"/>
      <c r="AP85" s="57"/>
      <c r="AQ85" s="57"/>
      <c r="AR85" s="57"/>
      <c r="AS85" s="57"/>
      <c r="AT85" s="57"/>
      <c r="AU85" s="57"/>
      <c r="AV85" s="57"/>
      <c r="AW85" s="173"/>
      <c r="AX85" s="57"/>
      <c r="AY85" s="57"/>
      <c r="AZ85" s="57"/>
      <c r="BA85" s="173"/>
      <c r="BB85" s="57"/>
      <c r="BC85" s="17"/>
      <c r="BD85" s="57"/>
      <c r="BE85" s="154">
        <v>150</v>
      </c>
      <c r="BF85" s="154">
        <v>150</v>
      </c>
      <c r="BG85" s="57"/>
      <c r="BN85" s="154">
        <v>250</v>
      </c>
      <c r="BO85" s="144"/>
      <c r="CI85" s="144"/>
      <c r="CY85" s="144"/>
      <c r="DA85" s="155">
        <v>90</v>
      </c>
      <c r="DB85" s="155">
        <v>80</v>
      </c>
    </row>
    <row r="86" spans="1:106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6" t="s">
        <v>901</v>
      </c>
      <c r="H86" s="56">
        <v>3</v>
      </c>
      <c r="L86" s="165">
        <v>360</v>
      </c>
      <c r="O86" s="56">
        <v>8</v>
      </c>
      <c r="P86" s="162">
        <f t="shared" si="7"/>
        <v>0.10881621829913368</v>
      </c>
      <c r="Q86" s="178">
        <f t="shared" si="8"/>
        <v>0.11520000000000001</v>
      </c>
      <c r="R86" s="99" t="s">
        <v>1124</v>
      </c>
      <c r="S86" s="56">
        <v>200</v>
      </c>
      <c r="T86" s="56" t="s">
        <v>1127</v>
      </c>
      <c r="U86" s="56" t="s">
        <v>1129</v>
      </c>
      <c r="V86" s="162">
        <f t="shared" ref="V86:V149" si="10">IF((1-(1-S86/100000)^L86)=0,"",1-(1-S86/100000)^L86)</f>
        <v>0.51359854717556819</v>
      </c>
      <c r="W86" s="178">
        <f t="shared" ref="W86:W149" si="11">IF((S86/100000)*L86=0,"",(S86/100000)*L86)</f>
        <v>0.72</v>
      </c>
      <c r="AF86" s="153">
        <v>80</v>
      </c>
      <c r="AG86" s="153">
        <v>80</v>
      </c>
      <c r="BE86" s="153">
        <v>180</v>
      </c>
      <c r="BF86" s="153">
        <v>180</v>
      </c>
      <c r="BH86" s="109"/>
      <c r="BN86" s="153">
        <v>280</v>
      </c>
      <c r="DA86" s="156">
        <v>70</v>
      </c>
      <c r="DB86" s="156">
        <v>60</v>
      </c>
    </row>
    <row r="87" spans="1:106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6" t="s">
        <v>902</v>
      </c>
      <c r="H87" s="56">
        <v>5</v>
      </c>
      <c r="L87" s="165">
        <v>360</v>
      </c>
      <c r="O87" s="56">
        <v>5</v>
      </c>
      <c r="P87" s="162">
        <f t="shared" si="7"/>
        <v>6.9470779198735899E-2</v>
      </c>
      <c r="Q87" s="178">
        <f t="shared" si="8"/>
        <v>7.2000000000000008E-2</v>
      </c>
      <c r="R87" s="99" t="s">
        <v>1124</v>
      </c>
      <c r="S87" s="56">
        <v>300</v>
      </c>
      <c r="T87" s="56" t="s">
        <v>1127</v>
      </c>
      <c r="U87" s="56" t="s">
        <v>1130</v>
      </c>
      <c r="V87" s="162">
        <f t="shared" si="10"/>
        <v>0.66095527471417181</v>
      </c>
      <c r="W87" s="178">
        <f t="shared" si="11"/>
        <v>1.08</v>
      </c>
      <c r="AF87" s="153">
        <v>70</v>
      </c>
      <c r="AG87" s="153">
        <v>70</v>
      </c>
      <c r="BE87" s="153">
        <v>260</v>
      </c>
      <c r="BF87" s="153">
        <v>260</v>
      </c>
      <c r="BH87" s="109"/>
      <c r="BN87" s="153">
        <v>360</v>
      </c>
      <c r="DA87" s="156">
        <v>60</v>
      </c>
      <c r="DB87" s="156">
        <v>50</v>
      </c>
    </row>
    <row r="88" spans="1:106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6" t="s">
        <v>995</v>
      </c>
      <c r="H88" s="56">
        <v>1</v>
      </c>
      <c r="L88" s="165">
        <v>360</v>
      </c>
      <c r="O88" s="56">
        <v>10</v>
      </c>
      <c r="P88" s="162">
        <f t="shared" si="7"/>
        <v>0.13411848672575966</v>
      </c>
      <c r="Q88" s="178">
        <f t="shared" si="8"/>
        <v>0.14400000000000002</v>
      </c>
      <c r="R88" s="99" t="s">
        <v>1124</v>
      </c>
      <c r="S88" s="56">
        <v>100</v>
      </c>
      <c r="V88" s="162">
        <f t="shared" si="10"/>
        <v>0.30244932813489689</v>
      </c>
      <c r="W88" s="178">
        <f t="shared" si="11"/>
        <v>0.36</v>
      </c>
      <c r="AF88" s="153">
        <v>90</v>
      </c>
      <c r="AG88" s="153">
        <v>90</v>
      </c>
      <c r="AZ88" s="56">
        <v>80</v>
      </c>
      <c r="BE88" s="153">
        <v>150</v>
      </c>
      <c r="BF88" s="153">
        <v>150</v>
      </c>
      <c r="BN88" s="153">
        <v>250</v>
      </c>
    </row>
    <row r="89" spans="1:106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6" t="s">
        <v>996</v>
      </c>
      <c r="H89" s="56">
        <v>3</v>
      </c>
      <c r="L89" s="165">
        <v>360</v>
      </c>
      <c r="O89" s="56">
        <v>8</v>
      </c>
      <c r="P89" s="162">
        <f t="shared" si="7"/>
        <v>0.10881621829913368</v>
      </c>
      <c r="Q89" s="178">
        <f t="shared" si="8"/>
        <v>0.11520000000000001</v>
      </c>
      <c r="R89" s="99" t="s">
        <v>1124</v>
      </c>
      <c r="S89" s="56">
        <v>200</v>
      </c>
      <c r="V89" s="162">
        <f t="shared" si="10"/>
        <v>0.51359854717556819</v>
      </c>
      <c r="W89" s="178">
        <f t="shared" si="11"/>
        <v>0.72</v>
      </c>
      <c r="AF89" s="153">
        <v>80</v>
      </c>
      <c r="AG89" s="153">
        <v>80</v>
      </c>
      <c r="AZ89" s="56">
        <v>70</v>
      </c>
      <c r="BE89" s="153">
        <v>180</v>
      </c>
      <c r="BF89" s="153">
        <v>180</v>
      </c>
      <c r="BN89" s="153">
        <v>280</v>
      </c>
    </row>
    <row r="90" spans="1:106" x14ac:dyDescent="0.15">
      <c r="A90" s="11">
        <f t="shared" ref="A90:A153" si="12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6" t="s">
        <v>997</v>
      </c>
      <c r="H90" s="56">
        <v>5</v>
      </c>
      <c r="L90" s="165">
        <v>360</v>
      </c>
      <c r="O90" s="56">
        <v>5</v>
      </c>
      <c r="P90" s="162">
        <f t="shared" si="7"/>
        <v>6.9470779198735899E-2</v>
      </c>
      <c r="Q90" s="178">
        <f t="shared" si="8"/>
        <v>7.2000000000000008E-2</v>
      </c>
      <c r="R90" s="99" t="s">
        <v>1124</v>
      </c>
      <c r="S90" s="56">
        <v>300</v>
      </c>
      <c r="V90" s="162">
        <f t="shared" si="10"/>
        <v>0.66095527471417181</v>
      </c>
      <c r="W90" s="178">
        <f t="shared" si="11"/>
        <v>1.08</v>
      </c>
      <c r="AF90" s="153">
        <v>70</v>
      </c>
      <c r="AG90" s="153">
        <v>70</v>
      </c>
      <c r="AZ90" s="56">
        <v>60</v>
      </c>
      <c r="BE90" s="153">
        <v>260</v>
      </c>
      <c r="BF90" s="153">
        <v>260</v>
      </c>
      <c r="BN90" s="153">
        <v>360</v>
      </c>
    </row>
    <row r="91" spans="1:106" x14ac:dyDescent="0.15">
      <c r="A91" s="11">
        <f t="shared" si="12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P91" s="162" t="str">
        <f t="shared" si="7"/>
        <v/>
      </c>
      <c r="Q91" s="178" t="str">
        <f t="shared" si="8"/>
        <v/>
      </c>
      <c r="V91" s="162" t="str">
        <f t="shared" si="10"/>
        <v/>
      </c>
      <c r="W91" s="178" t="str">
        <f t="shared" si="11"/>
        <v/>
      </c>
    </row>
    <row r="92" spans="1:106" x14ac:dyDescent="0.15">
      <c r="A92" s="11">
        <f t="shared" si="12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P92" s="162" t="str">
        <f t="shared" si="7"/>
        <v/>
      </c>
      <c r="Q92" s="178" t="str">
        <f t="shared" si="8"/>
        <v/>
      </c>
      <c r="V92" s="162" t="str">
        <f t="shared" si="10"/>
        <v/>
      </c>
      <c r="W92" s="178" t="str">
        <f t="shared" si="11"/>
        <v/>
      </c>
    </row>
    <row r="93" spans="1:106" x14ac:dyDescent="0.15">
      <c r="A93" s="11">
        <f t="shared" si="12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P93" s="162" t="str">
        <f t="shared" si="7"/>
        <v/>
      </c>
      <c r="Q93" s="178" t="str">
        <f t="shared" si="8"/>
        <v/>
      </c>
      <c r="V93" s="162" t="str">
        <f t="shared" si="10"/>
        <v/>
      </c>
      <c r="W93" s="178" t="str">
        <f t="shared" si="11"/>
        <v/>
      </c>
    </row>
    <row r="94" spans="1:106" x14ac:dyDescent="0.15">
      <c r="A94" s="11">
        <f t="shared" si="12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P94" s="162" t="str">
        <f t="shared" si="7"/>
        <v/>
      </c>
      <c r="Q94" s="178" t="str">
        <f t="shared" si="8"/>
        <v/>
      </c>
      <c r="V94" s="162" t="str">
        <f t="shared" si="10"/>
        <v/>
      </c>
      <c r="W94" s="178" t="str">
        <f t="shared" si="11"/>
        <v/>
      </c>
    </row>
    <row r="95" spans="1:106" s="97" customFormat="1" x14ac:dyDescent="0.15">
      <c r="A95" s="11">
        <f t="shared" si="12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6"/>
      <c r="H95" s="56"/>
      <c r="I95" s="56"/>
      <c r="J95" s="56"/>
      <c r="K95" s="56"/>
      <c r="L95" s="165"/>
      <c r="M95" s="10"/>
      <c r="N95" s="56"/>
      <c r="O95" s="56"/>
      <c r="P95" s="162" t="str">
        <f t="shared" si="7"/>
        <v/>
      </c>
      <c r="Q95" s="178" t="str">
        <f t="shared" si="8"/>
        <v/>
      </c>
      <c r="R95" s="168"/>
      <c r="S95" s="56"/>
      <c r="T95" s="56"/>
      <c r="U95" s="56"/>
      <c r="V95" s="162" t="str">
        <f t="shared" si="10"/>
        <v/>
      </c>
      <c r="W95" s="178" t="str">
        <f t="shared" si="11"/>
        <v/>
      </c>
      <c r="X95" s="172"/>
      <c r="Y95" s="10"/>
      <c r="Z95" s="56"/>
      <c r="AA95" s="56"/>
      <c r="AB95" s="56"/>
      <c r="AC95" s="56"/>
      <c r="AD95" s="56"/>
      <c r="AE95" s="174"/>
      <c r="AF95" s="56"/>
      <c r="AG95" s="56"/>
      <c r="AH95" s="172"/>
      <c r="AI95" s="56"/>
      <c r="AJ95" s="56"/>
      <c r="AK95" s="56"/>
      <c r="AL95" s="56"/>
      <c r="AM95" s="56"/>
      <c r="AN95" s="56"/>
      <c r="AO95" s="172"/>
      <c r="AP95" s="56"/>
      <c r="AQ95" s="56"/>
      <c r="AR95" s="56"/>
      <c r="AS95" s="56"/>
      <c r="AT95" s="56"/>
      <c r="AU95" s="56"/>
      <c r="AV95" s="56"/>
      <c r="AW95" s="172"/>
      <c r="AX95" s="56"/>
      <c r="AY95" s="56"/>
      <c r="AZ95" s="56"/>
      <c r="BA95" s="172"/>
      <c r="BB95" s="56"/>
      <c r="BC95" s="10"/>
      <c r="BD95" s="56"/>
      <c r="BE95" s="56"/>
      <c r="BF95" s="56"/>
      <c r="BG95" s="56"/>
      <c r="BO95" s="145"/>
      <c r="CI95" s="145"/>
      <c r="CY95" s="145"/>
    </row>
    <row r="96" spans="1:106" s="97" customFormat="1" x14ac:dyDescent="0.15">
      <c r="A96" s="11">
        <f t="shared" si="12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6"/>
      <c r="H96" s="56"/>
      <c r="I96" s="56"/>
      <c r="J96" s="56"/>
      <c r="K96" s="56"/>
      <c r="L96" s="165"/>
      <c r="M96" s="10"/>
      <c r="N96" s="56"/>
      <c r="O96" s="56"/>
      <c r="P96" s="162" t="str">
        <f t="shared" si="7"/>
        <v/>
      </c>
      <c r="Q96" s="178" t="str">
        <f t="shared" si="8"/>
        <v/>
      </c>
      <c r="R96" s="168"/>
      <c r="S96" s="56"/>
      <c r="T96" s="56"/>
      <c r="U96" s="56"/>
      <c r="V96" s="162" t="str">
        <f t="shared" si="10"/>
        <v/>
      </c>
      <c r="W96" s="178" t="str">
        <f t="shared" si="11"/>
        <v/>
      </c>
      <c r="X96" s="172"/>
      <c r="Y96" s="10"/>
      <c r="Z96" s="56"/>
      <c r="AA96" s="56"/>
      <c r="AB96" s="56"/>
      <c r="AC96" s="56"/>
      <c r="AD96" s="56"/>
      <c r="AE96" s="174"/>
      <c r="AF96" s="56"/>
      <c r="AG96" s="56"/>
      <c r="AH96" s="172"/>
      <c r="AI96" s="56"/>
      <c r="AJ96" s="56"/>
      <c r="AK96" s="56"/>
      <c r="AL96" s="56"/>
      <c r="AM96" s="56"/>
      <c r="AN96" s="56"/>
      <c r="AO96" s="172"/>
      <c r="AP96" s="56"/>
      <c r="AQ96" s="56"/>
      <c r="AR96" s="56"/>
      <c r="AS96" s="56"/>
      <c r="AT96" s="56"/>
      <c r="AU96" s="56"/>
      <c r="AV96" s="56"/>
      <c r="AW96" s="172"/>
      <c r="AX96" s="56"/>
      <c r="AY96" s="56"/>
      <c r="AZ96" s="56"/>
      <c r="BA96" s="172"/>
      <c r="BB96" s="56"/>
      <c r="BC96" s="10"/>
      <c r="BD96" s="56"/>
      <c r="BE96" s="56"/>
      <c r="BF96" s="56"/>
      <c r="BG96" s="56"/>
      <c r="BO96" s="145"/>
      <c r="CI96" s="145"/>
      <c r="CY96" s="145"/>
    </row>
    <row r="97" spans="1:103" s="97" customFormat="1" x14ac:dyDescent="0.15">
      <c r="A97" s="11">
        <f t="shared" si="12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6"/>
      <c r="H97" s="56"/>
      <c r="I97" s="56"/>
      <c r="J97" s="56"/>
      <c r="K97" s="56"/>
      <c r="L97" s="165"/>
      <c r="M97" s="10"/>
      <c r="N97" s="56"/>
      <c r="O97" s="56"/>
      <c r="P97" s="162" t="str">
        <f t="shared" si="7"/>
        <v/>
      </c>
      <c r="Q97" s="178" t="str">
        <f t="shared" si="8"/>
        <v/>
      </c>
      <c r="R97" s="168"/>
      <c r="S97" s="56"/>
      <c r="T97" s="56"/>
      <c r="U97" s="56"/>
      <c r="V97" s="162" t="str">
        <f t="shared" si="10"/>
        <v/>
      </c>
      <c r="W97" s="178" t="str">
        <f t="shared" si="11"/>
        <v/>
      </c>
      <c r="X97" s="172"/>
      <c r="Y97" s="10"/>
      <c r="Z97" s="56"/>
      <c r="AA97" s="56"/>
      <c r="AB97" s="56"/>
      <c r="AC97" s="56"/>
      <c r="AD97" s="56"/>
      <c r="AE97" s="174"/>
      <c r="AF97" s="56"/>
      <c r="AG97" s="56"/>
      <c r="AH97" s="172"/>
      <c r="AI97" s="56"/>
      <c r="AJ97" s="56"/>
      <c r="AK97" s="56"/>
      <c r="AL97" s="56"/>
      <c r="AM97" s="56"/>
      <c r="AN97" s="56"/>
      <c r="AO97" s="172"/>
      <c r="AP97" s="56"/>
      <c r="AQ97" s="56"/>
      <c r="AR97" s="56"/>
      <c r="AS97" s="56"/>
      <c r="AT97" s="56"/>
      <c r="AU97" s="56"/>
      <c r="AV97" s="56"/>
      <c r="AW97" s="172"/>
      <c r="AX97" s="56"/>
      <c r="AY97" s="56"/>
      <c r="AZ97" s="56"/>
      <c r="BA97" s="172"/>
      <c r="BB97" s="56"/>
      <c r="BC97" s="10"/>
      <c r="BD97" s="56"/>
      <c r="BE97" s="56"/>
      <c r="BF97" s="56"/>
      <c r="BG97" s="56"/>
      <c r="BO97" s="145"/>
      <c r="CI97" s="145"/>
      <c r="CY97" s="145"/>
    </row>
    <row r="98" spans="1:103" s="97" customFormat="1" x14ac:dyDescent="0.15">
      <c r="A98" s="11">
        <f t="shared" si="12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6"/>
      <c r="H98" s="56"/>
      <c r="I98" s="56"/>
      <c r="J98" s="56"/>
      <c r="K98" s="56"/>
      <c r="L98" s="165"/>
      <c r="M98" s="10"/>
      <c r="N98" s="56"/>
      <c r="O98" s="56"/>
      <c r="P98" s="162" t="str">
        <f t="shared" si="7"/>
        <v/>
      </c>
      <c r="Q98" s="178" t="str">
        <f t="shared" si="8"/>
        <v/>
      </c>
      <c r="R98" s="168"/>
      <c r="S98" s="56"/>
      <c r="T98" s="56"/>
      <c r="U98" s="56"/>
      <c r="V98" s="162" t="str">
        <f t="shared" si="10"/>
        <v/>
      </c>
      <c r="W98" s="178" t="str">
        <f t="shared" si="11"/>
        <v/>
      </c>
      <c r="X98" s="172"/>
      <c r="Y98" s="10"/>
      <c r="Z98" s="56"/>
      <c r="AA98" s="56"/>
      <c r="AB98" s="56"/>
      <c r="AC98" s="56"/>
      <c r="AD98" s="56"/>
      <c r="AE98" s="174"/>
      <c r="AF98" s="56"/>
      <c r="AG98" s="56"/>
      <c r="AH98" s="172"/>
      <c r="AI98" s="56"/>
      <c r="AJ98" s="56"/>
      <c r="AK98" s="56"/>
      <c r="AL98" s="56"/>
      <c r="AM98" s="56"/>
      <c r="AN98" s="56"/>
      <c r="AO98" s="172"/>
      <c r="AP98" s="56"/>
      <c r="AQ98" s="56"/>
      <c r="AR98" s="56"/>
      <c r="AS98" s="56"/>
      <c r="AT98" s="56"/>
      <c r="AU98" s="56"/>
      <c r="AV98" s="56"/>
      <c r="AW98" s="172"/>
      <c r="AX98" s="56"/>
      <c r="AY98" s="56"/>
      <c r="AZ98" s="56"/>
      <c r="BA98" s="172"/>
      <c r="BB98" s="56"/>
      <c r="BC98" s="10"/>
      <c r="BD98" s="56"/>
      <c r="BE98" s="56"/>
      <c r="BF98" s="56"/>
      <c r="BG98" s="56"/>
      <c r="BO98" s="145"/>
      <c r="CI98" s="145"/>
      <c r="CY98" s="145"/>
    </row>
    <row r="99" spans="1:103" s="97" customFormat="1" x14ac:dyDescent="0.15">
      <c r="A99" s="11">
        <f t="shared" si="12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6"/>
      <c r="H99" s="56"/>
      <c r="I99" s="56"/>
      <c r="J99" s="56"/>
      <c r="K99" s="56"/>
      <c r="L99" s="165"/>
      <c r="M99" s="10"/>
      <c r="N99" s="56"/>
      <c r="O99" s="56"/>
      <c r="P99" s="162" t="str">
        <f t="shared" si="7"/>
        <v/>
      </c>
      <c r="Q99" s="178" t="str">
        <f t="shared" si="8"/>
        <v/>
      </c>
      <c r="R99" s="168"/>
      <c r="S99" s="56"/>
      <c r="T99" s="56"/>
      <c r="U99" s="56"/>
      <c r="V99" s="162" t="str">
        <f t="shared" si="10"/>
        <v/>
      </c>
      <c r="W99" s="178" t="str">
        <f t="shared" si="11"/>
        <v/>
      </c>
      <c r="X99" s="172"/>
      <c r="Y99" s="10"/>
      <c r="Z99" s="56"/>
      <c r="AA99" s="56"/>
      <c r="AB99" s="56"/>
      <c r="AC99" s="56"/>
      <c r="AD99" s="56"/>
      <c r="AE99" s="174"/>
      <c r="AF99" s="56"/>
      <c r="AG99" s="56"/>
      <c r="AH99" s="172"/>
      <c r="AI99" s="56"/>
      <c r="AJ99" s="56"/>
      <c r="AK99" s="56"/>
      <c r="AL99" s="56"/>
      <c r="AM99" s="56"/>
      <c r="AN99" s="56"/>
      <c r="AO99" s="172"/>
      <c r="AP99" s="56"/>
      <c r="AQ99" s="56"/>
      <c r="AR99" s="56"/>
      <c r="AS99" s="56"/>
      <c r="AT99" s="56"/>
      <c r="AU99" s="56"/>
      <c r="AV99" s="56"/>
      <c r="AW99" s="172"/>
      <c r="AX99" s="56"/>
      <c r="AY99" s="56"/>
      <c r="AZ99" s="56"/>
      <c r="BA99" s="172"/>
      <c r="BB99" s="56"/>
      <c r="BC99" s="10"/>
      <c r="BD99" s="56"/>
      <c r="BE99" s="56"/>
      <c r="BF99" s="56"/>
      <c r="BG99" s="56"/>
      <c r="BO99" s="145"/>
      <c r="CI99" s="145"/>
      <c r="CY99" s="145"/>
    </row>
    <row r="100" spans="1:103" s="97" customFormat="1" x14ac:dyDescent="0.15">
      <c r="A100" s="11">
        <f t="shared" si="12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6"/>
      <c r="H100" s="56"/>
      <c r="I100" s="56"/>
      <c r="J100" s="56"/>
      <c r="K100" s="56"/>
      <c r="L100" s="165"/>
      <c r="M100" s="10"/>
      <c r="N100" s="56"/>
      <c r="O100" s="56"/>
      <c r="P100" s="162" t="str">
        <f t="shared" si="7"/>
        <v/>
      </c>
      <c r="Q100" s="178" t="str">
        <f t="shared" si="8"/>
        <v/>
      </c>
      <c r="R100" s="168"/>
      <c r="S100" s="56"/>
      <c r="T100" s="56"/>
      <c r="U100" s="56"/>
      <c r="V100" s="162" t="str">
        <f t="shared" si="10"/>
        <v/>
      </c>
      <c r="W100" s="178" t="str">
        <f t="shared" si="11"/>
        <v/>
      </c>
      <c r="X100" s="172"/>
      <c r="Y100" s="10"/>
      <c r="Z100" s="56"/>
      <c r="AA100" s="56"/>
      <c r="AB100" s="56"/>
      <c r="AC100" s="56"/>
      <c r="AD100" s="56"/>
      <c r="AE100" s="174"/>
      <c r="AF100" s="56"/>
      <c r="AG100" s="56"/>
      <c r="AH100" s="172"/>
      <c r="AI100" s="56"/>
      <c r="AJ100" s="56"/>
      <c r="AK100" s="56"/>
      <c r="AL100" s="56"/>
      <c r="AM100" s="56"/>
      <c r="AN100" s="56"/>
      <c r="AO100" s="172"/>
      <c r="AP100" s="56"/>
      <c r="AQ100" s="56"/>
      <c r="AR100" s="56"/>
      <c r="AS100" s="56"/>
      <c r="AT100" s="56"/>
      <c r="AU100" s="56"/>
      <c r="AV100" s="56"/>
      <c r="AW100" s="172"/>
      <c r="AX100" s="56"/>
      <c r="AY100" s="56"/>
      <c r="AZ100" s="56"/>
      <c r="BA100" s="172"/>
      <c r="BB100" s="56"/>
      <c r="BC100" s="10"/>
      <c r="BD100" s="56"/>
      <c r="BE100" s="56"/>
      <c r="BF100" s="56"/>
      <c r="BG100" s="56"/>
      <c r="BO100" s="145"/>
      <c r="CI100" s="145"/>
      <c r="CY100" s="145"/>
    </row>
    <row r="101" spans="1:103" s="97" customFormat="1" x14ac:dyDescent="0.15">
      <c r="A101" s="11">
        <f t="shared" si="12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6"/>
      <c r="H101" s="56"/>
      <c r="I101" s="56"/>
      <c r="J101" s="56"/>
      <c r="K101" s="56"/>
      <c r="L101" s="165"/>
      <c r="M101" s="10"/>
      <c r="N101" s="56"/>
      <c r="O101" s="56"/>
      <c r="P101" s="162" t="str">
        <f t="shared" si="7"/>
        <v/>
      </c>
      <c r="Q101" s="178" t="str">
        <f t="shared" si="8"/>
        <v/>
      </c>
      <c r="R101" s="168"/>
      <c r="S101" s="56"/>
      <c r="T101" s="56"/>
      <c r="U101" s="56"/>
      <c r="V101" s="162" t="str">
        <f t="shared" si="10"/>
        <v/>
      </c>
      <c r="W101" s="178" t="str">
        <f t="shared" si="11"/>
        <v/>
      </c>
      <c r="X101" s="172"/>
      <c r="Y101" s="10"/>
      <c r="Z101" s="56"/>
      <c r="AA101" s="56"/>
      <c r="AB101" s="56"/>
      <c r="AC101" s="56"/>
      <c r="AD101" s="56"/>
      <c r="AE101" s="174"/>
      <c r="AF101" s="56"/>
      <c r="AG101" s="56"/>
      <c r="AH101" s="172"/>
      <c r="AI101" s="56"/>
      <c r="AJ101" s="56"/>
      <c r="AK101" s="56"/>
      <c r="AL101" s="56"/>
      <c r="AM101" s="56"/>
      <c r="AN101" s="56"/>
      <c r="AO101" s="172"/>
      <c r="AP101" s="56"/>
      <c r="AQ101" s="56"/>
      <c r="AR101" s="56"/>
      <c r="AS101" s="56"/>
      <c r="AT101" s="56"/>
      <c r="AU101" s="56"/>
      <c r="AV101" s="56"/>
      <c r="AW101" s="172"/>
      <c r="AX101" s="56"/>
      <c r="AY101" s="56"/>
      <c r="AZ101" s="56"/>
      <c r="BA101" s="172"/>
      <c r="BB101" s="56"/>
      <c r="BC101" s="10"/>
      <c r="BD101" s="56"/>
      <c r="BE101" s="56"/>
      <c r="BF101" s="56"/>
      <c r="BG101" s="56"/>
      <c r="BO101" s="145"/>
      <c r="CI101" s="145"/>
      <c r="CY101" s="145"/>
    </row>
    <row r="102" spans="1:103" s="97" customFormat="1" x14ac:dyDescent="0.15">
      <c r="A102" s="11">
        <f t="shared" si="12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6"/>
      <c r="H102" s="56"/>
      <c r="I102" s="56"/>
      <c r="J102" s="56"/>
      <c r="K102" s="56"/>
      <c r="L102" s="165"/>
      <c r="M102" s="10"/>
      <c r="N102" s="56"/>
      <c r="O102" s="56"/>
      <c r="P102" s="162" t="str">
        <f t="shared" si="7"/>
        <v/>
      </c>
      <c r="Q102" s="178" t="str">
        <f t="shared" si="8"/>
        <v/>
      </c>
      <c r="R102" s="168"/>
      <c r="S102" s="56"/>
      <c r="T102" s="56"/>
      <c r="U102" s="56"/>
      <c r="V102" s="162" t="str">
        <f t="shared" si="10"/>
        <v/>
      </c>
      <c r="W102" s="178" t="str">
        <f t="shared" si="11"/>
        <v/>
      </c>
      <c r="X102" s="172"/>
      <c r="Y102" s="10"/>
      <c r="Z102" s="56"/>
      <c r="AA102" s="56"/>
      <c r="AB102" s="56"/>
      <c r="AC102" s="56"/>
      <c r="AD102" s="56"/>
      <c r="AE102" s="174"/>
      <c r="AF102" s="56"/>
      <c r="AG102" s="56"/>
      <c r="AH102" s="172"/>
      <c r="AI102" s="56"/>
      <c r="AJ102" s="56"/>
      <c r="AK102" s="56"/>
      <c r="AL102" s="56"/>
      <c r="AM102" s="56"/>
      <c r="AN102" s="56"/>
      <c r="AO102" s="172"/>
      <c r="AP102" s="56"/>
      <c r="AQ102" s="56"/>
      <c r="AR102" s="56"/>
      <c r="AS102" s="56"/>
      <c r="AT102" s="56"/>
      <c r="AU102" s="56"/>
      <c r="AV102" s="56"/>
      <c r="AW102" s="172"/>
      <c r="AX102" s="56"/>
      <c r="AY102" s="56"/>
      <c r="AZ102" s="56"/>
      <c r="BA102" s="172"/>
      <c r="BB102" s="56"/>
      <c r="BC102" s="10"/>
      <c r="BD102" s="56"/>
      <c r="BE102" s="56"/>
      <c r="BF102" s="56"/>
      <c r="BG102" s="56"/>
      <c r="BO102" s="145"/>
      <c r="CI102" s="145"/>
      <c r="CY102" s="145"/>
    </row>
    <row r="103" spans="1:103" s="97" customFormat="1" x14ac:dyDescent="0.15">
      <c r="A103" s="11">
        <f t="shared" si="12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6"/>
      <c r="H103" s="56"/>
      <c r="I103" s="56"/>
      <c r="J103" s="56"/>
      <c r="K103" s="56"/>
      <c r="L103" s="165"/>
      <c r="M103" s="10"/>
      <c r="N103" s="56"/>
      <c r="O103" s="56"/>
      <c r="P103" s="162" t="str">
        <f t="shared" si="7"/>
        <v/>
      </c>
      <c r="Q103" s="178" t="str">
        <f t="shared" si="8"/>
        <v/>
      </c>
      <c r="R103" s="168"/>
      <c r="S103" s="56"/>
      <c r="T103" s="56"/>
      <c r="U103" s="56"/>
      <c r="V103" s="162" t="str">
        <f t="shared" si="10"/>
        <v/>
      </c>
      <c r="W103" s="178" t="str">
        <f t="shared" si="11"/>
        <v/>
      </c>
      <c r="X103" s="172"/>
      <c r="Y103" s="10"/>
      <c r="Z103" s="56"/>
      <c r="AA103" s="56"/>
      <c r="AB103" s="56"/>
      <c r="AC103" s="56"/>
      <c r="AD103" s="56"/>
      <c r="AE103" s="174"/>
      <c r="AF103" s="56"/>
      <c r="AG103" s="56"/>
      <c r="AH103" s="172"/>
      <c r="AI103" s="56"/>
      <c r="AJ103" s="56"/>
      <c r="AK103" s="56"/>
      <c r="AL103" s="56"/>
      <c r="AM103" s="56"/>
      <c r="AN103" s="56"/>
      <c r="AO103" s="172"/>
      <c r="AP103" s="56"/>
      <c r="AQ103" s="56"/>
      <c r="AR103" s="56"/>
      <c r="AS103" s="56"/>
      <c r="AT103" s="56"/>
      <c r="AU103" s="56"/>
      <c r="AV103" s="56"/>
      <c r="AW103" s="172"/>
      <c r="AX103" s="56"/>
      <c r="AY103" s="56"/>
      <c r="AZ103" s="56"/>
      <c r="BA103" s="172"/>
      <c r="BB103" s="56"/>
      <c r="BC103" s="10"/>
      <c r="BD103" s="56"/>
      <c r="BE103" s="56"/>
      <c r="BF103" s="56"/>
      <c r="BG103" s="56"/>
      <c r="BO103" s="145"/>
      <c r="CI103" s="145"/>
      <c r="CY103" s="145"/>
    </row>
    <row r="104" spans="1:103" s="97" customFormat="1" ht="17.25" thickBot="1" x14ac:dyDescent="0.2">
      <c r="A104" s="11">
        <f t="shared" si="12"/>
        <v>60040020</v>
      </c>
      <c r="B104" s="112">
        <v>6</v>
      </c>
      <c r="C104" s="12">
        <v>0</v>
      </c>
      <c r="D104" s="112">
        <v>4</v>
      </c>
      <c r="E104" s="112">
        <v>0</v>
      </c>
      <c r="F104" s="113">
        <v>20</v>
      </c>
      <c r="G104" s="56"/>
      <c r="H104" s="56"/>
      <c r="I104" s="56"/>
      <c r="J104" s="56"/>
      <c r="K104" s="56"/>
      <c r="L104" s="165"/>
      <c r="M104" s="10"/>
      <c r="N104" s="56"/>
      <c r="O104" s="56"/>
      <c r="P104" s="162" t="str">
        <f t="shared" si="7"/>
        <v/>
      </c>
      <c r="Q104" s="178" t="str">
        <f t="shared" si="8"/>
        <v/>
      </c>
      <c r="R104" s="168"/>
      <c r="S104" s="56"/>
      <c r="T104" s="56"/>
      <c r="U104" s="56"/>
      <c r="V104" s="162" t="str">
        <f t="shared" si="10"/>
        <v/>
      </c>
      <c r="W104" s="178" t="str">
        <f t="shared" si="11"/>
        <v/>
      </c>
      <c r="X104" s="172"/>
      <c r="Y104" s="10"/>
      <c r="Z104" s="56"/>
      <c r="AA104" s="56"/>
      <c r="AB104" s="56"/>
      <c r="AC104" s="56"/>
      <c r="AD104" s="56"/>
      <c r="AE104" s="174"/>
      <c r="AF104" s="56"/>
      <c r="AG104" s="56"/>
      <c r="AH104" s="172"/>
      <c r="AI104" s="56"/>
      <c r="AJ104" s="56"/>
      <c r="AK104" s="56"/>
      <c r="AL104" s="56"/>
      <c r="AM104" s="56"/>
      <c r="AN104" s="56"/>
      <c r="AO104" s="172"/>
      <c r="AP104" s="56"/>
      <c r="AQ104" s="56"/>
      <c r="AR104" s="56"/>
      <c r="AS104" s="56"/>
      <c r="AT104" s="56"/>
      <c r="AU104" s="56"/>
      <c r="AV104" s="56"/>
      <c r="AW104" s="172"/>
      <c r="AX104" s="56"/>
      <c r="AY104" s="56"/>
      <c r="AZ104" s="56"/>
      <c r="BA104" s="172"/>
      <c r="BB104" s="56"/>
      <c r="BC104" s="10"/>
      <c r="BD104" s="56"/>
      <c r="BE104" s="56"/>
      <c r="BF104" s="56"/>
      <c r="BG104" s="56"/>
      <c r="BO104" s="145"/>
      <c r="CI104" s="145"/>
      <c r="CY104" s="145"/>
    </row>
    <row r="105" spans="1:103" s="114" customFormat="1" x14ac:dyDescent="0.15">
      <c r="A105" s="18">
        <f t="shared" si="12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7"/>
      <c r="I105" s="57"/>
      <c r="J105" s="57"/>
      <c r="K105" s="57"/>
      <c r="L105" s="167"/>
      <c r="M105" s="17"/>
      <c r="N105" s="57"/>
      <c r="O105" s="57"/>
      <c r="P105" s="163" t="str">
        <f t="shared" si="7"/>
        <v/>
      </c>
      <c r="Q105" s="179" t="str">
        <f t="shared" si="8"/>
        <v/>
      </c>
      <c r="R105" s="169"/>
      <c r="S105" s="57"/>
      <c r="T105" s="57"/>
      <c r="U105" s="57"/>
      <c r="V105" s="163" t="str">
        <f t="shared" si="10"/>
        <v/>
      </c>
      <c r="W105" s="179" t="str">
        <f t="shared" si="11"/>
        <v/>
      </c>
      <c r="X105" s="173"/>
      <c r="Y105" s="17"/>
      <c r="Z105" s="57"/>
      <c r="AA105" s="57"/>
      <c r="AB105" s="57"/>
      <c r="AC105" s="57"/>
      <c r="AD105" s="57"/>
      <c r="AE105" s="176"/>
      <c r="AF105" s="57"/>
      <c r="AG105" s="57"/>
      <c r="AH105" s="173"/>
      <c r="AI105" s="57"/>
      <c r="AJ105" s="57"/>
      <c r="AK105" s="57"/>
      <c r="AL105" s="57"/>
      <c r="AM105" s="57"/>
      <c r="AN105" s="57"/>
      <c r="AO105" s="173"/>
      <c r="AP105" s="57"/>
      <c r="AQ105" s="57"/>
      <c r="AR105" s="57"/>
      <c r="AS105" s="57"/>
      <c r="AT105" s="57"/>
      <c r="AU105" s="57"/>
      <c r="AV105" s="57"/>
      <c r="AW105" s="173"/>
      <c r="AX105" s="57"/>
      <c r="AY105" s="57"/>
      <c r="AZ105" s="57"/>
      <c r="BA105" s="173"/>
      <c r="BB105" s="57"/>
      <c r="BC105" s="17"/>
      <c r="BD105" s="57"/>
      <c r="BE105" s="57"/>
      <c r="BF105" s="57"/>
      <c r="BG105" s="57"/>
      <c r="BO105" s="144"/>
      <c r="CI105" s="144"/>
      <c r="CY105" s="144"/>
    </row>
    <row r="106" spans="1:103" x14ac:dyDescent="0.15">
      <c r="A106" s="11">
        <f t="shared" si="12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5"/>
      <c r="P106" s="162" t="str">
        <f t="shared" si="7"/>
        <v/>
      </c>
      <c r="Q106" s="178" t="str">
        <f t="shared" si="8"/>
        <v/>
      </c>
      <c r="V106" s="162" t="str">
        <f t="shared" si="10"/>
        <v/>
      </c>
      <c r="W106" s="178" t="str">
        <f t="shared" si="11"/>
        <v/>
      </c>
      <c r="BH106" s="109"/>
    </row>
    <row r="107" spans="1:103" x14ac:dyDescent="0.15">
      <c r="A107" s="11">
        <f t="shared" si="12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5"/>
      <c r="P107" s="162" t="str">
        <f t="shared" si="7"/>
        <v/>
      </c>
      <c r="Q107" s="178" t="str">
        <f t="shared" si="8"/>
        <v/>
      </c>
      <c r="V107" s="162" t="str">
        <f t="shared" si="10"/>
        <v/>
      </c>
      <c r="W107" s="178" t="str">
        <f t="shared" si="11"/>
        <v/>
      </c>
      <c r="BH107" s="109"/>
    </row>
    <row r="108" spans="1:103" x14ac:dyDescent="0.15">
      <c r="A108" s="11">
        <f t="shared" si="12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5"/>
      <c r="P108" s="162" t="str">
        <f t="shared" si="7"/>
        <v/>
      </c>
      <c r="Q108" s="178" t="str">
        <f t="shared" si="8"/>
        <v/>
      </c>
      <c r="V108" s="162" t="str">
        <f t="shared" si="10"/>
        <v/>
      </c>
      <c r="W108" s="178" t="str">
        <f t="shared" si="11"/>
        <v/>
      </c>
    </row>
    <row r="109" spans="1:103" x14ac:dyDescent="0.15">
      <c r="A109" s="11">
        <f t="shared" si="12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5"/>
      <c r="P109" s="162" t="str">
        <f t="shared" si="7"/>
        <v/>
      </c>
      <c r="Q109" s="178" t="str">
        <f t="shared" si="8"/>
        <v/>
      </c>
      <c r="V109" s="162" t="str">
        <f t="shared" si="10"/>
        <v/>
      </c>
      <c r="W109" s="178" t="str">
        <f t="shared" si="11"/>
        <v/>
      </c>
    </row>
    <row r="110" spans="1:103" x14ac:dyDescent="0.15">
      <c r="A110" s="11">
        <f t="shared" si="12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5"/>
      <c r="P110" s="162" t="str">
        <f t="shared" si="7"/>
        <v/>
      </c>
      <c r="Q110" s="178" t="str">
        <f t="shared" si="8"/>
        <v/>
      </c>
      <c r="V110" s="162" t="str">
        <f t="shared" si="10"/>
        <v/>
      </c>
      <c r="W110" s="178" t="str">
        <f t="shared" si="11"/>
        <v/>
      </c>
    </row>
    <row r="111" spans="1:103" x14ac:dyDescent="0.15">
      <c r="A111" s="11">
        <f t="shared" si="12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P111" s="162" t="str">
        <f t="shared" si="7"/>
        <v/>
      </c>
      <c r="Q111" s="178" t="str">
        <f t="shared" si="8"/>
        <v/>
      </c>
      <c r="V111" s="162" t="str">
        <f t="shared" si="10"/>
        <v/>
      </c>
      <c r="W111" s="178" t="str">
        <f t="shared" si="11"/>
        <v/>
      </c>
    </row>
    <row r="112" spans="1:103" x14ac:dyDescent="0.15">
      <c r="A112" s="11">
        <f t="shared" si="12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P112" s="162" t="str">
        <f t="shared" si="7"/>
        <v/>
      </c>
      <c r="Q112" s="178" t="str">
        <f t="shared" si="8"/>
        <v/>
      </c>
      <c r="V112" s="162" t="str">
        <f t="shared" si="10"/>
        <v/>
      </c>
      <c r="W112" s="178" t="str">
        <f t="shared" si="11"/>
        <v/>
      </c>
    </row>
    <row r="113" spans="1:103" x14ac:dyDescent="0.15">
      <c r="A113" s="11">
        <f t="shared" si="12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P113" s="162" t="str">
        <f t="shared" si="7"/>
        <v/>
      </c>
      <c r="Q113" s="178" t="str">
        <f t="shared" si="8"/>
        <v/>
      </c>
      <c r="V113" s="162" t="str">
        <f t="shared" si="10"/>
        <v/>
      </c>
      <c r="W113" s="178" t="str">
        <f t="shared" si="11"/>
        <v/>
      </c>
    </row>
    <row r="114" spans="1:103" x14ac:dyDescent="0.15">
      <c r="A114" s="11">
        <f t="shared" si="12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P114" s="162" t="str">
        <f t="shared" si="7"/>
        <v/>
      </c>
      <c r="Q114" s="178" t="str">
        <f t="shared" si="8"/>
        <v/>
      </c>
      <c r="V114" s="162" t="str">
        <f t="shared" si="10"/>
        <v/>
      </c>
      <c r="W114" s="178" t="str">
        <f t="shared" si="11"/>
        <v/>
      </c>
    </row>
    <row r="115" spans="1:103" s="97" customFormat="1" x14ac:dyDescent="0.15">
      <c r="A115" s="11">
        <f t="shared" si="12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6"/>
      <c r="H115" s="56"/>
      <c r="I115" s="56"/>
      <c r="J115" s="56"/>
      <c r="K115" s="56"/>
      <c r="L115" s="165"/>
      <c r="M115" s="10"/>
      <c r="N115" s="56"/>
      <c r="O115" s="56"/>
      <c r="P115" s="162" t="str">
        <f t="shared" si="7"/>
        <v/>
      </c>
      <c r="Q115" s="178" t="str">
        <f t="shared" si="8"/>
        <v/>
      </c>
      <c r="R115" s="168"/>
      <c r="S115" s="56"/>
      <c r="T115" s="56"/>
      <c r="U115" s="56"/>
      <c r="V115" s="162" t="str">
        <f t="shared" si="10"/>
        <v/>
      </c>
      <c r="W115" s="178" t="str">
        <f t="shared" si="11"/>
        <v/>
      </c>
      <c r="X115" s="172"/>
      <c r="Y115" s="10"/>
      <c r="Z115" s="56"/>
      <c r="AA115" s="56"/>
      <c r="AB115" s="56"/>
      <c r="AC115" s="56"/>
      <c r="AD115" s="56"/>
      <c r="AE115" s="174"/>
      <c r="AF115" s="56"/>
      <c r="AG115" s="56"/>
      <c r="AH115" s="172"/>
      <c r="AI115" s="56"/>
      <c r="AJ115" s="56"/>
      <c r="AK115" s="56"/>
      <c r="AL115" s="56"/>
      <c r="AM115" s="56"/>
      <c r="AN115" s="56"/>
      <c r="AO115" s="172"/>
      <c r="AP115" s="56"/>
      <c r="AQ115" s="56"/>
      <c r="AR115" s="56"/>
      <c r="AS115" s="56"/>
      <c r="AT115" s="56"/>
      <c r="AU115" s="56"/>
      <c r="AV115" s="56"/>
      <c r="AW115" s="172"/>
      <c r="AX115" s="56"/>
      <c r="AY115" s="56"/>
      <c r="AZ115" s="56"/>
      <c r="BA115" s="172"/>
      <c r="BB115" s="56"/>
      <c r="BC115" s="10"/>
      <c r="BD115" s="56"/>
      <c r="BE115" s="56"/>
      <c r="BF115" s="56"/>
      <c r="BG115" s="56"/>
      <c r="BO115" s="145"/>
      <c r="CI115" s="145"/>
      <c r="CY115" s="145"/>
    </row>
    <row r="116" spans="1:103" s="97" customFormat="1" x14ac:dyDescent="0.15">
      <c r="A116" s="11">
        <f t="shared" si="12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6"/>
      <c r="H116" s="56"/>
      <c r="I116" s="56"/>
      <c r="J116" s="56"/>
      <c r="K116" s="56"/>
      <c r="L116" s="165"/>
      <c r="M116" s="10"/>
      <c r="N116" s="56"/>
      <c r="O116" s="56"/>
      <c r="P116" s="162" t="str">
        <f t="shared" si="7"/>
        <v/>
      </c>
      <c r="Q116" s="178" t="str">
        <f t="shared" si="8"/>
        <v/>
      </c>
      <c r="R116" s="168"/>
      <c r="S116" s="56"/>
      <c r="T116" s="56"/>
      <c r="U116" s="56"/>
      <c r="V116" s="162" t="str">
        <f t="shared" si="10"/>
        <v/>
      </c>
      <c r="W116" s="178" t="str">
        <f t="shared" si="11"/>
        <v/>
      </c>
      <c r="X116" s="172"/>
      <c r="Y116" s="10"/>
      <c r="Z116" s="56"/>
      <c r="AA116" s="56"/>
      <c r="AB116" s="56"/>
      <c r="AC116" s="56"/>
      <c r="AD116" s="56"/>
      <c r="AE116" s="174"/>
      <c r="AF116" s="56"/>
      <c r="AG116" s="56"/>
      <c r="AH116" s="172"/>
      <c r="AI116" s="56"/>
      <c r="AJ116" s="56"/>
      <c r="AK116" s="56"/>
      <c r="AL116" s="56"/>
      <c r="AM116" s="56"/>
      <c r="AN116" s="56"/>
      <c r="AO116" s="172"/>
      <c r="AP116" s="56"/>
      <c r="AQ116" s="56"/>
      <c r="AR116" s="56"/>
      <c r="AS116" s="56"/>
      <c r="AT116" s="56"/>
      <c r="AU116" s="56"/>
      <c r="AV116" s="56"/>
      <c r="AW116" s="172"/>
      <c r="AX116" s="56"/>
      <c r="AY116" s="56"/>
      <c r="AZ116" s="56"/>
      <c r="BA116" s="172"/>
      <c r="BB116" s="56"/>
      <c r="BC116" s="10"/>
      <c r="BD116" s="56"/>
      <c r="BE116" s="56"/>
      <c r="BF116" s="56"/>
      <c r="BG116" s="56"/>
      <c r="BO116" s="145"/>
      <c r="CI116" s="145"/>
      <c r="CY116" s="145"/>
    </row>
    <row r="117" spans="1:103" s="97" customFormat="1" x14ac:dyDescent="0.15">
      <c r="A117" s="11">
        <f t="shared" si="12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6"/>
      <c r="H117" s="56"/>
      <c r="I117" s="56"/>
      <c r="J117" s="56"/>
      <c r="K117" s="56"/>
      <c r="L117" s="165"/>
      <c r="M117" s="10"/>
      <c r="N117" s="56"/>
      <c r="O117" s="56"/>
      <c r="P117" s="162" t="str">
        <f t="shared" si="7"/>
        <v/>
      </c>
      <c r="Q117" s="178" t="str">
        <f t="shared" si="8"/>
        <v/>
      </c>
      <c r="R117" s="168"/>
      <c r="S117" s="56"/>
      <c r="T117" s="56"/>
      <c r="U117" s="56"/>
      <c r="V117" s="162" t="str">
        <f t="shared" si="10"/>
        <v/>
      </c>
      <c r="W117" s="178" t="str">
        <f t="shared" si="11"/>
        <v/>
      </c>
      <c r="X117" s="172"/>
      <c r="Y117" s="10"/>
      <c r="Z117" s="56"/>
      <c r="AA117" s="56"/>
      <c r="AB117" s="56"/>
      <c r="AC117" s="56"/>
      <c r="AD117" s="56"/>
      <c r="AE117" s="174"/>
      <c r="AF117" s="56"/>
      <c r="AG117" s="56"/>
      <c r="AH117" s="172"/>
      <c r="AI117" s="56"/>
      <c r="AJ117" s="56"/>
      <c r="AK117" s="56"/>
      <c r="AL117" s="56"/>
      <c r="AM117" s="56"/>
      <c r="AN117" s="56"/>
      <c r="AO117" s="172"/>
      <c r="AP117" s="56"/>
      <c r="AQ117" s="56"/>
      <c r="AR117" s="56"/>
      <c r="AS117" s="56"/>
      <c r="AT117" s="56"/>
      <c r="AU117" s="56"/>
      <c r="AV117" s="56"/>
      <c r="AW117" s="172"/>
      <c r="AX117" s="56"/>
      <c r="AY117" s="56"/>
      <c r="AZ117" s="56"/>
      <c r="BA117" s="172"/>
      <c r="BB117" s="56"/>
      <c r="BC117" s="10"/>
      <c r="BD117" s="56"/>
      <c r="BE117" s="56"/>
      <c r="BF117" s="56"/>
      <c r="BG117" s="56"/>
      <c r="BO117" s="145"/>
      <c r="CI117" s="145"/>
      <c r="CY117" s="145"/>
    </row>
    <row r="118" spans="1:103" s="97" customFormat="1" x14ac:dyDescent="0.15">
      <c r="A118" s="11">
        <f t="shared" si="12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6"/>
      <c r="H118" s="56"/>
      <c r="I118" s="56"/>
      <c r="J118" s="56"/>
      <c r="K118" s="56"/>
      <c r="L118" s="165"/>
      <c r="M118" s="10"/>
      <c r="N118" s="56"/>
      <c r="O118" s="56"/>
      <c r="P118" s="162" t="str">
        <f t="shared" si="7"/>
        <v/>
      </c>
      <c r="Q118" s="178" t="str">
        <f t="shared" si="8"/>
        <v/>
      </c>
      <c r="R118" s="168"/>
      <c r="S118" s="56"/>
      <c r="T118" s="56"/>
      <c r="U118" s="56"/>
      <c r="V118" s="162" t="str">
        <f t="shared" si="10"/>
        <v/>
      </c>
      <c r="W118" s="178" t="str">
        <f t="shared" si="11"/>
        <v/>
      </c>
      <c r="X118" s="172"/>
      <c r="Y118" s="10"/>
      <c r="Z118" s="56"/>
      <c r="AA118" s="56"/>
      <c r="AB118" s="56"/>
      <c r="AC118" s="56"/>
      <c r="AD118" s="56"/>
      <c r="AE118" s="174"/>
      <c r="AF118" s="56"/>
      <c r="AG118" s="56"/>
      <c r="AH118" s="172"/>
      <c r="AI118" s="56"/>
      <c r="AJ118" s="56"/>
      <c r="AK118" s="56"/>
      <c r="AL118" s="56"/>
      <c r="AM118" s="56"/>
      <c r="AN118" s="56"/>
      <c r="AO118" s="172"/>
      <c r="AP118" s="56"/>
      <c r="AQ118" s="56"/>
      <c r="AR118" s="56"/>
      <c r="AS118" s="56"/>
      <c r="AT118" s="56"/>
      <c r="AU118" s="56"/>
      <c r="AV118" s="56"/>
      <c r="AW118" s="172"/>
      <c r="AX118" s="56"/>
      <c r="AY118" s="56"/>
      <c r="AZ118" s="56"/>
      <c r="BA118" s="172"/>
      <c r="BB118" s="56"/>
      <c r="BC118" s="10"/>
      <c r="BD118" s="56"/>
      <c r="BE118" s="56"/>
      <c r="BF118" s="56"/>
      <c r="BG118" s="56"/>
      <c r="BO118" s="145"/>
      <c r="CI118" s="145"/>
      <c r="CY118" s="145"/>
    </row>
    <row r="119" spans="1:103" s="97" customFormat="1" x14ac:dyDescent="0.15">
      <c r="A119" s="11">
        <f t="shared" si="12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6"/>
      <c r="H119" s="56"/>
      <c r="I119" s="56"/>
      <c r="J119" s="56"/>
      <c r="K119" s="56"/>
      <c r="L119" s="165"/>
      <c r="M119" s="10"/>
      <c r="N119" s="56"/>
      <c r="O119" s="56"/>
      <c r="P119" s="162" t="str">
        <f t="shared" si="7"/>
        <v/>
      </c>
      <c r="Q119" s="178" t="str">
        <f t="shared" si="8"/>
        <v/>
      </c>
      <c r="R119" s="168"/>
      <c r="S119" s="56"/>
      <c r="T119" s="56"/>
      <c r="U119" s="56"/>
      <c r="V119" s="162" t="str">
        <f t="shared" si="10"/>
        <v/>
      </c>
      <c r="W119" s="178" t="str">
        <f t="shared" si="11"/>
        <v/>
      </c>
      <c r="X119" s="172"/>
      <c r="Y119" s="10"/>
      <c r="Z119" s="56"/>
      <c r="AA119" s="56"/>
      <c r="AB119" s="56"/>
      <c r="AC119" s="56"/>
      <c r="AD119" s="56"/>
      <c r="AE119" s="174"/>
      <c r="AF119" s="56"/>
      <c r="AG119" s="56"/>
      <c r="AH119" s="172"/>
      <c r="AI119" s="56"/>
      <c r="AJ119" s="56"/>
      <c r="AK119" s="56"/>
      <c r="AL119" s="56"/>
      <c r="AM119" s="56"/>
      <c r="AN119" s="56"/>
      <c r="AO119" s="172"/>
      <c r="AP119" s="56"/>
      <c r="AQ119" s="56"/>
      <c r="AR119" s="56"/>
      <c r="AS119" s="56"/>
      <c r="AT119" s="56"/>
      <c r="AU119" s="56"/>
      <c r="AV119" s="56"/>
      <c r="AW119" s="172"/>
      <c r="AX119" s="56"/>
      <c r="AY119" s="56"/>
      <c r="AZ119" s="56"/>
      <c r="BA119" s="172"/>
      <c r="BB119" s="56"/>
      <c r="BC119" s="10"/>
      <c r="BD119" s="56"/>
      <c r="BE119" s="56"/>
      <c r="BF119" s="56"/>
      <c r="BG119" s="56"/>
      <c r="BO119" s="145"/>
      <c r="CI119" s="145"/>
      <c r="CY119" s="145"/>
    </row>
    <row r="120" spans="1:103" s="97" customFormat="1" x14ac:dyDescent="0.15">
      <c r="A120" s="11">
        <f t="shared" si="12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6"/>
      <c r="H120" s="56"/>
      <c r="I120" s="56"/>
      <c r="J120" s="56"/>
      <c r="K120" s="56"/>
      <c r="L120" s="165"/>
      <c r="M120" s="10"/>
      <c r="N120" s="56"/>
      <c r="O120" s="56"/>
      <c r="P120" s="162" t="str">
        <f t="shared" si="7"/>
        <v/>
      </c>
      <c r="Q120" s="178" t="str">
        <f t="shared" si="8"/>
        <v/>
      </c>
      <c r="R120" s="168"/>
      <c r="S120" s="56"/>
      <c r="T120" s="56"/>
      <c r="U120" s="56"/>
      <c r="V120" s="162" t="str">
        <f t="shared" si="10"/>
        <v/>
      </c>
      <c r="W120" s="178" t="str">
        <f t="shared" si="11"/>
        <v/>
      </c>
      <c r="X120" s="172"/>
      <c r="Y120" s="10"/>
      <c r="Z120" s="56"/>
      <c r="AA120" s="56"/>
      <c r="AB120" s="56"/>
      <c r="AC120" s="56"/>
      <c r="AD120" s="56"/>
      <c r="AE120" s="174"/>
      <c r="AF120" s="56"/>
      <c r="AG120" s="56"/>
      <c r="AH120" s="172"/>
      <c r="AI120" s="56"/>
      <c r="AJ120" s="56"/>
      <c r="AK120" s="56"/>
      <c r="AL120" s="56"/>
      <c r="AM120" s="56"/>
      <c r="AN120" s="56"/>
      <c r="AO120" s="172"/>
      <c r="AP120" s="56"/>
      <c r="AQ120" s="56"/>
      <c r="AR120" s="56"/>
      <c r="AS120" s="56"/>
      <c r="AT120" s="56"/>
      <c r="AU120" s="56"/>
      <c r="AV120" s="56"/>
      <c r="AW120" s="172"/>
      <c r="AX120" s="56"/>
      <c r="AY120" s="56"/>
      <c r="AZ120" s="56"/>
      <c r="BA120" s="172"/>
      <c r="BB120" s="56"/>
      <c r="BC120" s="10"/>
      <c r="BD120" s="56"/>
      <c r="BE120" s="56"/>
      <c r="BF120" s="56"/>
      <c r="BG120" s="56"/>
      <c r="BO120" s="145"/>
      <c r="CI120" s="145"/>
      <c r="CY120" s="145"/>
    </row>
    <row r="121" spans="1:103" s="97" customFormat="1" x14ac:dyDescent="0.15">
      <c r="A121" s="11">
        <f t="shared" si="12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6"/>
      <c r="H121" s="56"/>
      <c r="I121" s="56"/>
      <c r="J121" s="56"/>
      <c r="K121" s="56"/>
      <c r="L121" s="165"/>
      <c r="M121" s="10"/>
      <c r="N121" s="56"/>
      <c r="O121" s="56"/>
      <c r="P121" s="162" t="str">
        <f t="shared" si="7"/>
        <v/>
      </c>
      <c r="Q121" s="178" t="str">
        <f t="shared" si="8"/>
        <v/>
      </c>
      <c r="R121" s="168"/>
      <c r="S121" s="56"/>
      <c r="T121" s="56"/>
      <c r="U121" s="56"/>
      <c r="V121" s="162" t="str">
        <f t="shared" si="10"/>
        <v/>
      </c>
      <c r="W121" s="178" t="str">
        <f t="shared" si="11"/>
        <v/>
      </c>
      <c r="X121" s="172"/>
      <c r="Y121" s="10"/>
      <c r="Z121" s="56"/>
      <c r="AA121" s="56"/>
      <c r="AB121" s="56"/>
      <c r="AC121" s="56"/>
      <c r="AD121" s="56"/>
      <c r="AE121" s="174"/>
      <c r="AF121" s="56"/>
      <c r="AG121" s="56"/>
      <c r="AH121" s="172"/>
      <c r="AI121" s="56"/>
      <c r="AJ121" s="56"/>
      <c r="AK121" s="56"/>
      <c r="AL121" s="56"/>
      <c r="AM121" s="56"/>
      <c r="AN121" s="56"/>
      <c r="AO121" s="172"/>
      <c r="AP121" s="56"/>
      <c r="AQ121" s="56"/>
      <c r="AR121" s="56"/>
      <c r="AS121" s="56"/>
      <c r="AT121" s="56"/>
      <c r="AU121" s="56"/>
      <c r="AV121" s="56"/>
      <c r="AW121" s="172"/>
      <c r="AX121" s="56"/>
      <c r="AY121" s="56"/>
      <c r="AZ121" s="56"/>
      <c r="BA121" s="172"/>
      <c r="BB121" s="56"/>
      <c r="BC121" s="10"/>
      <c r="BD121" s="56"/>
      <c r="BE121" s="56"/>
      <c r="BF121" s="56"/>
      <c r="BG121" s="56"/>
      <c r="BO121" s="145"/>
      <c r="CI121" s="145"/>
      <c r="CY121" s="145"/>
    </row>
    <row r="122" spans="1:103" s="97" customFormat="1" x14ac:dyDescent="0.15">
      <c r="A122" s="11">
        <f t="shared" si="12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6"/>
      <c r="H122" s="56"/>
      <c r="I122" s="56"/>
      <c r="J122" s="56"/>
      <c r="K122" s="56"/>
      <c r="L122" s="165"/>
      <c r="M122" s="10"/>
      <c r="N122" s="56"/>
      <c r="O122" s="56"/>
      <c r="P122" s="162" t="str">
        <f t="shared" si="7"/>
        <v/>
      </c>
      <c r="Q122" s="178" t="str">
        <f t="shared" si="8"/>
        <v/>
      </c>
      <c r="R122" s="168"/>
      <c r="S122" s="56"/>
      <c r="T122" s="56"/>
      <c r="U122" s="56"/>
      <c r="V122" s="162" t="str">
        <f t="shared" si="10"/>
        <v/>
      </c>
      <c r="W122" s="178" t="str">
        <f t="shared" si="11"/>
        <v/>
      </c>
      <c r="X122" s="172"/>
      <c r="Y122" s="10"/>
      <c r="Z122" s="56"/>
      <c r="AA122" s="56"/>
      <c r="AB122" s="56"/>
      <c r="AC122" s="56"/>
      <c r="AD122" s="56"/>
      <c r="AE122" s="174"/>
      <c r="AF122" s="56"/>
      <c r="AG122" s="56"/>
      <c r="AH122" s="172"/>
      <c r="AI122" s="56"/>
      <c r="AJ122" s="56"/>
      <c r="AK122" s="56"/>
      <c r="AL122" s="56"/>
      <c r="AM122" s="56"/>
      <c r="AN122" s="56"/>
      <c r="AO122" s="172"/>
      <c r="AP122" s="56"/>
      <c r="AQ122" s="56"/>
      <c r="AR122" s="56"/>
      <c r="AS122" s="56"/>
      <c r="AT122" s="56"/>
      <c r="AU122" s="56"/>
      <c r="AV122" s="56"/>
      <c r="AW122" s="172"/>
      <c r="AX122" s="56"/>
      <c r="AY122" s="56"/>
      <c r="AZ122" s="56"/>
      <c r="BA122" s="172"/>
      <c r="BB122" s="56"/>
      <c r="BC122" s="10"/>
      <c r="BD122" s="56"/>
      <c r="BE122" s="56"/>
      <c r="BF122" s="56"/>
      <c r="BG122" s="56"/>
      <c r="BO122" s="145"/>
      <c r="CI122" s="145"/>
      <c r="CY122" s="145"/>
    </row>
    <row r="123" spans="1:103" s="97" customFormat="1" x14ac:dyDescent="0.15">
      <c r="A123" s="11">
        <f t="shared" si="12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6"/>
      <c r="H123" s="56"/>
      <c r="I123" s="56"/>
      <c r="J123" s="56"/>
      <c r="K123" s="56"/>
      <c r="L123" s="165"/>
      <c r="M123" s="10"/>
      <c r="N123" s="56"/>
      <c r="O123" s="56"/>
      <c r="P123" s="162" t="str">
        <f t="shared" si="7"/>
        <v/>
      </c>
      <c r="Q123" s="178" t="str">
        <f t="shared" si="8"/>
        <v/>
      </c>
      <c r="R123" s="168"/>
      <c r="S123" s="56"/>
      <c r="T123" s="56"/>
      <c r="U123" s="56"/>
      <c r="V123" s="162" t="str">
        <f t="shared" si="10"/>
        <v/>
      </c>
      <c r="W123" s="178" t="str">
        <f t="shared" si="11"/>
        <v/>
      </c>
      <c r="X123" s="172"/>
      <c r="Y123" s="10"/>
      <c r="Z123" s="56"/>
      <c r="AA123" s="56"/>
      <c r="AB123" s="56"/>
      <c r="AC123" s="56"/>
      <c r="AD123" s="56"/>
      <c r="AE123" s="174"/>
      <c r="AF123" s="56"/>
      <c r="AG123" s="56"/>
      <c r="AH123" s="172"/>
      <c r="AI123" s="56"/>
      <c r="AJ123" s="56"/>
      <c r="AK123" s="56"/>
      <c r="AL123" s="56"/>
      <c r="AM123" s="56"/>
      <c r="AN123" s="56"/>
      <c r="AO123" s="172"/>
      <c r="AP123" s="56"/>
      <c r="AQ123" s="56"/>
      <c r="AR123" s="56"/>
      <c r="AS123" s="56"/>
      <c r="AT123" s="56"/>
      <c r="AU123" s="56"/>
      <c r="AV123" s="56"/>
      <c r="AW123" s="172"/>
      <c r="AX123" s="56"/>
      <c r="AY123" s="56"/>
      <c r="AZ123" s="56"/>
      <c r="BA123" s="172"/>
      <c r="BB123" s="56"/>
      <c r="BC123" s="10"/>
      <c r="BD123" s="56"/>
      <c r="BE123" s="56"/>
      <c r="BF123" s="56"/>
      <c r="BG123" s="56"/>
      <c r="BO123" s="145"/>
      <c r="CI123" s="145"/>
      <c r="CY123" s="145"/>
    </row>
    <row r="124" spans="1:103" s="97" customFormat="1" ht="17.25" thickBot="1" x14ac:dyDescent="0.2">
      <c r="A124" s="11">
        <f t="shared" si="12"/>
        <v>60050020</v>
      </c>
      <c r="B124" s="112">
        <v>6</v>
      </c>
      <c r="C124" s="12">
        <v>0</v>
      </c>
      <c r="D124" s="112">
        <v>5</v>
      </c>
      <c r="E124" s="112">
        <v>0</v>
      </c>
      <c r="F124" s="113">
        <v>20</v>
      </c>
      <c r="G124" s="56"/>
      <c r="H124" s="56"/>
      <c r="I124" s="56"/>
      <c r="J124" s="56"/>
      <c r="K124" s="56"/>
      <c r="L124" s="165"/>
      <c r="M124" s="10"/>
      <c r="N124" s="56"/>
      <c r="O124" s="56"/>
      <c r="P124" s="162" t="str">
        <f t="shared" si="7"/>
        <v/>
      </c>
      <c r="Q124" s="178" t="str">
        <f t="shared" si="8"/>
        <v/>
      </c>
      <c r="R124" s="168"/>
      <c r="S124" s="56"/>
      <c r="T124" s="56"/>
      <c r="U124" s="56"/>
      <c r="V124" s="162" t="str">
        <f t="shared" si="10"/>
        <v/>
      </c>
      <c r="W124" s="178" t="str">
        <f t="shared" si="11"/>
        <v/>
      </c>
      <c r="X124" s="172"/>
      <c r="Y124" s="10"/>
      <c r="Z124" s="56"/>
      <c r="AA124" s="56"/>
      <c r="AB124" s="56"/>
      <c r="AC124" s="56"/>
      <c r="AD124" s="56"/>
      <c r="AE124" s="174"/>
      <c r="AF124" s="56"/>
      <c r="AG124" s="56"/>
      <c r="AH124" s="172"/>
      <c r="AI124" s="56"/>
      <c r="AJ124" s="56"/>
      <c r="AK124" s="56"/>
      <c r="AL124" s="56"/>
      <c r="AM124" s="56"/>
      <c r="AN124" s="56"/>
      <c r="AO124" s="172"/>
      <c r="AP124" s="56"/>
      <c r="AQ124" s="56"/>
      <c r="AR124" s="56"/>
      <c r="AS124" s="56"/>
      <c r="AT124" s="56"/>
      <c r="AU124" s="56"/>
      <c r="AV124" s="56"/>
      <c r="AW124" s="172"/>
      <c r="AX124" s="56"/>
      <c r="AY124" s="56"/>
      <c r="AZ124" s="56"/>
      <c r="BA124" s="172"/>
      <c r="BB124" s="56"/>
      <c r="BC124" s="10"/>
      <c r="BD124" s="56"/>
      <c r="BE124" s="56"/>
      <c r="BF124" s="56"/>
      <c r="BG124" s="56"/>
      <c r="BO124" s="145"/>
      <c r="CI124" s="145"/>
      <c r="CY124" s="145"/>
    </row>
    <row r="125" spans="1:103" s="114" customFormat="1" x14ac:dyDescent="0.15">
      <c r="A125" s="18">
        <f t="shared" si="12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7"/>
      <c r="H125" s="57"/>
      <c r="I125" s="57"/>
      <c r="J125" s="57"/>
      <c r="K125" s="57"/>
      <c r="L125" s="167"/>
      <c r="M125" s="17"/>
      <c r="N125" s="57"/>
      <c r="O125" s="57"/>
      <c r="P125" s="163" t="str">
        <f t="shared" si="7"/>
        <v/>
      </c>
      <c r="Q125" s="179" t="str">
        <f t="shared" si="8"/>
        <v/>
      </c>
      <c r="R125" s="169"/>
      <c r="S125" s="57"/>
      <c r="T125" s="57"/>
      <c r="U125" s="57"/>
      <c r="V125" s="163" t="str">
        <f t="shared" si="10"/>
        <v/>
      </c>
      <c r="W125" s="179" t="str">
        <f t="shared" si="11"/>
        <v/>
      </c>
      <c r="X125" s="173"/>
      <c r="Y125" s="17"/>
      <c r="Z125" s="57"/>
      <c r="AA125" s="57"/>
      <c r="AB125" s="57"/>
      <c r="AC125" s="57"/>
      <c r="AD125" s="57"/>
      <c r="AE125" s="176"/>
      <c r="AF125" s="57"/>
      <c r="AG125" s="57"/>
      <c r="AH125" s="173"/>
      <c r="AI125" s="57"/>
      <c r="AJ125" s="57"/>
      <c r="AK125" s="57"/>
      <c r="AL125" s="57"/>
      <c r="AM125" s="57"/>
      <c r="AN125" s="57"/>
      <c r="AO125" s="173"/>
      <c r="AP125" s="57"/>
      <c r="AQ125" s="57"/>
      <c r="AR125" s="57"/>
      <c r="AS125" s="57"/>
      <c r="AT125" s="57"/>
      <c r="AU125" s="57"/>
      <c r="AV125" s="57"/>
      <c r="AW125" s="173"/>
      <c r="AX125" s="57"/>
      <c r="AY125" s="57"/>
      <c r="AZ125" s="57"/>
      <c r="BA125" s="173"/>
      <c r="BB125" s="57"/>
      <c r="BC125" s="17"/>
      <c r="BD125" s="57"/>
      <c r="BE125" s="57"/>
      <c r="BF125" s="57"/>
      <c r="BG125" s="57"/>
      <c r="BO125" s="144"/>
      <c r="CI125" s="144"/>
      <c r="CY125" s="144"/>
    </row>
    <row r="126" spans="1:103" x14ac:dyDescent="0.15">
      <c r="A126" s="11">
        <f t="shared" si="12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P126" s="162" t="str">
        <f t="shared" si="7"/>
        <v/>
      </c>
      <c r="Q126" s="178" t="str">
        <f t="shared" si="8"/>
        <v/>
      </c>
      <c r="V126" s="162" t="str">
        <f t="shared" si="10"/>
        <v/>
      </c>
      <c r="W126" s="178" t="str">
        <f t="shared" si="11"/>
        <v/>
      </c>
      <c r="BH126" s="109"/>
    </row>
    <row r="127" spans="1:103" x14ac:dyDescent="0.15">
      <c r="A127" s="11">
        <f t="shared" si="12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P127" s="162" t="str">
        <f t="shared" si="7"/>
        <v/>
      </c>
      <c r="Q127" s="178" t="str">
        <f t="shared" si="8"/>
        <v/>
      </c>
      <c r="V127" s="162" t="str">
        <f t="shared" si="10"/>
        <v/>
      </c>
      <c r="W127" s="178" t="str">
        <f t="shared" si="11"/>
        <v/>
      </c>
      <c r="BH127" s="109"/>
    </row>
    <row r="128" spans="1:103" x14ac:dyDescent="0.15">
      <c r="A128" s="11">
        <f t="shared" si="12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P128" s="162" t="str">
        <f t="shared" si="7"/>
        <v/>
      </c>
      <c r="Q128" s="178" t="str">
        <f t="shared" si="8"/>
        <v/>
      </c>
      <c r="V128" s="162" t="str">
        <f t="shared" si="10"/>
        <v/>
      </c>
      <c r="W128" s="178" t="str">
        <f t="shared" si="11"/>
        <v/>
      </c>
    </row>
    <row r="129" spans="1:103" x14ac:dyDescent="0.15">
      <c r="A129" s="11">
        <f t="shared" si="12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P129" s="162" t="str">
        <f t="shared" si="7"/>
        <v/>
      </c>
      <c r="Q129" s="178" t="str">
        <f t="shared" si="8"/>
        <v/>
      </c>
      <c r="V129" s="162" t="str">
        <f t="shared" si="10"/>
        <v/>
      </c>
      <c r="W129" s="178" t="str">
        <f t="shared" si="11"/>
        <v/>
      </c>
    </row>
    <row r="130" spans="1:103" x14ac:dyDescent="0.15">
      <c r="A130" s="11">
        <f t="shared" si="12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P130" s="162" t="str">
        <f t="shared" si="7"/>
        <v/>
      </c>
      <c r="Q130" s="178" t="str">
        <f t="shared" si="8"/>
        <v/>
      </c>
      <c r="V130" s="162" t="str">
        <f t="shared" si="10"/>
        <v/>
      </c>
      <c r="W130" s="178" t="str">
        <f t="shared" si="11"/>
        <v/>
      </c>
    </row>
    <row r="131" spans="1:103" x14ac:dyDescent="0.15">
      <c r="A131" s="11">
        <f t="shared" si="12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P131" s="162" t="str">
        <f t="shared" si="7"/>
        <v/>
      </c>
      <c r="Q131" s="178" t="str">
        <f t="shared" si="8"/>
        <v/>
      </c>
      <c r="V131" s="162" t="str">
        <f t="shared" si="10"/>
        <v/>
      </c>
      <c r="W131" s="178" t="str">
        <f t="shared" si="11"/>
        <v/>
      </c>
    </row>
    <row r="132" spans="1:103" x14ac:dyDescent="0.15">
      <c r="A132" s="11">
        <f t="shared" si="12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P132" s="162" t="str">
        <f t="shared" si="7"/>
        <v/>
      </c>
      <c r="Q132" s="178" t="str">
        <f t="shared" si="8"/>
        <v/>
      </c>
      <c r="V132" s="162" t="str">
        <f t="shared" si="10"/>
        <v/>
      </c>
      <c r="W132" s="178" t="str">
        <f t="shared" si="11"/>
        <v/>
      </c>
    </row>
    <row r="133" spans="1:103" x14ac:dyDescent="0.15">
      <c r="A133" s="11">
        <f t="shared" si="12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P133" s="162" t="str">
        <f t="shared" si="7"/>
        <v/>
      </c>
      <c r="Q133" s="178" t="str">
        <f t="shared" si="8"/>
        <v/>
      </c>
      <c r="V133" s="162" t="str">
        <f t="shared" si="10"/>
        <v/>
      </c>
      <c r="W133" s="178" t="str">
        <f t="shared" si="11"/>
        <v/>
      </c>
    </row>
    <row r="134" spans="1:103" x14ac:dyDescent="0.15">
      <c r="A134" s="11">
        <f t="shared" si="12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P134" s="162" t="str">
        <f t="shared" ref="P134:P197" si="13">IF((1-(1-O134/100000)^1440)=0,"",1-(1-O134/100000)^1440)</f>
        <v/>
      </c>
      <c r="Q134" s="178" t="str">
        <f t="shared" ref="Q134:Q197" si="14">IF((O134/100000)*1440=0,"",(O134/100000)*1440)</f>
        <v/>
      </c>
      <c r="V134" s="162" t="str">
        <f t="shared" si="10"/>
        <v/>
      </c>
      <c r="W134" s="178" t="str">
        <f t="shared" si="11"/>
        <v/>
      </c>
    </row>
    <row r="135" spans="1:103" s="97" customFormat="1" x14ac:dyDescent="0.15">
      <c r="A135" s="11">
        <f t="shared" si="12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6"/>
      <c r="H135" s="56"/>
      <c r="I135" s="56"/>
      <c r="J135" s="56"/>
      <c r="K135" s="56"/>
      <c r="L135" s="165"/>
      <c r="M135" s="10"/>
      <c r="N135" s="56"/>
      <c r="O135" s="56"/>
      <c r="P135" s="162" t="str">
        <f t="shared" si="13"/>
        <v/>
      </c>
      <c r="Q135" s="178" t="str">
        <f t="shared" si="14"/>
        <v/>
      </c>
      <c r="R135" s="168"/>
      <c r="S135" s="56"/>
      <c r="T135" s="56"/>
      <c r="U135" s="56"/>
      <c r="V135" s="162" t="str">
        <f t="shared" si="10"/>
        <v/>
      </c>
      <c r="W135" s="178" t="str">
        <f t="shared" si="11"/>
        <v/>
      </c>
      <c r="X135" s="172"/>
      <c r="Y135" s="10"/>
      <c r="Z135" s="56"/>
      <c r="AA135" s="56"/>
      <c r="AB135" s="56"/>
      <c r="AC135" s="56"/>
      <c r="AD135" s="56"/>
      <c r="AE135" s="174"/>
      <c r="AF135" s="56"/>
      <c r="AG135" s="56"/>
      <c r="AH135" s="172"/>
      <c r="AI135" s="56"/>
      <c r="AJ135" s="56"/>
      <c r="AK135" s="56"/>
      <c r="AL135" s="56"/>
      <c r="AM135" s="56"/>
      <c r="AN135" s="56"/>
      <c r="AO135" s="172"/>
      <c r="AP135" s="56"/>
      <c r="AQ135" s="56"/>
      <c r="AR135" s="56"/>
      <c r="AS135" s="56"/>
      <c r="AT135" s="56"/>
      <c r="AU135" s="56"/>
      <c r="AV135" s="56"/>
      <c r="AW135" s="172"/>
      <c r="AX135" s="56"/>
      <c r="AY135" s="56"/>
      <c r="AZ135" s="56"/>
      <c r="BA135" s="172"/>
      <c r="BB135" s="56"/>
      <c r="BC135" s="10"/>
      <c r="BD135" s="56"/>
      <c r="BE135" s="56"/>
      <c r="BF135" s="56"/>
      <c r="BG135" s="56"/>
      <c r="BO135" s="145"/>
      <c r="CI135" s="145"/>
      <c r="CY135" s="145"/>
    </row>
    <row r="136" spans="1:103" s="97" customFormat="1" x14ac:dyDescent="0.15">
      <c r="A136" s="11">
        <f t="shared" si="12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6"/>
      <c r="H136" s="56"/>
      <c r="I136" s="56"/>
      <c r="J136" s="56"/>
      <c r="K136" s="56"/>
      <c r="L136" s="165"/>
      <c r="M136" s="10"/>
      <c r="N136" s="56"/>
      <c r="O136" s="56"/>
      <c r="P136" s="162" t="str">
        <f t="shared" si="13"/>
        <v/>
      </c>
      <c r="Q136" s="178" t="str">
        <f t="shared" si="14"/>
        <v/>
      </c>
      <c r="R136" s="168"/>
      <c r="S136" s="56"/>
      <c r="T136" s="56"/>
      <c r="U136" s="56"/>
      <c r="V136" s="162" t="str">
        <f t="shared" si="10"/>
        <v/>
      </c>
      <c r="W136" s="178" t="str">
        <f t="shared" si="11"/>
        <v/>
      </c>
      <c r="X136" s="172"/>
      <c r="Y136" s="10"/>
      <c r="Z136" s="56"/>
      <c r="AA136" s="56"/>
      <c r="AB136" s="56"/>
      <c r="AC136" s="56"/>
      <c r="AD136" s="56"/>
      <c r="AE136" s="174"/>
      <c r="AF136" s="56"/>
      <c r="AG136" s="56"/>
      <c r="AH136" s="172"/>
      <c r="AI136" s="56"/>
      <c r="AJ136" s="56"/>
      <c r="AK136" s="56"/>
      <c r="AL136" s="56"/>
      <c r="AM136" s="56"/>
      <c r="AN136" s="56"/>
      <c r="AO136" s="172"/>
      <c r="AP136" s="56"/>
      <c r="AQ136" s="56"/>
      <c r="AR136" s="56"/>
      <c r="AS136" s="56"/>
      <c r="AT136" s="56"/>
      <c r="AU136" s="56"/>
      <c r="AV136" s="56"/>
      <c r="AW136" s="172"/>
      <c r="AX136" s="56"/>
      <c r="AY136" s="56"/>
      <c r="AZ136" s="56"/>
      <c r="BA136" s="172"/>
      <c r="BB136" s="56"/>
      <c r="BC136" s="10"/>
      <c r="BD136" s="56"/>
      <c r="BE136" s="56"/>
      <c r="BF136" s="56"/>
      <c r="BG136" s="56"/>
      <c r="BO136" s="145"/>
      <c r="CI136" s="145"/>
      <c r="CY136" s="145"/>
    </row>
    <row r="137" spans="1:103" s="97" customFormat="1" x14ac:dyDescent="0.15">
      <c r="A137" s="11">
        <f t="shared" si="12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6"/>
      <c r="H137" s="56"/>
      <c r="I137" s="56"/>
      <c r="J137" s="56"/>
      <c r="K137" s="56"/>
      <c r="L137" s="165"/>
      <c r="M137" s="10"/>
      <c r="N137" s="56"/>
      <c r="O137" s="56"/>
      <c r="P137" s="162" t="str">
        <f t="shared" si="13"/>
        <v/>
      </c>
      <c r="Q137" s="178" t="str">
        <f t="shared" si="14"/>
        <v/>
      </c>
      <c r="R137" s="168"/>
      <c r="S137" s="56"/>
      <c r="T137" s="56"/>
      <c r="U137" s="56"/>
      <c r="V137" s="162" t="str">
        <f t="shared" si="10"/>
        <v/>
      </c>
      <c r="W137" s="178" t="str">
        <f t="shared" si="11"/>
        <v/>
      </c>
      <c r="X137" s="172"/>
      <c r="Y137" s="10"/>
      <c r="Z137" s="56"/>
      <c r="AA137" s="56"/>
      <c r="AB137" s="56"/>
      <c r="AC137" s="56"/>
      <c r="AD137" s="56"/>
      <c r="AE137" s="174"/>
      <c r="AF137" s="56"/>
      <c r="AG137" s="56"/>
      <c r="AH137" s="172"/>
      <c r="AI137" s="56"/>
      <c r="AJ137" s="56"/>
      <c r="AK137" s="56"/>
      <c r="AL137" s="56"/>
      <c r="AM137" s="56"/>
      <c r="AN137" s="56"/>
      <c r="AO137" s="172"/>
      <c r="AP137" s="56"/>
      <c r="AQ137" s="56"/>
      <c r="AR137" s="56"/>
      <c r="AS137" s="56"/>
      <c r="AT137" s="56"/>
      <c r="AU137" s="56"/>
      <c r="AV137" s="56"/>
      <c r="AW137" s="172"/>
      <c r="AX137" s="56"/>
      <c r="AY137" s="56"/>
      <c r="AZ137" s="56"/>
      <c r="BA137" s="172"/>
      <c r="BB137" s="56"/>
      <c r="BC137" s="10"/>
      <c r="BD137" s="56"/>
      <c r="BE137" s="56"/>
      <c r="BF137" s="56"/>
      <c r="BG137" s="56"/>
      <c r="BO137" s="145"/>
      <c r="CI137" s="145"/>
      <c r="CY137" s="145"/>
    </row>
    <row r="138" spans="1:103" s="97" customFormat="1" x14ac:dyDescent="0.15">
      <c r="A138" s="11">
        <f t="shared" si="12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6"/>
      <c r="H138" s="56"/>
      <c r="I138" s="56"/>
      <c r="J138" s="56"/>
      <c r="K138" s="56"/>
      <c r="L138" s="165"/>
      <c r="M138" s="10"/>
      <c r="N138" s="56"/>
      <c r="O138" s="56"/>
      <c r="P138" s="162" t="str">
        <f t="shared" si="13"/>
        <v/>
      </c>
      <c r="Q138" s="178" t="str">
        <f t="shared" si="14"/>
        <v/>
      </c>
      <c r="R138" s="168"/>
      <c r="S138" s="56"/>
      <c r="T138" s="56"/>
      <c r="U138" s="56"/>
      <c r="V138" s="162" t="str">
        <f t="shared" si="10"/>
        <v/>
      </c>
      <c r="W138" s="178" t="str">
        <f t="shared" si="11"/>
        <v/>
      </c>
      <c r="X138" s="172"/>
      <c r="Y138" s="10"/>
      <c r="Z138" s="56"/>
      <c r="AA138" s="56"/>
      <c r="AB138" s="56"/>
      <c r="AC138" s="56"/>
      <c r="AD138" s="56"/>
      <c r="AE138" s="174"/>
      <c r="AF138" s="56"/>
      <c r="AG138" s="56"/>
      <c r="AH138" s="172"/>
      <c r="AI138" s="56"/>
      <c r="AJ138" s="56"/>
      <c r="AK138" s="56"/>
      <c r="AL138" s="56"/>
      <c r="AM138" s="56"/>
      <c r="AN138" s="56"/>
      <c r="AO138" s="172"/>
      <c r="AP138" s="56"/>
      <c r="AQ138" s="56"/>
      <c r="AR138" s="56"/>
      <c r="AS138" s="56"/>
      <c r="AT138" s="56"/>
      <c r="AU138" s="56"/>
      <c r="AV138" s="56"/>
      <c r="AW138" s="172"/>
      <c r="AX138" s="56"/>
      <c r="AY138" s="56"/>
      <c r="AZ138" s="56"/>
      <c r="BA138" s="172"/>
      <c r="BB138" s="56"/>
      <c r="BC138" s="10"/>
      <c r="BD138" s="56"/>
      <c r="BE138" s="56"/>
      <c r="BF138" s="56"/>
      <c r="BG138" s="56"/>
      <c r="BO138" s="145"/>
      <c r="CI138" s="145"/>
      <c r="CY138" s="145"/>
    </row>
    <row r="139" spans="1:103" s="97" customFormat="1" x14ac:dyDescent="0.15">
      <c r="A139" s="11">
        <f t="shared" si="12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6"/>
      <c r="H139" s="56"/>
      <c r="I139" s="56"/>
      <c r="J139" s="56"/>
      <c r="K139" s="56"/>
      <c r="L139" s="165"/>
      <c r="M139" s="10"/>
      <c r="N139" s="56"/>
      <c r="O139" s="56"/>
      <c r="P139" s="162" t="str">
        <f t="shared" si="13"/>
        <v/>
      </c>
      <c r="Q139" s="178" t="str">
        <f t="shared" si="14"/>
        <v/>
      </c>
      <c r="R139" s="168"/>
      <c r="S139" s="56"/>
      <c r="T139" s="56"/>
      <c r="U139" s="56"/>
      <c r="V139" s="162" t="str">
        <f t="shared" si="10"/>
        <v/>
      </c>
      <c r="W139" s="178" t="str">
        <f t="shared" si="11"/>
        <v/>
      </c>
      <c r="X139" s="172"/>
      <c r="Y139" s="10"/>
      <c r="Z139" s="56"/>
      <c r="AA139" s="56"/>
      <c r="AB139" s="56"/>
      <c r="AC139" s="56"/>
      <c r="AD139" s="56"/>
      <c r="AE139" s="174"/>
      <c r="AF139" s="56"/>
      <c r="AG139" s="56"/>
      <c r="AH139" s="172"/>
      <c r="AI139" s="56"/>
      <c r="AJ139" s="56"/>
      <c r="AK139" s="56"/>
      <c r="AL139" s="56"/>
      <c r="AM139" s="56"/>
      <c r="AN139" s="56"/>
      <c r="AO139" s="172"/>
      <c r="AP139" s="56"/>
      <c r="AQ139" s="56"/>
      <c r="AR139" s="56"/>
      <c r="AS139" s="56"/>
      <c r="AT139" s="56"/>
      <c r="AU139" s="56"/>
      <c r="AV139" s="56"/>
      <c r="AW139" s="172"/>
      <c r="AX139" s="56"/>
      <c r="AY139" s="56"/>
      <c r="AZ139" s="56"/>
      <c r="BA139" s="172"/>
      <c r="BB139" s="56"/>
      <c r="BC139" s="10"/>
      <c r="BD139" s="56"/>
      <c r="BE139" s="56"/>
      <c r="BF139" s="56"/>
      <c r="BG139" s="56"/>
      <c r="BO139" s="145"/>
      <c r="CI139" s="145"/>
      <c r="CY139" s="145"/>
    </row>
    <row r="140" spans="1:103" s="97" customFormat="1" x14ac:dyDescent="0.15">
      <c r="A140" s="11">
        <f t="shared" si="12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6"/>
      <c r="H140" s="56"/>
      <c r="I140" s="56"/>
      <c r="J140" s="56"/>
      <c r="K140" s="56"/>
      <c r="L140" s="165"/>
      <c r="M140" s="10"/>
      <c r="N140" s="56"/>
      <c r="O140" s="56"/>
      <c r="P140" s="162" t="str">
        <f t="shared" si="13"/>
        <v/>
      </c>
      <c r="Q140" s="178" t="str">
        <f t="shared" si="14"/>
        <v/>
      </c>
      <c r="R140" s="168"/>
      <c r="S140" s="56"/>
      <c r="T140" s="56"/>
      <c r="U140" s="56"/>
      <c r="V140" s="162" t="str">
        <f t="shared" si="10"/>
        <v/>
      </c>
      <c r="W140" s="178" t="str">
        <f t="shared" si="11"/>
        <v/>
      </c>
      <c r="X140" s="172"/>
      <c r="Y140" s="10"/>
      <c r="Z140" s="56"/>
      <c r="AA140" s="56"/>
      <c r="AB140" s="56"/>
      <c r="AC140" s="56"/>
      <c r="AD140" s="56"/>
      <c r="AE140" s="174"/>
      <c r="AF140" s="56"/>
      <c r="AG140" s="56"/>
      <c r="AH140" s="172"/>
      <c r="AI140" s="56"/>
      <c r="AJ140" s="56"/>
      <c r="AK140" s="56"/>
      <c r="AL140" s="56"/>
      <c r="AM140" s="56"/>
      <c r="AN140" s="56"/>
      <c r="AO140" s="172"/>
      <c r="AP140" s="56"/>
      <c r="AQ140" s="56"/>
      <c r="AR140" s="56"/>
      <c r="AS140" s="56"/>
      <c r="AT140" s="56"/>
      <c r="AU140" s="56"/>
      <c r="AV140" s="56"/>
      <c r="AW140" s="172"/>
      <c r="AX140" s="56"/>
      <c r="AY140" s="56"/>
      <c r="AZ140" s="56"/>
      <c r="BA140" s="172"/>
      <c r="BB140" s="56"/>
      <c r="BC140" s="10"/>
      <c r="BD140" s="56"/>
      <c r="BE140" s="56"/>
      <c r="BF140" s="56"/>
      <c r="BG140" s="56"/>
      <c r="BO140" s="145"/>
      <c r="CI140" s="145"/>
      <c r="CY140" s="145"/>
    </row>
    <row r="141" spans="1:103" s="97" customFormat="1" x14ac:dyDescent="0.15">
      <c r="A141" s="11">
        <f t="shared" si="12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6"/>
      <c r="H141" s="56"/>
      <c r="I141" s="56"/>
      <c r="J141" s="56"/>
      <c r="K141" s="56"/>
      <c r="L141" s="165"/>
      <c r="M141" s="10"/>
      <c r="N141" s="56"/>
      <c r="O141" s="56"/>
      <c r="P141" s="162" t="str">
        <f t="shared" si="13"/>
        <v/>
      </c>
      <c r="Q141" s="178" t="str">
        <f t="shared" si="14"/>
        <v/>
      </c>
      <c r="R141" s="168"/>
      <c r="S141" s="56"/>
      <c r="T141" s="56"/>
      <c r="U141" s="56"/>
      <c r="V141" s="162" t="str">
        <f t="shared" si="10"/>
        <v/>
      </c>
      <c r="W141" s="178" t="str">
        <f t="shared" si="11"/>
        <v/>
      </c>
      <c r="X141" s="172"/>
      <c r="Y141" s="10"/>
      <c r="Z141" s="56"/>
      <c r="AA141" s="56"/>
      <c r="AB141" s="56"/>
      <c r="AC141" s="56"/>
      <c r="AD141" s="56"/>
      <c r="AE141" s="174"/>
      <c r="AF141" s="56"/>
      <c r="AG141" s="56"/>
      <c r="AH141" s="172"/>
      <c r="AI141" s="56"/>
      <c r="AJ141" s="56"/>
      <c r="AK141" s="56"/>
      <c r="AL141" s="56"/>
      <c r="AM141" s="56"/>
      <c r="AN141" s="56"/>
      <c r="AO141" s="172"/>
      <c r="AP141" s="56"/>
      <c r="AQ141" s="56"/>
      <c r="AR141" s="56"/>
      <c r="AS141" s="56"/>
      <c r="AT141" s="56"/>
      <c r="AU141" s="56"/>
      <c r="AV141" s="56"/>
      <c r="AW141" s="172"/>
      <c r="AX141" s="56"/>
      <c r="AY141" s="56"/>
      <c r="AZ141" s="56"/>
      <c r="BA141" s="172"/>
      <c r="BB141" s="56"/>
      <c r="BC141" s="10"/>
      <c r="BD141" s="56"/>
      <c r="BE141" s="56"/>
      <c r="BF141" s="56"/>
      <c r="BG141" s="56"/>
      <c r="BO141" s="145"/>
      <c r="CI141" s="145"/>
      <c r="CY141" s="145"/>
    </row>
    <row r="142" spans="1:103" s="97" customFormat="1" x14ac:dyDescent="0.15">
      <c r="A142" s="11">
        <f t="shared" si="12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6"/>
      <c r="H142" s="56"/>
      <c r="I142" s="56"/>
      <c r="J142" s="56"/>
      <c r="K142" s="56"/>
      <c r="L142" s="165"/>
      <c r="M142" s="10"/>
      <c r="N142" s="56"/>
      <c r="O142" s="56"/>
      <c r="P142" s="162" t="str">
        <f t="shared" si="13"/>
        <v/>
      </c>
      <c r="Q142" s="178" t="str">
        <f t="shared" si="14"/>
        <v/>
      </c>
      <c r="R142" s="168"/>
      <c r="S142" s="56"/>
      <c r="T142" s="56"/>
      <c r="U142" s="56"/>
      <c r="V142" s="162" t="str">
        <f t="shared" si="10"/>
        <v/>
      </c>
      <c r="W142" s="178" t="str">
        <f t="shared" si="11"/>
        <v/>
      </c>
      <c r="X142" s="172"/>
      <c r="Y142" s="10"/>
      <c r="Z142" s="56"/>
      <c r="AA142" s="56"/>
      <c r="AB142" s="56"/>
      <c r="AC142" s="56"/>
      <c r="AD142" s="56"/>
      <c r="AE142" s="174"/>
      <c r="AF142" s="56"/>
      <c r="AG142" s="56"/>
      <c r="AH142" s="172"/>
      <c r="AI142" s="56"/>
      <c r="AJ142" s="56"/>
      <c r="AK142" s="56"/>
      <c r="AL142" s="56"/>
      <c r="AM142" s="56"/>
      <c r="AN142" s="56"/>
      <c r="AO142" s="172"/>
      <c r="AP142" s="56"/>
      <c r="AQ142" s="56"/>
      <c r="AR142" s="56"/>
      <c r="AS142" s="56"/>
      <c r="AT142" s="56"/>
      <c r="AU142" s="56"/>
      <c r="AV142" s="56"/>
      <c r="AW142" s="172"/>
      <c r="AX142" s="56"/>
      <c r="AY142" s="56"/>
      <c r="AZ142" s="56"/>
      <c r="BA142" s="172"/>
      <c r="BB142" s="56"/>
      <c r="BC142" s="10"/>
      <c r="BD142" s="56"/>
      <c r="BE142" s="56"/>
      <c r="BF142" s="56"/>
      <c r="BG142" s="56"/>
      <c r="BO142" s="145"/>
      <c r="CI142" s="145"/>
      <c r="CY142" s="145"/>
    </row>
    <row r="143" spans="1:103" s="97" customFormat="1" x14ac:dyDescent="0.15">
      <c r="A143" s="11">
        <f t="shared" si="12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6"/>
      <c r="H143" s="56"/>
      <c r="I143" s="56"/>
      <c r="J143" s="56"/>
      <c r="K143" s="56"/>
      <c r="L143" s="165"/>
      <c r="M143" s="10"/>
      <c r="N143" s="56"/>
      <c r="O143" s="56"/>
      <c r="P143" s="162" t="str">
        <f t="shared" si="13"/>
        <v/>
      </c>
      <c r="Q143" s="178" t="str">
        <f t="shared" si="14"/>
        <v/>
      </c>
      <c r="R143" s="168"/>
      <c r="S143" s="56"/>
      <c r="T143" s="56"/>
      <c r="U143" s="56"/>
      <c r="V143" s="162" t="str">
        <f t="shared" si="10"/>
        <v/>
      </c>
      <c r="W143" s="178" t="str">
        <f t="shared" si="11"/>
        <v/>
      </c>
      <c r="X143" s="172"/>
      <c r="Y143" s="10"/>
      <c r="Z143" s="56"/>
      <c r="AA143" s="56"/>
      <c r="AB143" s="56"/>
      <c r="AC143" s="56"/>
      <c r="AD143" s="56"/>
      <c r="AE143" s="174"/>
      <c r="AF143" s="56"/>
      <c r="AG143" s="56"/>
      <c r="AH143" s="172"/>
      <c r="AI143" s="56"/>
      <c r="AJ143" s="56"/>
      <c r="AK143" s="56"/>
      <c r="AL143" s="56"/>
      <c r="AM143" s="56"/>
      <c r="AN143" s="56"/>
      <c r="AO143" s="172"/>
      <c r="AP143" s="56"/>
      <c r="AQ143" s="56"/>
      <c r="AR143" s="56"/>
      <c r="AS143" s="56"/>
      <c r="AT143" s="56"/>
      <c r="AU143" s="56"/>
      <c r="AV143" s="56"/>
      <c r="AW143" s="172"/>
      <c r="AX143" s="56"/>
      <c r="AY143" s="56"/>
      <c r="AZ143" s="56"/>
      <c r="BA143" s="172"/>
      <c r="BB143" s="56"/>
      <c r="BC143" s="10"/>
      <c r="BD143" s="56"/>
      <c r="BE143" s="56"/>
      <c r="BF143" s="56"/>
      <c r="BG143" s="56"/>
      <c r="BO143" s="145"/>
      <c r="CI143" s="145"/>
      <c r="CY143" s="145"/>
    </row>
    <row r="144" spans="1:103" s="97" customFormat="1" ht="17.25" thickBot="1" x14ac:dyDescent="0.2">
      <c r="A144" s="11">
        <f t="shared" si="12"/>
        <v>60060020</v>
      </c>
      <c r="B144" s="112">
        <v>6</v>
      </c>
      <c r="C144" s="12">
        <v>0</v>
      </c>
      <c r="D144" s="112">
        <v>6</v>
      </c>
      <c r="E144" s="112">
        <v>0</v>
      </c>
      <c r="F144" s="113">
        <v>20</v>
      </c>
      <c r="G144" s="56"/>
      <c r="H144" s="56"/>
      <c r="I144" s="56"/>
      <c r="J144" s="56"/>
      <c r="K144" s="56"/>
      <c r="L144" s="165"/>
      <c r="M144" s="10"/>
      <c r="N144" s="56"/>
      <c r="O144" s="56"/>
      <c r="P144" s="162" t="str">
        <f t="shared" si="13"/>
        <v/>
      </c>
      <c r="Q144" s="178" t="str">
        <f t="shared" si="14"/>
        <v/>
      </c>
      <c r="R144" s="168"/>
      <c r="S144" s="56"/>
      <c r="T144" s="56"/>
      <c r="U144" s="56"/>
      <c r="V144" s="162" t="str">
        <f t="shared" si="10"/>
        <v/>
      </c>
      <c r="W144" s="178" t="str">
        <f t="shared" si="11"/>
        <v/>
      </c>
      <c r="X144" s="172"/>
      <c r="Y144" s="10"/>
      <c r="Z144" s="56"/>
      <c r="AA144" s="56"/>
      <c r="AB144" s="56"/>
      <c r="AC144" s="56"/>
      <c r="AD144" s="56"/>
      <c r="AE144" s="174"/>
      <c r="AF144" s="56"/>
      <c r="AG144" s="56"/>
      <c r="AH144" s="172"/>
      <c r="AI144" s="56"/>
      <c r="AJ144" s="56"/>
      <c r="AK144" s="56"/>
      <c r="AL144" s="56"/>
      <c r="AM144" s="56"/>
      <c r="AN144" s="56"/>
      <c r="AO144" s="172"/>
      <c r="AP144" s="56"/>
      <c r="AQ144" s="56"/>
      <c r="AR144" s="56"/>
      <c r="AS144" s="56"/>
      <c r="AT144" s="56"/>
      <c r="AU144" s="56"/>
      <c r="AV144" s="56"/>
      <c r="AW144" s="172"/>
      <c r="AX144" s="56"/>
      <c r="AY144" s="56"/>
      <c r="AZ144" s="56"/>
      <c r="BA144" s="172"/>
      <c r="BB144" s="56"/>
      <c r="BC144" s="10"/>
      <c r="BD144" s="56"/>
      <c r="BE144" s="56"/>
      <c r="BF144" s="56"/>
      <c r="BG144" s="56"/>
      <c r="BO144" s="145"/>
      <c r="CI144" s="145"/>
      <c r="CY144" s="145"/>
    </row>
    <row r="145" spans="1:103" s="114" customFormat="1" x14ac:dyDescent="0.15">
      <c r="A145" s="18">
        <f t="shared" si="12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7"/>
      <c r="H145" s="57"/>
      <c r="I145" s="57"/>
      <c r="J145" s="57"/>
      <c r="K145" s="57"/>
      <c r="L145" s="167"/>
      <c r="M145" s="17"/>
      <c r="N145" s="57"/>
      <c r="O145" s="57"/>
      <c r="P145" s="163" t="str">
        <f t="shared" si="13"/>
        <v/>
      </c>
      <c r="Q145" s="179" t="str">
        <f t="shared" si="14"/>
        <v/>
      </c>
      <c r="R145" s="169"/>
      <c r="S145" s="57"/>
      <c r="T145" s="57"/>
      <c r="U145" s="57"/>
      <c r="V145" s="163" t="str">
        <f t="shared" si="10"/>
        <v/>
      </c>
      <c r="W145" s="179" t="str">
        <f t="shared" si="11"/>
        <v/>
      </c>
      <c r="X145" s="173"/>
      <c r="Y145" s="17"/>
      <c r="Z145" s="57"/>
      <c r="AA145" s="57"/>
      <c r="AB145" s="57"/>
      <c r="AC145" s="57"/>
      <c r="AD145" s="57"/>
      <c r="AE145" s="176"/>
      <c r="AF145" s="57"/>
      <c r="AG145" s="57"/>
      <c r="AH145" s="173"/>
      <c r="AI145" s="57"/>
      <c r="AJ145" s="57"/>
      <c r="AK145" s="57"/>
      <c r="AL145" s="57"/>
      <c r="AM145" s="57"/>
      <c r="AN145" s="57"/>
      <c r="AO145" s="173"/>
      <c r="AP145" s="57"/>
      <c r="AQ145" s="57"/>
      <c r="AR145" s="57"/>
      <c r="AS145" s="57"/>
      <c r="AT145" s="57"/>
      <c r="AU145" s="57"/>
      <c r="AV145" s="57"/>
      <c r="AW145" s="173"/>
      <c r="AX145" s="57"/>
      <c r="AY145" s="57"/>
      <c r="AZ145" s="57"/>
      <c r="BA145" s="173"/>
      <c r="BB145" s="57"/>
      <c r="BC145" s="17"/>
      <c r="BD145" s="57"/>
      <c r="BE145" s="57"/>
      <c r="BF145" s="57"/>
      <c r="BG145" s="57"/>
      <c r="BO145" s="144"/>
      <c r="CI145" s="144"/>
      <c r="CY145" s="144"/>
    </row>
    <row r="146" spans="1:103" x14ac:dyDescent="0.15">
      <c r="A146" s="11">
        <f t="shared" si="12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P146" s="162" t="str">
        <f t="shared" si="13"/>
        <v/>
      </c>
      <c r="Q146" s="178" t="str">
        <f t="shared" si="14"/>
        <v/>
      </c>
      <c r="V146" s="162" t="str">
        <f t="shared" si="10"/>
        <v/>
      </c>
      <c r="W146" s="178" t="str">
        <f t="shared" si="11"/>
        <v/>
      </c>
      <c r="BH146" s="109"/>
    </row>
    <row r="147" spans="1:103" x14ac:dyDescent="0.15">
      <c r="A147" s="11">
        <f t="shared" si="12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P147" s="162" t="str">
        <f t="shared" si="13"/>
        <v/>
      </c>
      <c r="Q147" s="178" t="str">
        <f t="shared" si="14"/>
        <v/>
      </c>
      <c r="V147" s="162" t="str">
        <f t="shared" si="10"/>
        <v/>
      </c>
      <c r="W147" s="178" t="str">
        <f t="shared" si="11"/>
        <v/>
      </c>
      <c r="BH147" s="109"/>
    </row>
    <row r="148" spans="1:103" x14ac:dyDescent="0.15">
      <c r="A148" s="11">
        <f t="shared" si="12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P148" s="162" t="str">
        <f t="shared" si="13"/>
        <v/>
      </c>
      <c r="Q148" s="178" t="str">
        <f t="shared" si="14"/>
        <v/>
      </c>
      <c r="V148" s="162" t="str">
        <f t="shared" si="10"/>
        <v/>
      </c>
      <c r="W148" s="178" t="str">
        <f t="shared" si="11"/>
        <v/>
      </c>
    </row>
    <row r="149" spans="1:103" x14ac:dyDescent="0.15">
      <c r="A149" s="11">
        <f t="shared" si="12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P149" s="162" t="str">
        <f t="shared" si="13"/>
        <v/>
      </c>
      <c r="Q149" s="178" t="str">
        <f t="shared" si="14"/>
        <v/>
      </c>
      <c r="V149" s="162" t="str">
        <f t="shared" si="10"/>
        <v/>
      </c>
      <c r="W149" s="178" t="str">
        <f t="shared" si="11"/>
        <v/>
      </c>
    </row>
    <row r="150" spans="1:103" x14ac:dyDescent="0.15">
      <c r="A150" s="11">
        <f t="shared" si="12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P150" s="162" t="str">
        <f t="shared" si="13"/>
        <v/>
      </c>
      <c r="Q150" s="178" t="str">
        <f t="shared" si="14"/>
        <v/>
      </c>
      <c r="V150" s="162" t="str">
        <f t="shared" ref="V150:V213" si="15">IF((1-(1-S150/100000)^L150)=0,"",1-(1-S150/100000)^L150)</f>
        <v/>
      </c>
      <c r="W150" s="178" t="str">
        <f t="shared" ref="W150:W213" si="16">IF((S150/100000)*L150=0,"",(S150/100000)*L150)</f>
        <v/>
      </c>
    </row>
    <row r="151" spans="1:103" x14ac:dyDescent="0.15">
      <c r="A151" s="11">
        <f t="shared" si="12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P151" s="162" t="str">
        <f t="shared" si="13"/>
        <v/>
      </c>
      <c r="Q151" s="178" t="str">
        <f t="shared" si="14"/>
        <v/>
      </c>
      <c r="V151" s="162" t="str">
        <f t="shared" si="15"/>
        <v/>
      </c>
      <c r="W151" s="178" t="str">
        <f t="shared" si="16"/>
        <v/>
      </c>
    </row>
    <row r="152" spans="1:103" x14ac:dyDescent="0.15">
      <c r="A152" s="11">
        <f t="shared" si="12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P152" s="162" t="str">
        <f t="shared" si="13"/>
        <v/>
      </c>
      <c r="Q152" s="178" t="str">
        <f t="shared" si="14"/>
        <v/>
      </c>
      <c r="V152" s="162" t="str">
        <f t="shared" si="15"/>
        <v/>
      </c>
      <c r="W152" s="178" t="str">
        <f t="shared" si="16"/>
        <v/>
      </c>
    </row>
    <row r="153" spans="1:103" x14ac:dyDescent="0.15">
      <c r="A153" s="11">
        <f t="shared" si="12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P153" s="162" t="str">
        <f t="shared" si="13"/>
        <v/>
      </c>
      <c r="Q153" s="178" t="str">
        <f t="shared" si="14"/>
        <v/>
      </c>
      <c r="V153" s="162" t="str">
        <f t="shared" si="15"/>
        <v/>
      </c>
      <c r="W153" s="178" t="str">
        <f t="shared" si="16"/>
        <v/>
      </c>
    </row>
    <row r="154" spans="1:103" x14ac:dyDescent="0.15">
      <c r="A154" s="11">
        <f t="shared" ref="A154:A217" si="17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P154" s="162" t="str">
        <f t="shared" si="13"/>
        <v/>
      </c>
      <c r="Q154" s="178" t="str">
        <f t="shared" si="14"/>
        <v/>
      </c>
      <c r="V154" s="162" t="str">
        <f t="shared" si="15"/>
        <v/>
      </c>
      <c r="W154" s="178" t="str">
        <f t="shared" si="16"/>
        <v/>
      </c>
    </row>
    <row r="155" spans="1:103" s="97" customFormat="1" x14ac:dyDescent="0.15">
      <c r="A155" s="11">
        <f t="shared" si="17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6"/>
      <c r="H155" s="56"/>
      <c r="I155" s="56"/>
      <c r="J155" s="56"/>
      <c r="K155" s="56"/>
      <c r="L155" s="165"/>
      <c r="M155" s="10"/>
      <c r="N155" s="56"/>
      <c r="O155" s="56"/>
      <c r="P155" s="162" t="str">
        <f t="shared" si="13"/>
        <v/>
      </c>
      <c r="Q155" s="178" t="str">
        <f t="shared" si="14"/>
        <v/>
      </c>
      <c r="R155" s="168"/>
      <c r="S155" s="56"/>
      <c r="T155" s="56"/>
      <c r="U155" s="56"/>
      <c r="V155" s="162" t="str">
        <f t="shared" si="15"/>
        <v/>
      </c>
      <c r="W155" s="178" t="str">
        <f t="shared" si="16"/>
        <v/>
      </c>
      <c r="X155" s="172"/>
      <c r="Y155" s="10"/>
      <c r="Z155" s="56"/>
      <c r="AA155" s="56"/>
      <c r="AB155" s="56"/>
      <c r="AC155" s="56"/>
      <c r="AD155" s="56"/>
      <c r="AE155" s="174"/>
      <c r="AF155" s="56"/>
      <c r="AG155" s="56"/>
      <c r="AH155" s="172"/>
      <c r="AI155" s="56"/>
      <c r="AJ155" s="56"/>
      <c r="AK155" s="56"/>
      <c r="AL155" s="56"/>
      <c r="AM155" s="56"/>
      <c r="AN155" s="56"/>
      <c r="AO155" s="172"/>
      <c r="AP155" s="56"/>
      <c r="AQ155" s="56"/>
      <c r="AR155" s="56"/>
      <c r="AS155" s="56"/>
      <c r="AT155" s="56"/>
      <c r="AU155" s="56"/>
      <c r="AV155" s="56"/>
      <c r="AW155" s="172"/>
      <c r="AX155" s="56"/>
      <c r="AY155" s="56"/>
      <c r="AZ155" s="56"/>
      <c r="BA155" s="172"/>
      <c r="BB155" s="56"/>
      <c r="BC155" s="10"/>
      <c r="BD155" s="56"/>
      <c r="BE155" s="56"/>
      <c r="BF155" s="56"/>
      <c r="BG155" s="56"/>
      <c r="BO155" s="145"/>
      <c r="CI155" s="145"/>
      <c r="CY155" s="145"/>
    </row>
    <row r="156" spans="1:103" s="97" customFormat="1" x14ac:dyDescent="0.15">
      <c r="A156" s="11">
        <f t="shared" si="17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6"/>
      <c r="H156" s="56"/>
      <c r="I156" s="56"/>
      <c r="J156" s="56"/>
      <c r="K156" s="56"/>
      <c r="L156" s="165"/>
      <c r="M156" s="10"/>
      <c r="N156" s="56"/>
      <c r="O156" s="56"/>
      <c r="P156" s="162" t="str">
        <f t="shared" si="13"/>
        <v/>
      </c>
      <c r="Q156" s="178" t="str">
        <f t="shared" si="14"/>
        <v/>
      </c>
      <c r="R156" s="168"/>
      <c r="S156" s="56"/>
      <c r="T156" s="56"/>
      <c r="U156" s="56"/>
      <c r="V156" s="162" t="str">
        <f t="shared" si="15"/>
        <v/>
      </c>
      <c r="W156" s="178" t="str">
        <f t="shared" si="16"/>
        <v/>
      </c>
      <c r="X156" s="172"/>
      <c r="Y156" s="10"/>
      <c r="Z156" s="56"/>
      <c r="AA156" s="56"/>
      <c r="AB156" s="56"/>
      <c r="AC156" s="56"/>
      <c r="AD156" s="56"/>
      <c r="AE156" s="174"/>
      <c r="AF156" s="56"/>
      <c r="AG156" s="56"/>
      <c r="AH156" s="172"/>
      <c r="AI156" s="56"/>
      <c r="AJ156" s="56"/>
      <c r="AK156" s="56"/>
      <c r="AL156" s="56"/>
      <c r="AM156" s="56"/>
      <c r="AN156" s="56"/>
      <c r="AO156" s="172"/>
      <c r="AP156" s="56"/>
      <c r="AQ156" s="56"/>
      <c r="AR156" s="56"/>
      <c r="AS156" s="56"/>
      <c r="AT156" s="56"/>
      <c r="AU156" s="56"/>
      <c r="AV156" s="56"/>
      <c r="AW156" s="172"/>
      <c r="AX156" s="56"/>
      <c r="AY156" s="56"/>
      <c r="AZ156" s="56"/>
      <c r="BA156" s="172"/>
      <c r="BB156" s="56"/>
      <c r="BC156" s="10"/>
      <c r="BD156" s="56"/>
      <c r="BE156" s="56"/>
      <c r="BF156" s="56"/>
      <c r="BG156" s="56"/>
      <c r="BO156" s="145"/>
      <c r="CI156" s="145"/>
      <c r="CY156" s="145"/>
    </row>
    <row r="157" spans="1:103" s="97" customFormat="1" x14ac:dyDescent="0.15">
      <c r="A157" s="11">
        <f t="shared" si="17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6"/>
      <c r="H157" s="56"/>
      <c r="I157" s="56"/>
      <c r="J157" s="56"/>
      <c r="K157" s="56"/>
      <c r="L157" s="165"/>
      <c r="M157" s="10"/>
      <c r="N157" s="56"/>
      <c r="O157" s="56"/>
      <c r="P157" s="162" t="str">
        <f t="shared" si="13"/>
        <v/>
      </c>
      <c r="Q157" s="178" t="str">
        <f t="shared" si="14"/>
        <v/>
      </c>
      <c r="R157" s="168"/>
      <c r="S157" s="56"/>
      <c r="T157" s="56"/>
      <c r="U157" s="56"/>
      <c r="V157" s="162" t="str">
        <f t="shared" si="15"/>
        <v/>
      </c>
      <c r="W157" s="178" t="str">
        <f t="shared" si="16"/>
        <v/>
      </c>
      <c r="X157" s="172"/>
      <c r="Y157" s="10"/>
      <c r="Z157" s="56"/>
      <c r="AA157" s="56"/>
      <c r="AB157" s="56"/>
      <c r="AC157" s="56"/>
      <c r="AD157" s="56"/>
      <c r="AE157" s="174"/>
      <c r="AF157" s="56"/>
      <c r="AG157" s="56"/>
      <c r="AH157" s="172"/>
      <c r="AI157" s="56"/>
      <c r="AJ157" s="56"/>
      <c r="AK157" s="56"/>
      <c r="AL157" s="56"/>
      <c r="AM157" s="56"/>
      <c r="AN157" s="56"/>
      <c r="AO157" s="172"/>
      <c r="AP157" s="56"/>
      <c r="AQ157" s="56"/>
      <c r="AR157" s="56"/>
      <c r="AS157" s="56"/>
      <c r="AT157" s="56"/>
      <c r="AU157" s="56"/>
      <c r="AV157" s="56"/>
      <c r="AW157" s="172"/>
      <c r="AX157" s="56"/>
      <c r="AY157" s="56"/>
      <c r="AZ157" s="56"/>
      <c r="BA157" s="172"/>
      <c r="BB157" s="56"/>
      <c r="BC157" s="10"/>
      <c r="BD157" s="56"/>
      <c r="BE157" s="56"/>
      <c r="BF157" s="56"/>
      <c r="BG157" s="56"/>
      <c r="BO157" s="145"/>
      <c r="CI157" s="145"/>
      <c r="CY157" s="145"/>
    </row>
    <row r="158" spans="1:103" s="97" customFormat="1" x14ac:dyDescent="0.15">
      <c r="A158" s="11">
        <f t="shared" si="17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6"/>
      <c r="H158" s="56"/>
      <c r="I158" s="56"/>
      <c r="J158" s="56"/>
      <c r="K158" s="56"/>
      <c r="L158" s="165"/>
      <c r="M158" s="10"/>
      <c r="N158" s="56"/>
      <c r="O158" s="56"/>
      <c r="P158" s="162" t="str">
        <f t="shared" si="13"/>
        <v/>
      </c>
      <c r="Q158" s="178" t="str">
        <f t="shared" si="14"/>
        <v/>
      </c>
      <c r="R158" s="168"/>
      <c r="S158" s="56"/>
      <c r="T158" s="56"/>
      <c r="U158" s="56"/>
      <c r="V158" s="162" t="str">
        <f t="shared" si="15"/>
        <v/>
      </c>
      <c r="W158" s="178" t="str">
        <f t="shared" si="16"/>
        <v/>
      </c>
      <c r="X158" s="172"/>
      <c r="Y158" s="10"/>
      <c r="Z158" s="56"/>
      <c r="AA158" s="56"/>
      <c r="AB158" s="56"/>
      <c r="AC158" s="56"/>
      <c r="AD158" s="56"/>
      <c r="AE158" s="174"/>
      <c r="AF158" s="56"/>
      <c r="AG158" s="56"/>
      <c r="AH158" s="172"/>
      <c r="AI158" s="56"/>
      <c r="AJ158" s="56"/>
      <c r="AK158" s="56"/>
      <c r="AL158" s="56"/>
      <c r="AM158" s="56"/>
      <c r="AN158" s="56"/>
      <c r="AO158" s="172"/>
      <c r="AP158" s="56"/>
      <c r="AQ158" s="56"/>
      <c r="AR158" s="56"/>
      <c r="AS158" s="56"/>
      <c r="AT158" s="56"/>
      <c r="AU158" s="56"/>
      <c r="AV158" s="56"/>
      <c r="AW158" s="172"/>
      <c r="AX158" s="56"/>
      <c r="AY158" s="56"/>
      <c r="AZ158" s="56"/>
      <c r="BA158" s="172"/>
      <c r="BB158" s="56"/>
      <c r="BC158" s="10"/>
      <c r="BD158" s="56"/>
      <c r="BE158" s="56"/>
      <c r="BF158" s="56"/>
      <c r="BG158" s="56"/>
      <c r="BO158" s="145"/>
      <c r="CI158" s="145"/>
      <c r="CY158" s="145"/>
    </row>
    <row r="159" spans="1:103" s="97" customFormat="1" x14ac:dyDescent="0.15">
      <c r="A159" s="11">
        <f t="shared" si="17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6"/>
      <c r="H159" s="56"/>
      <c r="I159" s="56"/>
      <c r="J159" s="56"/>
      <c r="K159" s="56"/>
      <c r="L159" s="165"/>
      <c r="M159" s="10"/>
      <c r="N159" s="56"/>
      <c r="O159" s="56"/>
      <c r="P159" s="162" t="str">
        <f t="shared" si="13"/>
        <v/>
      </c>
      <c r="Q159" s="178" t="str">
        <f t="shared" si="14"/>
        <v/>
      </c>
      <c r="R159" s="168"/>
      <c r="S159" s="56"/>
      <c r="T159" s="56"/>
      <c r="U159" s="56"/>
      <c r="V159" s="162" t="str">
        <f t="shared" si="15"/>
        <v/>
      </c>
      <c r="W159" s="178" t="str">
        <f t="shared" si="16"/>
        <v/>
      </c>
      <c r="X159" s="172"/>
      <c r="Y159" s="10"/>
      <c r="Z159" s="56"/>
      <c r="AA159" s="56"/>
      <c r="AB159" s="56"/>
      <c r="AC159" s="56"/>
      <c r="AD159" s="56"/>
      <c r="AE159" s="174"/>
      <c r="AF159" s="56"/>
      <c r="AG159" s="56"/>
      <c r="AH159" s="172"/>
      <c r="AI159" s="56"/>
      <c r="AJ159" s="56"/>
      <c r="AK159" s="56"/>
      <c r="AL159" s="56"/>
      <c r="AM159" s="56"/>
      <c r="AN159" s="56"/>
      <c r="AO159" s="172"/>
      <c r="AP159" s="56"/>
      <c r="AQ159" s="56"/>
      <c r="AR159" s="56"/>
      <c r="AS159" s="56"/>
      <c r="AT159" s="56"/>
      <c r="AU159" s="56"/>
      <c r="AV159" s="56"/>
      <c r="AW159" s="172"/>
      <c r="AX159" s="56"/>
      <c r="AY159" s="56"/>
      <c r="AZ159" s="56"/>
      <c r="BA159" s="172"/>
      <c r="BB159" s="56"/>
      <c r="BC159" s="10"/>
      <c r="BD159" s="56"/>
      <c r="BE159" s="56"/>
      <c r="BF159" s="56"/>
      <c r="BG159" s="56"/>
      <c r="BO159" s="145"/>
      <c r="CI159" s="145"/>
      <c r="CY159" s="145"/>
    </row>
    <row r="160" spans="1:103" s="97" customFormat="1" x14ac:dyDescent="0.15">
      <c r="A160" s="11">
        <f t="shared" si="17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6"/>
      <c r="H160" s="56"/>
      <c r="I160" s="56"/>
      <c r="J160" s="56"/>
      <c r="K160" s="56"/>
      <c r="L160" s="165"/>
      <c r="M160" s="10"/>
      <c r="N160" s="56"/>
      <c r="O160" s="56"/>
      <c r="P160" s="162" t="str">
        <f t="shared" si="13"/>
        <v/>
      </c>
      <c r="Q160" s="178" t="str">
        <f t="shared" si="14"/>
        <v/>
      </c>
      <c r="R160" s="168"/>
      <c r="S160" s="56"/>
      <c r="T160" s="56"/>
      <c r="U160" s="56"/>
      <c r="V160" s="162" t="str">
        <f t="shared" si="15"/>
        <v/>
      </c>
      <c r="W160" s="178" t="str">
        <f t="shared" si="16"/>
        <v/>
      </c>
      <c r="X160" s="172"/>
      <c r="Y160" s="10"/>
      <c r="Z160" s="56"/>
      <c r="AA160" s="56"/>
      <c r="AB160" s="56"/>
      <c r="AC160" s="56"/>
      <c r="AD160" s="56"/>
      <c r="AE160" s="174"/>
      <c r="AF160" s="56"/>
      <c r="AG160" s="56"/>
      <c r="AH160" s="172"/>
      <c r="AI160" s="56"/>
      <c r="AJ160" s="56"/>
      <c r="AK160" s="56"/>
      <c r="AL160" s="56"/>
      <c r="AM160" s="56"/>
      <c r="AN160" s="56"/>
      <c r="AO160" s="172"/>
      <c r="AP160" s="56"/>
      <c r="AQ160" s="56"/>
      <c r="AR160" s="56"/>
      <c r="AS160" s="56"/>
      <c r="AT160" s="56"/>
      <c r="AU160" s="56"/>
      <c r="AV160" s="56"/>
      <c r="AW160" s="172"/>
      <c r="AX160" s="56"/>
      <c r="AY160" s="56"/>
      <c r="AZ160" s="56"/>
      <c r="BA160" s="172"/>
      <c r="BB160" s="56"/>
      <c r="BC160" s="10"/>
      <c r="BD160" s="56"/>
      <c r="BE160" s="56"/>
      <c r="BF160" s="56"/>
      <c r="BG160" s="56"/>
      <c r="BO160" s="145"/>
      <c r="CI160" s="145"/>
      <c r="CY160" s="145"/>
    </row>
    <row r="161" spans="1:103" s="97" customFormat="1" x14ac:dyDescent="0.15">
      <c r="A161" s="11">
        <f t="shared" si="17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6"/>
      <c r="H161" s="56"/>
      <c r="I161" s="56"/>
      <c r="J161" s="56"/>
      <c r="K161" s="56"/>
      <c r="L161" s="165"/>
      <c r="M161" s="10"/>
      <c r="N161" s="56"/>
      <c r="O161" s="56"/>
      <c r="P161" s="162" t="str">
        <f t="shared" si="13"/>
        <v/>
      </c>
      <c r="Q161" s="178" t="str">
        <f t="shared" si="14"/>
        <v/>
      </c>
      <c r="R161" s="168"/>
      <c r="S161" s="56"/>
      <c r="T161" s="56"/>
      <c r="U161" s="56"/>
      <c r="V161" s="162" t="str">
        <f t="shared" si="15"/>
        <v/>
      </c>
      <c r="W161" s="178" t="str">
        <f t="shared" si="16"/>
        <v/>
      </c>
      <c r="X161" s="172"/>
      <c r="Y161" s="10"/>
      <c r="Z161" s="56"/>
      <c r="AA161" s="56"/>
      <c r="AB161" s="56"/>
      <c r="AC161" s="56"/>
      <c r="AD161" s="56"/>
      <c r="AE161" s="174"/>
      <c r="AF161" s="56"/>
      <c r="AG161" s="56"/>
      <c r="AH161" s="172"/>
      <c r="AI161" s="56"/>
      <c r="AJ161" s="56"/>
      <c r="AK161" s="56"/>
      <c r="AL161" s="56"/>
      <c r="AM161" s="56"/>
      <c r="AN161" s="56"/>
      <c r="AO161" s="172"/>
      <c r="AP161" s="56"/>
      <c r="AQ161" s="56"/>
      <c r="AR161" s="56"/>
      <c r="AS161" s="56"/>
      <c r="AT161" s="56"/>
      <c r="AU161" s="56"/>
      <c r="AV161" s="56"/>
      <c r="AW161" s="172"/>
      <c r="AX161" s="56"/>
      <c r="AY161" s="56"/>
      <c r="AZ161" s="56"/>
      <c r="BA161" s="172"/>
      <c r="BB161" s="56"/>
      <c r="BC161" s="10"/>
      <c r="BD161" s="56"/>
      <c r="BE161" s="56"/>
      <c r="BF161" s="56"/>
      <c r="BG161" s="56"/>
      <c r="BO161" s="145"/>
      <c r="CI161" s="145"/>
      <c r="CY161" s="145"/>
    </row>
    <row r="162" spans="1:103" s="97" customFormat="1" x14ac:dyDescent="0.15">
      <c r="A162" s="11">
        <f t="shared" si="17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6"/>
      <c r="H162" s="56"/>
      <c r="I162" s="56"/>
      <c r="J162" s="56"/>
      <c r="K162" s="56"/>
      <c r="L162" s="165"/>
      <c r="M162" s="10"/>
      <c r="N162" s="56"/>
      <c r="O162" s="56"/>
      <c r="P162" s="162" t="str">
        <f t="shared" si="13"/>
        <v/>
      </c>
      <c r="Q162" s="178" t="str">
        <f t="shared" si="14"/>
        <v/>
      </c>
      <c r="R162" s="168"/>
      <c r="S162" s="56"/>
      <c r="T162" s="56"/>
      <c r="U162" s="56"/>
      <c r="V162" s="162" t="str">
        <f t="shared" si="15"/>
        <v/>
      </c>
      <c r="W162" s="178" t="str">
        <f t="shared" si="16"/>
        <v/>
      </c>
      <c r="X162" s="172"/>
      <c r="Y162" s="10"/>
      <c r="Z162" s="56"/>
      <c r="AA162" s="56"/>
      <c r="AB162" s="56"/>
      <c r="AC162" s="56"/>
      <c r="AD162" s="56"/>
      <c r="AE162" s="174"/>
      <c r="AF162" s="56"/>
      <c r="AG162" s="56"/>
      <c r="AH162" s="172"/>
      <c r="AI162" s="56"/>
      <c r="AJ162" s="56"/>
      <c r="AK162" s="56"/>
      <c r="AL162" s="56"/>
      <c r="AM162" s="56"/>
      <c r="AN162" s="56"/>
      <c r="AO162" s="172"/>
      <c r="AP162" s="56"/>
      <c r="AQ162" s="56"/>
      <c r="AR162" s="56"/>
      <c r="AS162" s="56"/>
      <c r="AT162" s="56"/>
      <c r="AU162" s="56"/>
      <c r="AV162" s="56"/>
      <c r="AW162" s="172"/>
      <c r="AX162" s="56"/>
      <c r="AY162" s="56"/>
      <c r="AZ162" s="56"/>
      <c r="BA162" s="172"/>
      <c r="BB162" s="56"/>
      <c r="BC162" s="10"/>
      <c r="BD162" s="56"/>
      <c r="BE162" s="56"/>
      <c r="BF162" s="56"/>
      <c r="BG162" s="56"/>
      <c r="BO162" s="145"/>
      <c r="CI162" s="145"/>
      <c r="CY162" s="145"/>
    </row>
    <row r="163" spans="1:103" s="97" customFormat="1" x14ac:dyDescent="0.15">
      <c r="A163" s="11">
        <f t="shared" si="17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6"/>
      <c r="H163" s="56"/>
      <c r="I163" s="56"/>
      <c r="J163" s="56"/>
      <c r="K163" s="56"/>
      <c r="L163" s="165"/>
      <c r="M163" s="10"/>
      <c r="N163" s="56"/>
      <c r="O163" s="56"/>
      <c r="P163" s="162" t="str">
        <f t="shared" si="13"/>
        <v/>
      </c>
      <c r="Q163" s="178" t="str">
        <f t="shared" si="14"/>
        <v/>
      </c>
      <c r="R163" s="168"/>
      <c r="S163" s="56"/>
      <c r="T163" s="56"/>
      <c r="U163" s="56"/>
      <c r="V163" s="162" t="str">
        <f t="shared" si="15"/>
        <v/>
      </c>
      <c r="W163" s="178" t="str">
        <f t="shared" si="16"/>
        <v/>
      </c>
      <c r="X163" s="172"/>
      <c r="Y163" s="10"/>
      <c r="Z163" s="56"/>
      <c r="AA163" s="56"/>
      <c r="AB163" s="56"/>
      <c r="AC163" s="56"/>
      <c r="AD163" s="56"/>
      <c r="AE163" s="174"/>
      <c r="AF163" s="56"/>
      <c r="AG163" s="56"/>
      <c r="AH163" s="172"/>
      <c r="AI163" s="56"/>
      <c r="AJ163" s="56"/>
      <c r="AK163" s="56"/>
      <c r="AL163" s="56"/>
      <c r="AM163" s="56"/>
      <c r="AN163" s="56"/>
      <c r="AO163" s="172"/>
      <c r="AP163" s="56"/>
      <c r="AQ163" s="56"/>
      <c r="AR163" s="56"/>
      <c r="AS163" s="56"/>
      <c r="AT163" s="56"/>
      <c r="AU163" s="56"/>
      <c r="AV163" s="56"/>
      <c r="AW163" s="172"/>
      <c r="AX163" s="56"/>
      <c r="AY163" s="56"/>
      <c r="AZ163" s="56"/>
      <c r="BA163" s="172"/>
      <c r="BB163" s="56"/>
      <c r="BC163" s="10"/>
      <c r="BD163" s="56"/>
      <c r="BE163" s="56"/>
      <c r="BF163" s="56"/>
      <c r="BG163" s="56"/>
      <c r="BO163" s="145"/>
      <c r="CI163" s="145"/>
      <c r="CY163" s="145"/>
    </row>
    <row r="164" spans="1:103" s="97" customFormat="1" ht="17.25" thickBot="1" x14ac:dyDescent="0.2">
      <c r="A164" s="11">
        <f t="shared" si="17"/>
        <v>60070020</v>
      </c>
      <c r="B164" s="112">
        <v>6</v>
      </c>
      <c r="C164" s="12">
        <v>0</v>
      </c>
      <c r="D164" s="112">
        <v>7</v>
      </c>
      <c r="E164" s="112">
        <v>0</v>
      </c>
      <c r="F164" s="113">
        <v>20</v>
      </c>
      <c r="G164" s="56"/>
      <c r="H164" s="56"/>
      <c r="I164" s="56"/>
      <c r="J164" s="56"/>
      <c r="K164" s="56"/>
      <c r="L164" s="165"/>
      <c r="M164" s="10"/>
      <c r="N164" s="56"/>
      <c r="O164" s="56"/>
      <c r="P164" s="162" t="str">
        <f t="shared" si="13"/>
        <v/>
      </c>
      <c r="Q164" s="178" t="str">
        <f t="shared" si="14"/>
        <v/>
      </c>
      <c r="R164" s="168"/>
      <c r="S164" s="56"/>
      <c r="T164" s="56"/>
      <c r="U164" s="56"/>
      <c r="V164" s="162" t="str">
        <f t="shared" si="15"/>
        <v/>
      </c>
      <c r="W164" s="178" t="str">
        <f t="shared" si="16"/>
        <v/>
      </c>
      <c r="X164" s="172"/>
      <c r="Y164" s="10"/>
      <c r="Z164" s="56"/>
      <c r="AA164" s="56"/>
      <c r="AB164" s="56"/>
      <c r="AC164" s="56"/>
      <c r="AD164" s="56"/>
      <c r="AE164" s="174"/>
      <c r="AF164" s="56"/>
      <c r="AG164" s="56"/>
      <c r="AH164" s="172"/>
      <c r="AI164" s="56"/>
      <c r="AJ164" s="56"/>
      <c r="AK164" s="56"/>
      <c r="AL164" s="56"/>
      <c r="AM164" s="56"/>
      <c r="AN164" s="56"/>
      <c r="AO164" s="172"/>
      <c r="AP164" s="56"/>
      <c r="AQ164" s="56"/>
      <c r="AR164" s="56"/>
      <c r="AS164" s="56"/>
      <c r="AT164" s="56"/>
      <c r="AU164" s="56"/>
      <c r="AV164" s="56"/>
      <c r="AW164" s="172"/>
      <c r="AX164" s="56"/>
      <c r="AY164" s="56"/>
      <c r="AZ164" s="56"/>
      <c r="BA164" s="172"/>
      <c r="BB164" s="56"/>
      <c r="BC164" s="10"/>
      <c r="BD164" s="56"/>
      <c r="BE164" s="56"/>
      <c r="BF164" s="56"/>
      <c r="BG164" s="56"/>
      <c r="BO164" s="145"/>
      <c r="CI164" s="145"/>
      <c r="CY164" s="145"/>
    </row>
    <row r="165" spans="1:103" s="114" customFormat="1" x14ac:dyDescent="0.15">
      <c r="A165" s="18">
        <f t="shared" si="17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7"/>
      <c r="H165" s="57"/>
      <c r="I165" s="57"/>
      <c r="J165" s="57"/>
      <c r="K165" s="57"/>
      <c r="L165" s="167"/>
      <c r="M165" s="17"/>
      <c r="N165" s="57"/>
      <c r="O165" s="57"/>
      <c r="P165" s="163" t="str">
        <f t="shared" si="13"/>
        <v/>
      </c>
      <c r="Q165" s="179" t="str">
        <f t="shared" si="14"/>
        <v/>
      </c>
      <c r="R165" s="169"/>
      <c r="S165" s="57"/>
      <c r="T165" s="57"/>
      <c r="U165" s="57"/>
      <c r="V165" s="163" t="str">
        <f t="shared" si="15"/>
        <v/>
      </c>
      <c r="W165" s="179" t="str">
        <f t="shared" si="16"/>
        <v/>
      </c>
      <c r="X165" s="173"/>
      <c r="Y165" s="17"/>
      <c r="Z165" s="57"/>
      <c r="AA165" s="57"/>
      <c r="AB165" s="57"/>
      <c r="AC165" s="57"/>
      <c r="AD165" s="57"/>
      <c r="AE165" s="176"/>
      <c r="AF165" s="57"/>
      <c r="AG165" s="57"/>
      <c r="AH165" s="173"/>
      <c r="AI165" s="57"/>
      <c r="AJ165" s="57"/>
      <c r="AK165" s="57"/>
      <c r="AL165" s="57"/>
      <c r="AM165" s="57"/>
      <c r="AN165" s="57"/>
      <c r="AO165" s="173"/>
      <c r="AP165" s="57"/>
      <c r="AQ165" s="57"/>
      <c r="AR165" s="57"/>
      <c r="AS165" s="57"/>
      <c r="AT165" s="57"/>
      <c r="AU165" s="57"/>
      <c r="AV165" s="57"/>
      <c r="AW165" s="173"/>
      <c r="AX165" s="57"/>
      <c r="AY165" s="57"/>
      <c r="AZ165" s="57"/>
      <c r="BA165" s="173"/>
      <c r="BB165" s="57"/>
      <c r="BC165" s="17"/>
      <c r="BD165" s="57"/>
      <c r="BE165" s="57"/>
      <c r="BF165" s="57"/>
      <c r="BG165" s="57"/>
      <c r="BO165" s="144"/>
      <c r="CI165" s="144"/>
      <c r="CY165" s="144"/>
    </row>
    <row r="166" spans="1:103" x14ac:dyDescent="0.15">
      <c r="A166" s="11">
        <f t="shared" si="17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P166" s="162" t="str">
        <f t="shared" si="13"/>
        <v/>
      </c>
      <c r="Q166" s="178" t="str">
        <f t="shared" si="14"/>
        <v/>
      </c>
      <c r="V166" s="162" t="str">
        <f t="shared" si="15"/>
        <v/>
      </c>
      <c r="W166" s="178" t="str">
        <f t="shared" si="16"/>
        <v/>
      </c>
      <c r="BH166" s="109"/>
    </row>
    <row r="167" spans="1:103" x14ac:dyDescent="0.15">
      <c r="A167" s="11">
        <f t="shared" si="17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P167" s="162" t="str">
        <f t="shared" si="13"/>
        <v/>
      </c>
      <c r="Q167" s="178" t="str">
        <f t="shared" si="14"/>
        <v/>
      </c>
      <c r="V167" s="162" t="str">
        <f t="shared" si="15"/>
        <v/>
      </c>
      <c r="W167" s="178" t="str">
        <f t="shared" si="16"/>
        <v/>
      </c>
      <c r="BH167" s="109"/>
    </row>
    <row r="168" spans="1:103" x14ac:dyDescent="0.15">
      <c r="A168" s="11">
        <f t="shared" si="17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P168" s="162" t="str">
        <f t="shared" si="13"/>
        <v/>
      </c>
      <c r="Q168" s="178" t="str">
        <f t="shared" si="14"/>
        <v/>
      </c>
      <c r="V168" s="162" t="str">
        <f t="shared" si="15"/>
        <v/>
      </c>
      <c r="W168" s="178" t="str">
        <f t="shared" si="16"/>
        <v/>
      </c>
    </row>
    <row r="169" spans="1:103" x14ac:dyDescent="0.15">
      <c r="A169" s="11">
        <f t="shared" si="17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P169" s="162" t="str">
        <f t="shared" si="13"/>
        <v/>
      </c>
      <c r="Q169" s="178" t="str">
        <f t="shared" si="14"/>
        <v/>
      </c>
      <c r="V169" s="162" t="str">
        <f t="shared" si="15"/>
        <v/>
      </c>
      <c r="W169" s="178" t="str">
        <f t="shared" si="16"/>
        <v/>
      </c>
    </row>
    <row r="170" spans="1:103" x14ac:dyDescent="0.15">
      <c r="A170" s="11">
        <f t="shared" si="17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P170" s="162" t="str">
        <f t="shared" si="13"/>
        <v/>
      </c>
      <c r="Q170" s="178" t="str">
        <f t="shared" si="14"/>
        <v/>
      </c>
      <c r="V170" s="162" t="str">
        <f t="shared" si="15"/>
        <v/>
      </c>
      <c r="W170" s="178" t="str">
        <f t="shared" si="16"/>
        <v/>
      </c>
    </row>
    <row r="171" spans="1:103" x14ac:dyDescent="0.15">
      <c r="A171" s="11">
        <f t="shared" si="17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P171" s="162" t="str">
        <f t="shared" si="13"/>
        <v/>
      </c>
      <c r="Q171" s="178" t="str">
        <f t="shared" si="14"/>
        <v/>
      </c>
      <c r="V171" s="162" t="str">
        <f t="shared" si="15"/>
        <v/>
      </c>
      <c r="W171" s="178" t="str">
        <f t="shared" si="16"/>
        <v/>
      </c>
    </row>
    <row r="172" spans="1:103" x14ac:dyDescent="0.15">
      <c r="A172" s="11">
        <f t="shared" si="17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P172" s="162" t="str">
        <f t="shared" si="13"/>
        <v/>
      </c>
      <c r="Q172" s="178" t="str">
        <f t="shared" si="14"/>
        <v/>
      </c>
      <c r="V172" s="162" t="str">
        <f t="shared" si="15"/>
        <v/>
      </c>
      <c r="W172" s="178" t="str">
        <f t="shared" si="16"/>
        <v/>
      </c>
    </row>
    <row r="173" spans="1:103" x14ac:dyDescent="0.15">
      <c r="A173" s="11">
        <f t="shared" si="17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P173" s="162" t="str">
        <f t="shared" si="13"/>
        <v/>
      </c>
      <c r="Q173" s="178" t="str">
        <f t="shared" si="14"/>
        <v/>
      </c>
      <c r="V173" s="162" t="str">
        <f t="shared" si="15"/>
        <v/>
      </c>
      <c r="W173" s="178" t="str">
        <f t="shared" si="16"/>
        <v/>
      </c>
    </row>
    <row r="174" spans="1:103" x14ac:dyDescent="0.15">
      <c r="A174" s="11">
        <f t="shared" si="17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P174" s="162" t="str">
        <f t="shared" si="13"/>
        <v/>
      </c>
      <c r="Q174" s="178" t="str">
        <f t="shared" si="14"/>
        <v/>
      </c>
      <c r="V174" s="162" t="str">
        <f t="shared" si="15"/>
        <v/>
      </c>
      <c r="W174" s="178" t="str">
        <f t="shared" si="16"/>
        <v/>
      </c>
    </row>
    <row r="175" spans="1:103" s="97" customFormat="1" x14ac:dyDescent="0.15">
      <c r="A175" s="11">
        <f t="shared" si="17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6"/>
      <c r="H175" s="56"/>
      <c r="I175" s="56"/>
      <c r="J175" s="56"/>
      <c r="K175" s="56"/>
      <c r="L175" s="165"/>
      <c r="M175" s="10"/>
      <c r="N175" s="56"/>
      <c r="O175" s="56"/>
      <c r="P175" s="162" t="str">
        <f t="shared" si="13"/>
        <v/>
      </c>
      <c r="Q175" s="178" t="str">
        <f t="shared" si="14"/>
        <v/>
      </c>
      <c r="R175" s="168"/>
      <c r="S175" s="56"/>
      <c r="T175" s="56"/>
      <c r="U175" s="56"/>
      <c r="V175" s="162" t="str">
        <f t="shared" si="15"/>
        <v/>
      </c>
      <c r="W175" s="178" t="str">
        <f t="shared" si="16"/>
        <v/>
      </c>
      <c r="X175" s="172"/>
      <c r="Y175" s="10"/>
      <c r="Z175" s="56"/>
      <c r="AA175" s="56"/>
      <c r="AB175" s="56"/>
      <c r="AC175" s="56"/>
      <c r="AD175" s="56"/>
      <c r="AE175" s="174"/>
      <c r="AF175" s="56"/>
      <c r="AG175" s="56"/>
      <c r="AH175" s="172"/>
      <c r="AI175" s="56"/>
      <c r="AJ175" s="56"/>
      <c r="AK175" s="56"/>
      <c r="AL175" s="56"/>
      <c r="AM175" s="56"/>
      <c r="AN175" s="56"/>
      <c r="AO175" s="172"/>
      <c r="AP175" s="56"/>
      <c r="AQ175" s="56"/>
      <c r="AR175" s="56"/>
      <c r="AS175" s="56"/>
      <c r="AT175" s="56"/>
      <c r="AU175" s="56"/>
      <c r="AV175" s="56"/>
      <c r="AW175" s="172"/>
      <c r="AX175" s="56"/>
      <c r="AY175" s="56"/>
      <c r="AZ175" s="56"/>
      <c r="BA175" s="172"/>
      <c r="BB175" s="56"/>
      <c r="BC175" s="10"/>
      <c r="BD175" s="56"/>
      <c r="BE175" s="56"/>
      <c r="BF175" s="56"/>
      <c r="BG175" s="56"/>
      <c r="BO175" s="145"/>
      <c r="CI175" s="145"/>
      <c r="CY175" s="145"/>
    </row>
    <row r="176" spans="1:103" s="97" customFormat="1" x14ac:dyDescent="0.15">
      <c r="A176" s="11">
        <f t="shared" si="17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6"/>
      <c r="H176" s="56"/>
      <c r="I176" s="56"/>
      <c r="J176" s="56"/>
      <c r="K176" s="56"/>
      <c r="L176" s="165"/>
      <c r="M176" s="10"/>
      <c r="N176" s="56"/>
      <c r="O176" s="56"/>
      <c r="P176" s="162" t="str">
        <f t="shared" si="13"/>
        <v/>
      </c>
      <c r="Q176" s="178" t="str">
        <f t="shared" si="14"/>
        <v/>
      </c>
      <c r="R176" s="168"/>
      <c r="S176" s="56"/>
      <c r="T176" s="56"/>
      <c r="U176" s="56"/>
      <c r="V176" s="162" t="str">
        <f t="shared" si="15"/>
        <v/>
      </c>
      <c r="W176" s="178" t="str">
        <f t="shared" si="16"/>
        <v/>
      </c>
      <c r="X176" s="172"/>
      <c r="Y176" s="10"/>
      <c r="Z176" s="56"/>
      <c r="AA176" s="56"/>
      <c r="AB176" s="56"/>
      <c r="AC176" s="56"/>
      <c r="AD176" s="56"/>
      <c r="AE176" s="174"/>
      <c r="AF176" s="56"/>
      <c r="AG176" s="56"/>
      <c r="AH176" s="172"/>
      <c r="AI176" s="56"/>
      <c r="AJ176" s="56"/>
      <c r="AK176" s="56"/>
      <c r="AL176" s="56"/>
      <c r="AM176" s="56"/>
      <c r="AN176" s="56"/>
      <c r="AO176" s="172"/>
      <c r="AP176" s="56"/>
      <c r="AQ176" s="56"/>
      <c r="AR176" s="56"/>
      <c r="AS176" s="56"/>
      <c r="AT176" s="56"/>
      <c r="AU176" s="56"/>
      <c r="AV176" s="56"/>
      <c r="AW176" s="172"/>
      <c r="AX176" s="56"/>
      <c r="AY176" s="56"/>
      <c r="AZ176" s="56"/>
      <c r="BA176" s="172"/>
      <c r="BB176" s="56"/>
      <c r="BC176" s="10"/>
      <c r="BD176" s="56"/>
      <c r="BE176" s="56"/>
      <c r="BF176" s="56"/>
      <c r="BG176" s="56"/>
      <c r="BO176" s="145"/>
      <c r="CI176" s="145"/>
      <c r="CY176" s="145"/>
    </row>
    <row r="177" spans="1:103" s="97" customFormat="1" x14ac:dyDescent="0.15">
      <c r="A177" s="11">
        <f t="shared" si="17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6"/>
      <c r="H177" s="56"/>
      <c r="I177" s="56"/>
      <c r="J177" s="56"/>
      <c r="K177" s="56"/>
      <c r="L177" s="165"/>
      <c r="M177" s="10"/>
      <c r="N177" s="56"/>
      <c r="O177" s="56"/>
      <c r="P177" s="162" t="str">
        <f t="shared" si="13"/>
        <v/>
      </c>
      <c r="Q177" s="178" t="str">
        <f t="shared" si="14"/>
        <v/>
      </c>
      <c r="R177" s="168"/>
      <c r="S177" s="56"/>
      <c r="T177" s="56"/>
      <c r="U177" s="56"/>
      <c r="V177" s="162" t="str">
        <f t="shared" si="15"/>
        <v/>
      </c>
      <c r="W177" s="178" t="str">
        <f t="shared" si="16"/>
        <v/>
      </c>
      <c r="X177" s="172"/>
      <c r="Y177" s="10"/>
      <c r="Z177" s="56"/>
      <c r="AA177" s="56"/>
      <c r="AB177" s="56"/>
      <c r="AC177" s="56"/>
      <c r="AD177" s="56"/>
      <c r="AE177" s="174"/>
      <c r="AF177" s="56"/>
      <c r="AG177" s="56"/>
      <c r="AH177" s="172"/>
      <c r="AI177" s="56"/>
      <c r="AJ177" s="56"/>
      <c r="AK177" s="56"/>
      <c r="AL177" s="56"/>
      <c r="AM177" s="56"/>
      <c r="AN177" s="56"/>
      <c r="AO177" s="172"/>
      <c r="AP177" s="56"/>
      <c r="AQ177" s="56"/>
      <c r="AR177" s="56"/>
      <c r="AS177" s="56"/>
      <c r="AT177" s="56"/>
      <c r="AU177" s="56"/>
      <c r="AV177" s="56"/>
      <c r="AW177" s="172"/>
      <c r="AX177" s="56"/>
      <c r="AY177" s="56"/>
      <c r="AZ177" s="56"/>
      <c r="BA177" s="172"/>
      <c r="BB177" s="56"/>
      <c r="BC177" s="10"/>
      <c r="BD177" s="56"/>
      <c r="BE177" s="56"/>
      <c r="BF177" s="56"/>
      <c r="BG177" s="56"/>
      <c r="BO177" s="145"/>
      <c r="CI177" s="145"/>
      <c r="CY177" s="145"/>
    </row>
    <row r="178" spans="1:103" s="97" customFormat="1" x14ac:dyDescent="0.15">
      <c r="A178" s="11">
        <f t="shared" si="17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6"/>
      <c r="H178" s="56"/>
      <c r="I178" s="56"/>
      <c r="J178" s="56"/>
      <c r="K178" s="56"/>
      <c r="L178" s="165"/>
      <c r="M178" s="10"/>
      <c r="N178" s="56"/>
      <c r="O178" s="56"/>
      <c r="P178" s="162" t="str">
        <f t="shared" si="13"/>
        <v/>
      </c>
      <c r="Q178" s="178" t="str">
        <f t="shared" si="14"/>
        <v/>
      </c>
      <c r="R178" s="168"/>
      <c r="S178" s="56"/>
      <c r="T178" s="56"/>
      <c r="U178" s="56"/>
      <c r="V178" s="162" t="str">
        <f t="shared" si="15"/>
        <v/>
      </c>
      <c r="W178" s="178" t="str">
        <f t="shared" si="16"/>
        <v/>
      </c>
      <c r="X178" s="172"/>
      <c r="Y178" s="10"/>
      <c r="Z178" s="56"/>
      <c r="AA178" s="56"/>
      <c r="AB178" s="56"/>
      <c r="AC178" s="56"/>
      <c r="AD178" s="56"/>
      <c r="AE178" s="174"/>
      <c r="AF178" s="56"/>
      <c r="AG178" s="56"/>
      <c r="AH178" s="172"/>
      <c r="AI178" s="56"/>
      <c r="AJ178" s="56"/>
      <c r="AK178" s="56"/>
      <c r="AL178" s="56"/>
      <c r="AM178" s="56"/>
      <c r="AN178" s="56"/>
      <c r="AO178" s="172"/>
      <c r="AP178" s="56"/>
      <c r="AQ178" s="56"/>
      <c r="AR178" s="56"/>
      <c r="AS178" s="56"/>
      <c r="AT178" s="56"/>
      <c r="AU178" s="56"/>
      <c r="AV178" s="56"/>
      <c r="AW178" s="172"/>
      <c r="AX178" s="56"/>
      <c r="AY178" s="56"/>
      <c r="AZ178" s="56"/>
      <c r="BA178" s="172"/>
      <c r="BB178" s="56"/>
      <c r="BC178" s="10"/>
      <c r="BD178" s="56"/>
      <c r="BE178" s="56"/>
      <c r="BF178" s="56"/>
      <c r="BG178" s="56"/>
      <c r="BO178" s="145"/>
      <c r="CI178" s="145"/>
      <c r="CY178" s="145"/>
    </row>
    <row r="179" spans="1:103" s="97" customFormat="1" x14ac:dyDescent="0.15">
      <c r="A179" s="11">
        <f t="shared" si="17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6"/>
      <c r="H179" s="56"/>
      <c r="I179" s="56"/>
      <c r="J179" s="56"/>
      <c r="K179" s="56"/>
      <c r="L179" s="165"/>
      <c r="M179" s="10"/>
      <c r="N179" s="56"/>
      <c r="O179" s="56"/>
      <c r="P179" s="162" t="str">
        <f t="shared" si="13"/>
        <v/>
      </c>
      <c r="Q179" s="178" t="str">
        <f t="shared" si="14"/>
        <v/>
      </c>
      <c r="R179" s="168"/>
      <c r="S179" s="56"/>
      <c r="T179" s="56"/>
      <c r="U179" s="56"/>
      <c r="V179" s="162" t="str">
        <f t="shared" si="15"/>
        <v/>
      </c>
      <c r="W179" s="178" t="str">
        <f t="shared" si="16"/>
        <v/>
      </c>
      <c r="X179" s="172"/>
      <c r="Y179" s="10"/>
      <c r="Z179" s="56"/>
      <c r="AA179" s="56"/>
      <c r="AB179" s="56"/>
      <c r="AC179" s="56"/>
      <c r="AD179" s="56"/>
      <c r="AE179" s="174"/>
      <c r="AF179" s="56"/>
      <c r="AG179" s="56"/>
      <c r="AH179" s="172"/>
      <c r="AI179" s="56"/>
      <c r="AJ179" s="56"/>
      <c r="AK179" s="56"/>
      <c r="AL179" s="56"/>
      <c r="AM179" s="56"/>
      <c r="AN179" s="56"/>
      <c r="AO179" s="172"/>
      <c r="AP179" s="56"/>
      <c r="AQ179" s="56"/>
      <c r="AR179" s="56"/>
      <c r="AS179" s="56"/>
      <c r="AT179" s="56"/>
      <c r="AU179" s="56"/>
      <c r="AV179" s="56"/>
      <c r="AW179" s="172"/>
      <c r="AX179" s="56"/>
      <c r="AY179" s="56"/>
      <c r="AZ179" s="56"/>
      <c r="BA179" s="172"/>
      <c r="BB179" s="56"/>
      <c r="BC179" s="10"/>
      <c r="BD179" s="56"/>
      <c r="BE179" s="56"/>
      <c r="BF179" s="56"/>
      <c r="BG179" s="56"/>
      <c r="BO179" s="145"/>
      <c r="CI179" s="145"/>
      <c r="CY179" s="145"/>
    </row>
    <row r="180" spans="1:103" s="97" customFormat="1" x14ac:dyDescent="0.15">
      <c r="A180" s="11">
        <f t="shared" si="17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6"/>
      <c r="H180" s="56"/>
      <c r="I180" s="56"/>
      <c r="J180" s="56"/>
      <c r="K180" s="56"/>
      <c r="L180" s="165"/>
      <c r="M180" s="10"/>
      <c r="N180" s="56"/>
      <c r="O180" s="56"/>
      <c r="P180" s="162" t="str">
        <f t="shared" si="13"/>
        <v/>
      </c>
      <c r="Q180" s="178" t="str">
        <f t="shared" si="14"/>
        <v/>
      </c>
      <c r="R180" s="168"/>
      <c r="S180" s="56"/>
      <c r="T180" s="56"/>
      <c r="U180" s="56"/>
      <c r="V180" s="162" t="str">
        <f t="shared" si="15"/>
        <v/>
      </c>
      <c r="W180" s="178" t="str">
        <f t="shared" si="16"/>
        <v/>
      </c>
      <c r="X180" s="172"/>
      <c r="Y180" s="10"/>
      <c r="Z180" s="56"/>
      <c r="AA180" s="56"/>
      <c r="AB180" s="56"/>
      <c r="AC180" s="56"/>
      <c r="AD180" s="56"/>
      <c r="AE180" s="174"/>
      <c r="AF180" s="56"/>
      <c r="AG180" s="56"/>
      <c r="AH180" s="172"/>
      <c r="AI180" s="56"/>
      <c r="AJ180" s="56"/>
      <c r="AK180" s="56"/>
      <c r="AL180" s="56"/>
      <c r="AM180" s="56"/>
      <c r="AN180" s="56"/>
      <c r="AO180" s="172"/>
      <c r="AP180" s="56"/>
      <c r="AQ180" s="56"/>
      <c r="AR180" s="56"/>
      <c r="AS180" s="56"/>
      <c r="AT180" s="56"/>
      <c r="AU180" s="56"/>
      <c r="AV180" s="56"/>
      <c r="AW180" s="172"/>
      <c r="AX180" s="56"/>
      <c r="AY180" s="56"/>
      <c r="AZ180" s="56"/>
      <c r="BA180" s="172"/>
      <c r="BB180" s="56"/>
      <c r="BC180" s="10"/>
      <c r="BD180" s="56"/>
      <c r="BE180" s="56"/>
      <c r="BF180" s="56"/>
      <c r="BG180" s="56"/>
      <c r="BO180" s="145"/>
      <c r="CI180" s="145"/>
      <c r="CY180" s="145"/>
    </row>
    <row r="181" spans="1:103" s="97" customFormat="1" x14ac:dyDescent="0.15">
      <c r="A181" s="11">
        <f t="shared" si="17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6"/>
      <c r="H181" s="56"/>
      <c r="I181" s="56"/>
      <c r="J181" s="56"/>
      <c r="K181" s="56"/>
      <c r="L181" s="165"/>
      <c r="M181" s="10"/>
      <c r="N181" s="56"/>
      <c r="O181" s="56"/>
      <c r="P181" s="162" t="str">
        <f t="shared" si="13"/>
        <v/>
      </c>
      <c r="Q181" s="178" t="str">
        <f t="shared" si="14"/>
        <v/>
      </c>
      <c r="R181" s="168"/>
      <c r="S181" s="56"/>
      <c r="T181" s="56"/>
      <c r="U181" s="56"/>
      <c r="V181" s="162" t="str">
        <f t="shared" si="15"/>
        <v/>
      </c>
      <c r="W181" s="178" t="str">
        <f t="shared" si="16"/>
        <v/>
      </c>
      <c r="X181" s="172"/>
      <c r="Y181" s="10"/>
      <c r="Z181" s="56"/>
      <c r="AA181" s="56"/>
      <c r="AB181" s="56"/>
      <c r="AC181" s="56"/>
      <c r="AD181" s="56"/>
      <c r="AE181" s="174"/>
      <c r="AF181" s="56"/>
      <c r="AG181" s="56"/>
      <c r="AH181" s="172"/>
      <c r="AI181" s="56"/>
      <c r="AJ181" s="56"/>
      <c r="AK181" s="56"/>
      <c r="AL181" s="56"/>
      <c r="AM181" s="56"/>
      <c r="AN181" s="56"/>
      <c r="AO181" s="172"/>
      <c r="AP181" s="56"/>
      <c r="AQ181" s="56"/>
      <c r="AR181" s="56"/>
      <c r="AS181" s="56"/>
      <c r="AT181" s="56"/>
      <c r="AU181" s="56"/>
      <c r="AV181" s="56"/>
      <c r="AW181" s="172"/>
      <c r="AX181" s="56"/>
      <c r="AY181" s="56"/>
      <c r="AZ181" s="56"/>
      <c r="BA181" s="172"/>
      <c r="BB181" s="56"/>
      <c r="BC181" s="10"/>
      <c r="BD181" s="56"/>
      <c r="BE181" s="56"/>
      <c r="BF181" s="56"/>
      <c r="BG181" s="56"/>
      <c r="BO181" s="145"/>
      <c r="CI181" s="145"/>
      <c r="CY181" s="145"/>
    </row>
    <row r="182" spans="1:103" s="97" customFormat="1" x14ac:dyDescent="0.15">
      <c r="A182" s="11">
        <f t="shared" si="17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6"/>
      <c r="H182" s="56"/>
      <c r="I182" s="56"/>
      <c r="J182" s="56"/>
      <c r="K182" s="56"/>
      <c r="L182" s="165"/>
      <c r="M182" s="10"/>
      <c r="N182" s="56"/>
      <c r="O182" s="56"/>
      <c r="P182" s="162" t="str">
        <f t="shared" si="13"/>
        <v/>
      </c>
      <c r="Q182" s="178" t="str">
        <f t="shared" si="14"/>
        <v/>
      </c>
      <c r="R182" s="168"/>
      <c r="S182" s="56"/>
      <c r="T182" s="56"/>
      <c r="U182" s="56"/>
      <c r="V182" s="162" t="str">
        <f t="shared" si="15"/>
        <v/>
      </c>
      <c r="W182" s="178" t="str">
        <f t="shared" si="16"/>
        <v/>
      </c>
      <c r="X182" s="172"/>
      <c r="Y182" s="10"/>
      <c r="Z182" s="56"/>
      <c r="AA182" s="56"/>
      <c r="AB182" s="56"/>
      <c r="AC182" s="56"/>
      <c r="AD182" s="56"/>
      <c r="AE182" s="174"/>
      <c r="AF182" s="56"/>
      <c r="AG182" s="56"/>
      <c r="AH182" s="172"/>
      <c r="AI182" s="56"/>
      <c r="AJ182" s="56"/>
      <c r="AK182" s="56"/>
      <c r="AL182" s="56"/>
      <c r="AM182" s="56"/>
      <c r="AN182" s="56"/>
      <c r="AO182" s="172"/>
      <c r="AP182" s="56"/>
      <c r="AQ182" s="56"/>
      <c r="AR182" s="56"/>
      <c r="AS182" s="56"/>
      <c r="AT182" s="56"/>
      <c r="AU182" s="56"/>
      <c r="AV182" s="56"/>
      <c r="AW182" s="172"/>
      <c r="AX182" s="56"/>
      <c r="AY182" s="56"/>
      <c r="AZ182" s="56"/>
      <c r="BA182" s="172"/>
      <c r="BB182" s="56"/>
      <c r="BC182" s="10"/>
      <c r="BD182" s="56"/>
      <c r="BE182" s="56"/>
      <c r="BF182" s="56"/>
      <c r="BG182" s="56"/>
      <c r="BO182" s="145"/>
      <c r="CI182" s="145"/>
      <c r="CY182" s="145"/>
    </row>
    <row r="183" spans="1:103" s="97" customFormat="1" x14ac:dyDescent="0.15">
      <c r="A183" s="11">
        <f t="shared" si="17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6"/>
      <c r="H183" s="56"/>
      <c r="I183" s="56"/>
      <c r="J183" s="56"/>
      <c r="K183" s="56"/>
      <c r="L183" s="165"/>
      <c r="M183" s="10"/>
      <c r="N183" s="56"/>
      <c r="O183" s="56"/>
      <c r="P183" s="162" t="str">
        <f t="shared" si="13"/>
        <v/>
      </c>
      <c r="Q183" s="178" t="str">
        <f t="shared" si="14"/>
        <v/>
      </c>
      <c r="R183" s="168"/>
      <c r="S183" s="56"/>
      <c r="T183" s="56"/>
      <c r="U183" s="56"/>
      <c r="V183" s="162" t="str">
        <f t="shared" si="15"/>
        <v/>
      </c>
      <c r="W183" s="178" t="str">
        <f t="shared" si="16"/>
        <v/>
      </c>
      <c r="X183" s="172"/>
      <c r="Y183" s="10"/>
      <c r="Z183" s="56"/>
      <c r="AA183" s="56"/>
      <c r="AB183" s="56"/>
      <c r="AC183" s="56"/>
      <c r="AD183" s="56"/>
      <c r="AE183" s="174"/>
      <c r="AF183" s="56"/>
      <c r="AG183" s="56"/>
      <c r="AH183" s="172"/>
      <c r="AI183" s="56"/>
      <c r="AJ183" s="56"/>
      <c r="AK183" s="56"/>
      <c r="AL183" s="56"/>
      <c r="AM183" s="56"/>
      <c r="AN183" s="56"/>
      <c r="AO183" s="172"/>
      <c r="AP183" s="56"/>
      <c r="AQ183" s="56"/>
      <c r="AR183" s="56"/>
      <c r="AS183" s="56"/>
      <c r="AT183" s="56"/>
      <c r="AU183" s="56"/>
      <c r="AV183" s="56"/>
      <c r="AW183" s="172"/>
      <c r="AX183" s="56"/>
      <c r="AY183" s="56"/>
      <c r="AZ183" s="56"/>
      <c r="BA183" s="172"/>
      <c r="BB183" s="56"/>
      <c r="BC183" s="10"/>
      <c r="BD183" s="56"/>
      <c r="BE183" s="56"/>
      <c r="BF183" s="56"/>
      <c r="BG183" s="56"/>
      <c r="BO183" s="145"/>
      <c r="CI183" s="145"/>
      <c r="CY183" s="145"/>
    </row>
    <row r="184" spans="1:103" s="97" customFormat="1" ht="17.25" thickBot="1" x14ac:dyDescent="0.2">
      <c r="A184" s="11">
        <f t="shared" si="17"/>
        <v>60080020</v>
      </c>
      <c r="B184" s="112">
        <v>6</v>
      </c>
      <c r="C184" s="12">
        <v>0</v>
      </c>
      <c r="D184" s="112">
        <v>8</v>
      </c>
      <c r="E184" s="112">
        <v>0</v>
      </c>
      <c r="F184" s="113">
        <v>20</v>
      </c>
      <c r="G184" s="56"/>
      <c r="H184" s="56"/>
      <c r="I184" s="56"/>
      <c r="J184" s="56"/>
      <c r="K184" s="56"/>
      <c r="L184" s="165"/>
      <c r="M184" s="10"/>
      <c r="N184" s="56"/>
      <c r="O184" s="56"/>
      <c r="P184" s="162" t="str">
        <f t="shared" si="13"/>
        <v/>
      </c>
      <c r="Q184" s="178" t="str">
        <f t="shared" si="14"/>
        <v/>
      </c>
      <c r="R184" s="168"/>
      <c r="S184" s="56"/>
      <c r="T184" s="56"/>
      <c r="U184" s="56"/>
      <c r="V184" s="162" t="str">
        <f t="shared" si="15"/>
        <v/>
      </c>
      <c r="W184" s="178" t="str">
        <f t="shared" si="16"/>
        <v/>
      </c>
      <c r="X184" s="172"/>
      <c r="Y184" s="10"/>
      <c r="Z184" s="56"/>
      <c r="AA184" s="56"/>
      <c r="AB184" s="56"/>
      <c r="AC184" s="56"/>
      <c r="AD184" s="56"/>
      <c r="AE184" s="174"/>
      <c r="AF184" s="56"/>
      <c r="AG184" s="56"/>
      <c r="AH184" s="172"/>
      <c r="AI184" s="56"/>
      <c r="AJ184" s="56"/>
      <c r="AK184" s="56"/>
      <c r="AL184" s="56"/>
      <c r="AM184" s="56"/>
      <c r="AN184" s="56"/>
      <c r="AO184" s="172"/>
      <c r="AP184" s="56"/>
      <c r="AQ184" s="56"/>
      <c r="AR184" s="56"/>
      <c r="AS184" s="56"/>
      <c r="AT184" s="56"/>
      <c r="AU184" s="56"/>
      <c r="AV184" s="56"/>
      <c r="AW184" s="172"/>
      <c r="AX184" s="56"/>
      <c r="AY184" s="56"/>
      <c r="AZ184" s="56"/>
      <c r="BA184" s="172"/>
      <c r="BB184" s="56"/>
      <c r="BC184" s="10"/>
      <c r="BD184" s="56"/>
      <c r="BE184" s="56"/>
      <c r="BF184" s="56"/>
      <c r="BG184" s="56"/>
      <c r="BO184" s="145"/>
      <c r="CI184" s="145"/>
      <c r="CY184" s="145"/>
    </row>
    <row r="185" spans="1:103" s="114" customFormat="1" x14ac:dyDescent="0.15">
      <c r="A185" s="18">
        <f t="shared" si="17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7"/>
      <c r="H185" s="57"/>
      <c r="I185" s="57"/>
      <c r="J185" s="57"/>
      <c r="K185" s="57"/>
      <c r="L185" s="167"/>
      <c r="M185" s="17"/>
      <c r="N185" s="57"/>
      <c r="O185" s="57"/>
      <c r="P185" s="163" t="str">
        <f t="shared" si="13"/>
        <v/>
      </c>
      <c r="Q185" s="179" t="str">
        <f t="shared" si="14"/>
        <v/>
      </c>
      <c r="R185" s="169"/>
      <c r="S185" s="57"/>
      <c r="T185" s="57"/>
      <c r="U185" s="57"/>
      <c r="V185" s="163" t="str">
        <f t="shared" si="15"/>
        <v/>
      </c>
      <c r="W185" s="179" t="str">
        <f t="shared" si="16"/>
        <v/>
      </c>
      <c r="X185" s="173"/>
      <c r="Y185" s="17"/>
      <c r="Z185" s="57"/>
      <c r="AA185" s="57"/>
      <c r="AB185" s="57"/>
      <c r="AC185" s="57"/>
      <c r="AD185" s="57"/>
      <c r="AE185" s="176"/>
      <c r="AF185" s="57"/>
      <c r="AG185" s="57"/>
      <c r="AH185" s="173"/>
      <c r="AI185" s="57"/>
      <c r="AJ185" s="57"/>
      <c r="AK185" s="57"/>
      <c r="AL185" s="57"/>
      <c r="AM185" s="57"/>
      <c r="AN185" s="57"/>
      <c r="AO185" s="173"/>
      <c r="AP185" s="57"/>
      <c r="AQ185" s="57"/>
      <c r="AR185" s="57"/>
      <c r="AS185" s="57"/>
      <c r="AT185" s="57"/>
      <c r="AU185" s="57"/>
      <c r="AV185" s="57"/>
      <c r="AW185" s="173"/>
      <c r="AX185" s="57"/>
      <c r="AY185" s="57"/>
      <c r="AZ185" s="57"/>
      <c r="BA185" s="173"/>
      <c r="BB185" s="57"/>
      <c r="BC185" s="17"/>
      <c r="BD185" s="57"/>
      <c r="BE185" s="57"/>
      <c r="BF185" s="57"/>
      <c r="BG185" s="57"/>
      <c r="BO185" s="144"/>
      <c r="CI185" s="144"/>
      <c r="CY185" s="144"/>
    </row>
    <row r="186" spans="1:103" x14ac:dyDescent="0.15">
      <c r="A186" s="11">
        <f t="shared" si="17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P186" s="162" t="str">
        <f t="shared" si="13"/>
        <v/>
      </c>
      <c r="Q186" s="178" t="str">
        <f t="shared" si="14"/>
        <v/>
      </c>
      <c r="V186" s="162" t="str">
        <f t="shared" si="15"/>
        <v/>
      </c>
      <c r="W186" s="178" t="str">
        <f t="shared" si="16"/>
        <v/>
      </c>
      <c r="BH186" s="109"/>
    </row>
    <row r="187" spans="1:103" x14ac:dyDescent="0.15">
      <c r="A187" s="11">
        <f t="shared" si="17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P187" s="162" t="str">
        <f t="shared" si="13"/>
        <v/>
      </c>
      <c r="Q187" s="178" t="str">
        <f t="shared" si="14"/>
        <v/>
      </c>
      <c r="V187" s="162" t="str">
        <f t="shared" si="15"/>
        <v/>
      </c>
      <c r="W187" s="178" t="str">
        <f t="shared" si="16"/>
        <v/>
      </c>
      <c r="BH187" s="109"/>
    </row>
    <row r="188" spans="1:103" x14ac:dyDescent="0.15">
      <c r="A188" s="11">
        <f t="shared" si="17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P188" s="162" t="str">
        <f t="shared" si="13"/>
        <v/>
      </c>
      <c r="Q188" s="178" t="str">
        <f t="shared" si="14"/>
        <v/>
      </c>
      <c r="V188" s="162" t="str">
        <f t="shared" si="15"/>
        <v/>
      </c>
      <c r="W188" s="178" t="str">
        <f t="shared" si="16"/>
        <v/>
      </c>
    </row>
    <row r="189" spans="1:103" x14ac:dyDescent="0.15">
      <c r="A189" s="11">
        <f t="shared" si="17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P189" s="162" t="str">
        <f t="shared" si="13"/>
        <v/>
      </c>
      <c r="Q189" s="178" t="str">
        <f t="shared" si="14"/>
        <v/>
      </c>
      <c r="V189" s="162" t="str">
        <f t="shared" si="15"/>
        <v/>
      </c>
      <c r="W189" s="178" t="str">
        <f t="shared" si="16"/>
        <v/>
      </c>
    </row>
    <row r="190" spans="1:103" x14ac:dyDescent="0.15">
      <c r="A190" s="11">
        <f t="shared" si="17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P190" s="162" t="str">
        <f t="shared" si="13"/>
        <v/>
      </c>
      <c r="Q190" s="178" t="str">
        <f t="shared" si="14"/>
        <v/>
      </c>
      <c r="V190" s="162" t="str">
        <f t="shared" si="15"/>
        <v/>
      </c>
      <c r="W190" s="178" t="str">
        <f t="shared" si="16"/>
        <v/>
      </c>
    </row>
    <row r="191" spans="1:103" x14ac:dyDescent="0.15">
      <c r="A191" s="11">
        <f t="shared" si="17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P191" s="162" t="str">
        <f t="shared" si="13"/>
        <v/>
      </c>
      <c r="Q191" s="178" t="str">
        <f t="shared" si="14"/>
        <v/>
      </c>
      <c r="V191" s="162" t="str">
        <f t="shared" si="15"/>
        <v/>
      </c>
      <c r="W191" s="178" t="str">
        <f t="shared" si="16"/>
        <v/>
      </c>
    </row>
    <row r="192" spans="1:103" x14ac:dyDescent="0.15">
      <c r="A192" s="11">
        <f t="shared" si="17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P192" s="162" t="str">
        <f t="shared" si="13"/>
        <v/>
      </c>
      <c r="Q192" s="178" t="str">
        <f t="shared" si="14"/>
        <v/>
      </c>
      <c r="V192" s="162" t="str">
        <f t="shared" si="15"/>
        <v/>
      </c>
      <c r="W192" s="178" t="str">
        <f t="shared" si="16"/>
        <v/>
      </c>
    </row>
    <row r="193" spans="1:103" x14ac:dyDescent="0.15">
      <c r="A193" s="11">
        <f t="shared" si="17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P193" s="162" t="str">
        <f t="shared" si="13"/>
        <v/>
      </c>
      <c r="Q193" s="178" t="str">
        <f t="shared" si="14"/>
        <v/>
      </c>
      <c r="V193" s="162" t="str">
        <f t="shared" si="15"/>
        <v/>
      </c>
      <c r="W193" s="178" t="str">
        <f t="shared" si="16"/>
        <v/>
      </c>
    </row>
    <row r="194" spans="1:103" x14ac:dyDescent="0.15">
      <c r="A194" s="11">
        <f t="shared" si="17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P194" s="162" t="str">
        <f t="shared" si="13"/>
        <v/>
      </c>
      <c r="Q194" s="178" t="str">
        <f t="shared" si="14"/>
        <v/>
      </c>
      <c r="V194" s="162" t="str">
        <f t="shared" si="15"/>
        <v/>
      </c>
      <c r="W194" s="178" t="str">
        <f t="shared" si="16"/>
        <v/>
      </c>
    </row>
    <row r="195" spans="1:103" s="97" customFormat="1" x14ac:dyDescent="0.15">
      <c r="A195" s="11">
        <f t="shared" si="17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6"/>
      <c r="H195" s="56"/>
      <c r="I195" s="56"/>
      <c r="J195" s="56"/>
      <c r="K195" s="56"/>
      <c r="L195" s="165"/>
      <c r="M195" s="10"/>
      <c r="N195" s="56"/>
      <c r="O195" s="56"/>
      <c r="P195" s="162" t="str">
        <f t="shared" si="13"/>
        <v/>
      </c>
      <c r="Q195" s="178" t="str">
        <f t="shared" si="14"/>
        <v/>
      </c>
      <c r="R195" s="168"/>
      <c r="S195" s="56"/>
      <c r="T195" s="56"/>
      <c r="U195" s="56"/>
      <c r="V195" s="162" t="str">
        <f t="shared" si="15"/>
        <v/>
      </c>
      <c r="W195" s="178" t="str">
        <f t="shared" si="16"/>
        <v/>
      </c>
      <c r="X195" s="172"/>
      <c r="Y195" s="10"/>
      <c r="Z195" s="56"/>
      <c r="AA195" s="56"/>
      <c r="AB195" s="56"/>
      <c r="AC195" s="56"/>
      <c r="AD195" s="56"/>
      <c r="AE195" s="174"/>
      <c r="AF195" s="56"/>
      <c r="AG195" s="56"/>
      <c r="AH195" s="172"/>
      <c r="AI195" s="56"/>
      <c r="AJ195" s="56"/>
      <c r="AK195" s="56"/>
      <c r="AL195" s="56"/>
      <c r="AM195" s="56"/>
      <c r="AN195" s="56"/>
      <c r="AO195" s="172"/>
      <c r="AP195" s="56"/>
      <c r="AQ195" s="56"/>
      <c r="AR195" s="56"/>
      <c r="AS195" s="56"/>
      <c r="AT195" s="56"/>
      <c r="AU195" s="56"/>
      <c r="AV195" s="56"/>
      <c r="AW195" s="172"/>
      <c r="AX195" s="56"/>
      <c r="AY195" s="56"/>
      <c r="AZ195" s="56"/>
      <c r="BA195" s="172"/>
      <c r="BB195" s="56"/>
      <c r="BC195" s="10"/>
      <c r="BD195" s="56"/>
      <c r="BE195" s="56"/>
      <c r="BF195" s="56"/>
      <c r="BG195" s="56"/>
      <c r="BO195" s="145"/>
      <c r="CI195" s="145"/>
      <c r="CY195" s="145"/>
    </row>
    <row r="196" spans="1:103" s="97" customFormat="1" x14ac:dyDescent="0.15">
      <c r="A196" s="11">
        <f t="shared" si="17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6"/>
      <c r="H196" s="56"/>
      <c r="I196" s="56"/>
      <c r="J196" s="56"/>
      <c r="K196" s="56"/>
      <c r="L196" s="165"/>
      <c r="M196" s="10"/>
      <c r="N196" s="56"/>
      <c r="O196" s="56"/>
      <c r="P196" s="162" t="str">
        <f t="shared" si="13"/>
        <v/>
      </c>
      <c r="Q196" s="178" t="str">
        <f t="shared" si="14"/>
        <v/>
      </c>
      <c r="R196" s="168"/>
      <c r="S196" s="56"/>
      <c r="T196" s="56"/>
      <c r="U196" s="56"/>
      <c r="V196" s="162" t="str">
        <f t="shared" si="15"/>
        <v/>
      </c>
      <c r="W196" s="178" t="str">
        <f t="shared" si="16"/>
        <v/>
      </c>
      <c r="X196" s="172"/>
      <c r="Y196" s="10"/>
      <c r="Z196" s="56"/>
      <c r="AA196" s="56"/>
      <c r="AB196" s="56"/>
      <c r="AC196" s="56"/>
      <c r="AD196" s="56"/>
      <c r="AE196" s="174"/>
      <c r="AF196" s="56"/>
      <c r="AG196" s="56"/>
      <c r="AH196" s="172"/>
      <c r="AI196" s="56"/>
      <c r="AJ196" s="56"/>
      <c r="AK196" s="56"/>
      <c r="AL196" s="56"/>
      <c r="AM196" s="56"/>
      <c r="AN196" s="56"/>
      <c r="AO196" s="172"/>
      <c r="AP196" s="56"/>
      <c r="AQ196" s="56"/>
      <c r="AR196" s="56"/>
      <c r="AS196" s="56"/>
      <c r="AT196" s="56"/>
      <c r="AU196" s="56"/>
      <c r="AV196" s="56"/>
      <c r="AW196" s="172"/>
      <c r="AX196" s="56"/>
      <c r="AY196" s="56"/>
      <c r="AZ196" s="56"/>
      <c r="BA196" s="172"/>
      <c r="BB196" s="56"/>
      <c r="BC196" s="10"/>
      <c r="BD196" s="56"/>
      <c r="BE196" s="56"/>
      <c r="BF196" s="56"/>
      <c r="BG196" s="56"/>
      <c r="BO196" s="145"/>
      <c r="CI196" s="145"/>
      <c r="CY196" s="145"/>
    </row>
    <row r="197" spans="1:103" s="97" customFormat="1" x14ac:dyDescent="0.15">
      <c r="A197" s="11">
        <f t="shared" si="17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6"/>
      <c r="H197" s="56"/>
      <c r="I197" s="56"/>
      <c r="J197" s="56"/>
      <c r="K197" s="56"/>
      <c r="L197" s="165"/>
      <c r="M197" s="10"/>
      <c r="N197" s="56"/>
      <c r="O197" s="56"/>
      <c r="P197" s="162" t="str">
        <f t="shared" si="13"/>
        <v/>
      </c>
      <c r="Q197" s="178" t="str">
        <f t="shared" si="14"/>
        <v/>
      </c>
      <c r="R197" s="168"/>
      <c r="S197" s="56"/>
      <c r="T197" s="56"/>
      <c r="U197" s="56"/>
      <c r="V197" s="162" t="str">
        <f t="shared" si="15"/>
        <v/>
      </c>
      <c r="W197" s="178" t="str">
        <f t="shared" si="16"/>
        <v/>
      </c>
      <c r="X197" s="172"/>
      <c r="Y197" s="10"/>
      <c r="Z197" s="56"/>
      <c r="AA197" s="56"/>
      <c r="AB197" s="56"/>
      <c r="AC197" s="56"/>
      <c r="AD197" s="56"/>
      <c r="AE197" s="174"/>
      <c r="AF197" s="56"/>
      <c r="AG197" s="56"/>
      <c r="AH197" s="172"/>
      <c r="AI197" s="56"/>
      <c r="AJ197" s="56"/>
      <c r="AK197" s="56"/>
      <c r="AL197" s="56"/>
      <c r="AM197" s="56"/>
      <c r="AN197" s="56"/>
      <c r="AO197" s="172"/>
      <c r="AP197" s="56"/>
      <c r="AQ197" s="56"/>
      <c r="AR197" s="56"/>
      <c r="AS197" s="56"/>
      <c r="AT197" s="56"/>
      <c r="AU197" s="56"/>
      <c r="AV197" s="56"/>
      <c r="AW197" s="172"/>
      <c r="AX197" s="56"/>
      <c r="AY197" s="56"/>
      <c r="AZ197" s="56"/>
      <c r="BA197" s="172"/>
      <c r="BB197" s="56"/>
      <c r="BC197" s="10"/>
      <c r="BD197" s="56"/>
      <c r="BE197" s="56"/>
      <c r="BF197" s="56"/>
      <c r="BG197" s="56"/>
      <c r="BO197" s="145"/>
      <c r="CI197" s="145"/>
      <c r="CY197" s="145"/>
    </row>
    <row r="198" spans="1:103" s="97" customFormat="1" x14ac:dyDescent="0.15">
      <c r="A198" s="11">
        <f t="shared" si="17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6"/>
      <c r="H198" s="56"/>
      <c r="I198" s="56"/>
      <c r="J198" s="56"/>
      <c r="K198" s="56"/>
      <c r="L198" s="165"/>
      <c r="M198" s="10"/>
      <c r="N198" s="56"/>
      <c r="O198" s="56"/>
      <c r="P198" s="162" t="str">
        <f t="shared" ref="P198:P224" si="18">IF((1-(1-O198/100000)^1440)=0,"",1-(1-O198/100000)^1440)</f>
        <v/>
      </c>
      <c r="Q198" s="178" t="str">
        <f t="shared" ref="Q198:Q224" si="19">IF((O198/100000)*1440=0,"",(O198/100000)*1440)</f>
        <v/>
      </c>
      <c r="R198" s="168"/>
      <c r="S198" s="56"/>
      <c r="T198" s="56"/>
      <c r="U198" s="56"/>
      <c r="V198" s="162" t="str">
        <f t="shared" si="15"/>
        <v/>
      </c>
      <c r="W198" s="178" t="str">
        <f t="shared" si="16"/>
        <v/>
      </c>
      <c r="X198" s="172"/>
      <c r="Y198" s="10"/>
      <c r="Z198" s="56"/>
      <c r="AA198" s="56"/>
      <c r="AB198" s="56"/>
      <c r="AC198" s="56"/>
      <c r="AD198" s="56"/>
      <c r="AE198" s="174"/>
      <c r="AF198" s="56"/>
      <c r="AG198" s="56"/>
      <c r="AH198" s="172"/>
      <c r="AI198" s="56"/>
      <c r="AJ198" s="56"/>
      <c r="AK198" s="56"/>
      <c r="AL198" s="56"/>
      <c r="AM198" s="56"/>
      <c r="AN198" s="56"/>
      <c r="AO198" s="172"/>
      <c r="AP198" s="56"/>
      <c r="AQ198" s="56"/>
      <c r="AR198" s="56"/>
      <c r="AS198" s="56"/>
      <c r="AT198" s="56"/>
      <c r="AU198" s="56"/>
      <c r="AV198" s="56"/>
      <c r="AW198" s="172"/>
      <c r="AX198" s="56"/>
      <c r="AY198" s="56"/>
      <c r="AZ198" s="56"/>
      <c r="BA198" s="172"/>
      <c r="BB198" s="56"/>
      <c r="BC198" s="10"/>
      <c r="BD198" s="56"/>
      <c r="BE198" s="56"/>
      <c r="BF198" s="56"/>
      <c r="BG198" s="56"/>
      <c r="BO198" s="145"/>
      <c r="CI198" s="145"/>
      <c r="CY198" s="145"/>
    </row>
    <row r="199" spans="1:103" s="97" customFormat="1" x14ac:dyDescent="0.15">
      <c r="A199" s="11">
        <f t="shared" si="17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6"/>
      <c r="H199" s="56"/>
      <c r="I199" s="56"/>
      <c r="J199" s="56"/>
      <c r="K199" s="56"/>
      <c r="L199" s="165"/>
      <c r="M199" s="10"/>
      <c r="N199" s="56"/>
      <c r="O199" s="56"/>
      <c r="P199" s="162" t="str">
        <f t="shared" si="18"/>
        <v/>
      </c>
      <c r="Q199" s="178" t="str">
        <f t="shared" si="19"/>
        <v/>
      </c>
      <c r="R199" s="168"/>
      <c r="S199" s="56"/>
      <c r="T199" s="56"/>
      <c r="U199" s="56"/>
      <c r="V199" s="162" t="str">
        <f t="shared" si="15"/>
        <v/>
      </c>
      <c r="W199" s="178" t="str">
        <f t="shared" si="16"/>
        <v/>
      </c>
      <c r="X199" s="172"/>
      <c r="Y199" s="10"/>
      <c r="Z199" s="56"/>
      <c r="AA199" s="56"/>
      <c r="AB199" s="56"/>
      <c r="AC199" s="56"/>
      <c r="AD199" s="56"/>
      <c r="AE199" s="174"/>
      <c r="AF199" s="56"/>
      <c r="AG199" s="56"/>
      <c r="AH199" s="172"/>
      <c r="AI199" s="56"/>
      <c r="AJ199" s="56"/>
      <c r="AK199" s="56"/>
      <c r="AL199" s="56"/>
      <c r="AM199" s="56"/>
      <c r="AN199" s="56"/>
      <c r="AO199" s="172"/>
      <c r="AP199" s="56"/>
      <c r="AQ199" s="56"/>
      <c r="AR199" s="56"/>
      <c r="AS199" s="56"/>
      <c r="AT199" s="56"/>
      <c r="AU199" s="56"/>
      <c r="AV199" s="56"/>
      <c r="AW199" s="172"/>
      <c r="AX199" s="56"/>
      <c r="AY199" s="56"/>
      <c r="AZ199" s="56"/>
      <c r="BA199" s="172"/>
      <c r="BB199" s="56"/>
      <c r="BC199" s="10"/>
      <c r="BD199" s="56"/>
      <c r="BE199" s="56"/>
      <c r="BF199" s="56"/>
      <c r="BG199" s="56"/>
      <c r="BO199" s="145"/>
      <c r="CI199" s="145"/>
      <c r="CY199" s="145"/>
    </row>
    <row r="200" spans="1:103" s="97" customFormat="1" x14ac:dyDescent="0.15">
      <c r="A200" s="11">
        <f t="shared" si="17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6"/>
      <c r="H200" s="56"/>
      <c r="I200" s="56"/>
      <c r="J200" s="56"/>
      <c r="K200" s="56"/>
      <c r="L200" s="165"/>
      <c r="M200" s="10"/>
      <c r="N200" s="56"/>
      <c r="O200" s="56"/>
      <c r="P200" s="162" t="str">
        <f t="shared" si="18"/>
        <v/>
      </c>
      <c r="Q200" s="178" t="str">
        <f t="shared" si="19"/>
        <v/>
      </c>
      <c r="R200" s="168"/>
      <c r="S200" s="56"/>
      <c r="T200" s="56"/>
      <c r="U200" s="56"/>
      <c r="V200" s="162" t="str">
        <f t="shared" si="15"/>
        <v/>
      </c>
      <c r="W200" s="178" t="str">
        <f t="shared" si="16"/>
        <v/>
      </c>
      <c r="X200" s="172"/>
      <c r="Y200" s="10"/>
      <c r="Z200" s="56"/>
      <c r="AA200" s="56"/>
      <c r="AB200" s="56"/>
      <c r="AC200" s="56"/>
      <c r="AD200" s="56"/>
      <c r="AE200" s="174"/>
      <c r="AF200" s="56"/>
      <c r="AG200" s="56"/>
      <c r="AH200" s="172"/>
      <c r="AI200" s="56"/>
      <c r="AJ200" s="56"/>
      <c r="AK200" s="56"/>
      <c r="AL200" s="56"/>
      <c r="AM200" s="56"/>
      <c r="AN200" s="56"/>
      <c r="AO200" s="172"/>
      <c r="AP200" s="56"/>
      <c r="AQ200" s="56"/>
      <c r="AR200" s="56"/>
      <c r="AS200" s="56"/>
      <c r="AT200" s="56"/>
      <c r="AU200" s="56"/>
      <c r="AV200" s="56"/>
      <c r="AW200" s="172"/>
      <c r="AX200" s="56"/>
      <c r="AY200" s="56"/>
      <c r="AZ200" s="56"/>
      <c r="BA200" s="172"/>
      <c r="BB200" s="56"/>
      <c r="BC200" s="10"/>
      <c r="BD200" s="56"/>
      <c r="BE200" s="56"/>
      <c r="BF200" s="56"/>
      <c r="BG200" s="56"/>
      <c r="BO200" s="145"/>
      <c r="CI200" s="145"/>
      <c r="CY200" s="145"/>
    </row>
    <row r="201" spans="1:103" s="97" customFormat="1" x14ac:dyDescent="0.15">
      <c r="A201" s="11">
        <f t="shared" si="17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6"/>
      <c r="H201" s="56"/>
      <c r="I201" s="56"/>
      <c r="J201" s="56"/>
      <c r="K201" s="56"/>
      <c r="L201" s="165"/>
      <c r="M201" s="10"/>
      <c r="N201" s="56"/>
      <c r="O201" s="56"/>
      <c r="P201" s="162" t="str">
        <f t="shared" si="18"/>
        <v/>
      </c>
      <c r="Q201" s="178" t="str">
        <f t="shared" si="19"/>
        <v/>
      </c>
      <c r="R201" s="168"/>
      <c r="S201" s="56"/>
      <c r="T201" s="56"/>
      <c r="U201" s="56"/>
      <c r="V201" s="162" t="str">
        <f t="shared" si="15"/>
        <v/>
      </c>
      <c r="W201" s="178" t="str">
        <f t="shared" si="16"/>
        <v/>
      </c>
      <c r="X201" s="172"/>
      <c r="Y201" s="10"/>
      <c r="Z201" s="56"/>
      <c r="AA201" s="56"/>
      <c r="AB201" s="56"/>
      <c r="AC201" s="56"/>
      <c r="AD201" s="56"/>
      <c r="AE201" s="174"/>
      <c r="AF201" s="56"/>
      <c r="AG201" s="56"/>
      <c r="AH201" s="172"/>
      <c r="AI201" s="56"/>
      <c r="AJ201" s="56"/>
      <c r="AK201" s="56"/>
      <c r="AL201" s="56"/>
      <c r="AM201" s="56"/>
      <c r="AN201" s="56"/>
      <c r="AO201" s="172"/>
      <c r="AP201" s="56"/>
      <c r="AQ201" s="56"/>
      <c r="AR201" s="56"/>
      <c r="AS201" s="56"/>
      <c r="AT201" s="56"/>
      <c r="AU201" s="56"/>
      <c r="AV201" s="56"/>
      <c r="AW201" s="172"/>
      <c r="AX201" s="56"/>
      <c r="AY201" s="56"/>
      <c r="AZ201" s="56"/>
      <c r="BA201" s="172"/>
      <c r="BB201" s="56"/>
      <c r="BC201" s="10"/>
      <c r="BD201" s="56"/>
      <c r="BE201" s="56"/>
      <c r="BF201" s="56"/>
      <c r="BG201" s="56"/>
      <c r="BO201" s="145"/>
      <c r="CI201" s="145"/>
      <c r="CY201" s="145"/>
    </row>
    <row r="202" spans="1:103" s="97" customFormat="1" x14ac:dyDescent="0.15">
      <c r="A202" s="11">
        <f t="shared" si="17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6"/>
      <c r="H202" s="56"/>
      <c r="I202" s="56"/>
      <c r="J202" s="56"/>
      <c r="K202" s="56"/>
      <c r="L202" s="165"/>
      <c r="M202" s="10"/>
      <c r="N202" s="56"/>
      <c r="O202" s="56"/>
      <c r="P202" s="162" t="str">
        <f t="shared" si="18"/>
        <v/>
      </c>
      <c r="Q202" s="178" t="str">
        <f t="shared" si="19"/>
        <v/>
      </c>
      <c r="R202" s="168"/>
      <c r="S202" s="56"/>
      <c r="T202" s="56"/>
      <c r="U202" s="56"/>
      <c r="V202" s="162" t="str">
        <f t="shared" si="15"/>
        <v/>
      </c>
      <c r="W202" s="178" t="str">
        <f t="shared" si="16"/>
        <v/>
      </c>
      <c r="X202" s="172"/>
      <c r="Y202" s="10"/>
      <c r="Z202" s="56"/>
      <c r="AA202" s="56"/>
      <c r="AB202" s="56"/>
      <c r="AC202" s="56"/>
      <c r="AD202" s="56"/>
      <c r="AE202" s="174"/>
      <c r="AF202" s="56"/>
      <c r="AG202" s="56"/>
      <c r="AH202" s="172"/>
      <c r="AI202" s="56"/>
      <c r="AJ202" s="56"/>
      <c r="AK202" s="56"/>
      <c r="AL202" s="56"/>
      <c r="AM202" s="56"/>
      <c r="AN202" s="56"/>
      <c r="AO202" s="172"/>
      <c r="AP202" s="56"/>
      <c r="AQ202" s="56"/>
      <c r="AR202" s="56"/>
      <c r="AS202" s="56"/>
      <c r="AT202" s="56"/>
      <c r="AU202" s="56"/>
      <c r="AV202" s="56"/>
      <c r="AW202" s="172"/>
      <c r="AX202" s="56"/>
      <c r="AY202" s="56"/>
      <c r="AZ202" s="56"/>
      <c r="BA202" s="172"/>
      <c r="BB202" s="56"/>
      <c r="BC202" s="10"/>
      <c r="BD202" s="56"/>
      <c r="BE202" s="56"/>
      <c r="BF202" s="56"/>
      <c r="BG202" s="56"/>
      <c r="BO202" s="145"/>
      <c r="CI202" s="145"/>
      <c r="CY202" s="145"/>
    </row>
    <row r="203" spans="1:103" s="97" customFormat="1" x14ac:dyDescent="0.15">
      <c r="A203" s="11">
        <f t="shared" si="17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6"/>
      <c r="H203" s="56"/>
      <c r="I203" s="56"/>
      <c r="J203" s="56"/>
      <c r="K203" s="56"/>
      <c r="L203" s="165"/>
      <c r="M203" s="10"/>
      <c r="N203" s="56"/>
      <c r="O203" s="56"/>
      <c r="P203" s="162" t="str">
        <f t="shared" si="18"/>
        <v/>
      </c>
      <c r="Q203" s="178" t="str">
        <f t="shared" si="19"/>
        <v/>
      </c>
      <c r="R203" s="168"/>
      <c r="S203" s="56"/>
      <c r="T203" s="56"/>
      <c r="U203" s="56"/>
      <c r="V203" s="162" t="str">
        <f t="shared" si="15"/>
        <v/>
      </c>
      <c r="W203" s="178" t="str">
        <f t="shared" si="16"/>
        <v/>
      </c>
      <c r="X203" s="172"/>
      <c r="Y203" s="10"/>
      <c r="Z203" s="56"/>
      <c r="AA203" s="56"/>
      <c r="AB203" s="56"/>
      <c r="AC203" s="56"/>
      <c r="AD203" s="56"/>
      <c r="AE203" s="174"/>
      <c r="AF203" s="56"/>
      <c r="AG203" s="56"/>
      <c r="AH203" s="172"/>
      <c r="AI203" s="56"/>
      <c r="AJ203" s="56"/>
      <c r="AK203" s="56"/>
      <c r="AL203" s="56"/>
      <c r="AM203" s="56"/>
      <c r="AN203" s="56"/>
      <c r="AO203" s="172"/>
      <c r="AP203" s="56"/>
      <c r="AQ203" s="56"/>
      <c r="AR203" s="56"/>
      <c r="AS203" s="56"/>
      <c r="AT203" s="56"/>
      <c r="AU203" s="56"/>
      <c r="AV203" s="56"/>
      <c r="AW203" s="172"/>
      <c r="AX203" s="56"/>
      <c r="AY203" s="56"/>
      <c r="AZ203" s="56"/>
      <c r="BA203" s="172"/>
      <c r="BB203" s="56"/>
      <c r="BC203" s="10"/>
      <c r="BD203" s="56"/>
      <c r="BE203" s="56"/>
      <c r="BF203" s="56"/>
      <c r="BG203" s="56"/>
      <c r="BO203" s="145"/>
      <c r="CI203" s="145"/>
      <c r="CY203" s="145"/>
    </row>
    <row r="204" spans="1:103" s="97" customFormat="1" ht="17.25" thickBot="1" x14ac:dyDescent="0.2">
      <c r="A204" s="11">
        <f t="shared" si="17"/>
        <v>60090020</v>
      </c>
      <c r="B204" s="112">
        <v>6</v>
      </c>
      <c r="C204" s="12">
        <v>0</v>
      </c>
      <c r="D204" s="112">
        <v>9</v>
      </c>
      <c r="E204" s="112">
        <v>0</v>
      </c>
      <c r="F204" s="113">
        <v>20</v>
      </c>
      <c r="G204" s="56"/>
      <c r="H204" s="56"/>
      <c r="I204" s="56"/>
      <c r="J204" s="56"/>
      <c r="K204" s="56"/>
      <c r="L204" s="165"/>
      <c r="M204" s="10"/>
      <c r="N204" s="56"/>
      <c r="O204" s="56"/>
      <c r="P204" s="162" t="str">
        <f t="shared" si="18"/>
        <v/>
      </c>
      <c r="Q204" s="178" t="str">
        <f t="shared" si="19"/>
        <v/>
      </c>
      <c r="R204" s="168"/>
      <c r="S204" s="56"/>
      <c r="T204" s="56"/>
      <c r="U204" s="56"/>
      <c r="V204" s="162" t="str">
        <f t="shared" si="15"/>
        <v/>
      </c>
      <c r="W204" s="178" t="str">
        <f t="shared" si="16"/>
        <v/>
      </c>
      <c r="X204" s="172"/>
      <c r="Y204" s="10"/>
      <c r="Z204" s="56"/>
      <c r="AA204" s="56"/>
      <c r="AB204" s="56"/>
      <c r="AC204" s="56"/>
      <c r="AD204" s="56"/>
      <c r="AE204" s="174"/>
      <c r="AF204" s="56"/>
      <c r="AG204" s="56"/>
      <c r="AH204" s="172"/>
      <c r="AI204" s="56"/>
      <c r="AJ204" s="56"/>
      <c r="AK204" s="56"/>
      <c r="AL204" s="56"/>
      <c r="AM204" s="56"/>
      <c r="AN204" s="56"/>
      <c r="AO204" s="172"/>
      <c r="AP204" s="56"/>
      <c r="AQ204" s="56"/>
      <c r="AR204" s="56"/>
      <c r="AS204" s="56"/>
      <c r="AT204" s="56"/>
      <c r="AU204" s="56"/>
      <c r="AV204" s="56"/>
      <c r="AW204" s="172"/>
      <c r="AX204" s="56"/>
      <c r="AY204" s="56"/>
      <c r="AZ204" s="56"/>
      <c r="BA204" s="172"/>
      <c r="BB204" s="56"/>
      <c r="BC204" s="10"/>
      <c r="BD204" s="56"/>
      <c r="BE204" s="56"/>
      <c r="BF204" s="56"/>
      <c r="BG204" s="56"/>
      <c r="BO204" s="145"/>
      <c r="CI204" s="145"/>
      <c r="CY204" s="145"/>
    </row>
    <row r="205" spans="1:103" s="114" customFormat="1" x14ac:dyDescent="0.15">
      <c r="A205" s="18">
        <f t="shared" si="17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7"/>
      <c r="H205" s="57"/>
      <c r="I205" s="57"/>
      <c r="J205" s="57"/>
      <c r="K205" s="57"/>
      <c r="L205" s="167"/>
      <c r="M205" s="17"/>
      <c r="N205" s="57"/>
      <c r="O205" s="57"/>
      <c r="P205" s="163" t="str">
        <f t="shared" si="18"/>
        <v/>
      </c>
      <c r="Q205" s="179" t="str">
        <f t="shared" si="19"/>
        <v/>
      </c>
      <c r="R205" s="169"/>
      <c r="S205" s="57"/>
      <c r="T205" s="57"/>
      <c r="U205" s="57"/>
      <c r="V205" s="163" t="str">
        <f t="shared" si="15"/>
        <v/>
      </c>
      <c r="W205" s="179" t="str">
        <f t="shared" si="16"/>
        <v/>
      </c>
      <c r="X205" s="173"/>
      <c r="Y205" s="17"/>
      <c r="Z205" s="57"/>
      <c r="AA205" s="57"/>
      <c r="AB205" s="57"/>
      <c r="AC205" s="57"/>
      <c r="AD205" s="57"/>
      <c r="AE205" s="176"/>
      <c r="AF205" s="57"/>
      <c r="AG205" s="57"/>
      <c r="AH205" s="173"/>
      <c r="AI205" s="57"/>
      <c r="AJ205" s="57"/>
      <c r="AK205" s="57"/>
      <c r="AL205" s="57"/>
      <c r="AM205" s="57"/>
      <c r="AN205" s="57"/>
      <c r="AO205" s="173"/>
      <c r="AP205" s="57"/>
      <c r="AQ205" s="57"/>
      <c r="AR205" s="57"/>
      <c r="AS205" s="57"/>
      <c r="AT205" s="57"/>
      <c r="AU205" s="57"/>
      <c r="AV205" s="57"/>
      <c r="AW205" s="173"/>
      <c r="AX205" s="57"/>
      <c r="AY205" s="57"/>
      <c r="AZ205" s="57"/>
      <c r="BA205" s="173"/>
      <c r="BB205" s="57"/>
      <c r="BC205" s="17"/>
      <c r="BD205" s="57"/>
      <c r="BE205" s="57"/>
      <c r="BF205" s="57"/>
      <c r="BG205" s="57"/>
      <c r="BO205" s="144"/>
      <c r="CI205" s="144"/>
      <c r="CY205" s="144"/>
    </row>
    <row r="206" spans="1:103" x14ac:dyDescent="0.15">
      <c r="A206" s="11">
        <f t="shared" si="17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P206" s="162" t="str">
        <f t="shared" si="18"/>
        <v/>
      </c>
      <c r="Q206" s="178" t="str">
        <f t="shared" si="19"/>
        <v/>
      </c>
      <c r="V206" s="162" t="str">
        <f t="shared" si="15"/>
        <v/>
      </c>
      <c r="W206" s="178" t="str">
        <f t="shared" si="16"/>
        <v/>
      </c>
      <c r="BH206" s="109"/>
    </row>
    <row r="207" spans="1:103" x14ac:dyDescent="0.15">
      <c r="A207" s="11">
        <f t="shared" si="17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P207" s="162" t="str">
        <f t="shared" si="18"/>
        <v/>
      </c>
      <c r="Q207" s="178" t="str">
        <f t="shared" si="19"/>
        <v/>
      </c>
      <c r="V207" s="162" t="str">
        <f t="shared" si="15"/>
        <v/>
      </c>
      <c r="W207" s="178" t="str">
        <f t="shared" si="16"/>
        <v/>
      </c>
      <c r="BH207" s="109"/>
    </row>
    <row r="208" spans="1:103" x14ac:dyDescent="0.15">
      <c r="A208" s="11">
        <f t="shared" si="17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P208" s="162" t="str">
        <f t="shared" si="18"/>
        <v/>
      </c>
      <c r="Q208" s="178" t="str">
        <f t="shared" si="19"/>
        <v/>
      </c>
      <c r="V208" s="162" t="str">
        <f t="shared" si="15"/>
        <v/>
      </c>
      <c r="W208" s="178" t="str">
        <f t="shared" si="16"/>
        <v/>
      </c>
    </row>
    <row r="209" spans="1:103" x14ac:dyDescent="0.15">
      <c r="A209" s="11">
        <f t="shared" si="17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P209" s="162" t="str">
        <f t="shared" si="18"/>
        <v/>
      </c>
      <c r="Q209" s="178" t="str">
        <f t="shared" si="19"/>
        <v/>
      </c>
      <c r="V209" s="162" t="str">
        <f t="shared" si="15"/>
        <v/>
      </c>
      <c r="W209" s="178" t="str">
        <f t="shared" si="16"/>
        <v/>
      </c>
    </row>
    <row r="210" spans="1:103" x14ac:dyDescent="0.15">
      <c r="A210" s="11">
        <f t="shared" si="17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P210" s="162" t="str">
        <f t="shared" si="18"/>
        <v/>
      </c>
      <c r="Q210" s="178" t="str">
        <f t="shared" si="19"/>
        <v/>
      </c>
      <c r="V210" s="162" t="str">
        <f t="shared" si="15"/>
        <v/>
      </c>
      <c r="W210" s="178" t="str">
        <f t="shared" si="16"/>
        <v/>
      </c>
    </row>
    <row r="211" spans="1:103" x14ac:dyDescent="0.15">
      <c r="A211" s="11">
        <f t="shared" si="17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P211" s="162" t="str">
        <f t="shared" si="18"/>
        <v/>
      </c>
      <c r="Q211" s="178" t="str">
        <f t="shared" si="19"/>
        <v/>
      </c>
      <c r="V211" s="162" t="str">
        <f t="shared" si="15"/>
        <v/>
      </c>
      <c r="W211" s="178" t="str">
        <f t="shared" si="16"/>
        <v/>
      </c>
    </row>
    <row r="212" spans="1:103" x14ac:dyDescent="0.15">
      <c r="A212" s="11">
        <f t="shared" si="17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P212" s="162" t="str">
        <f t="shared" si="18"/>
        <v/>
      </c>
      <c r="Q212" s="178" t="str">
        <f t="shared" si="19"/>
        <v/>
      </c>
      <c r="V212" s="162" t="str">
        <f t="shared" si="15"/>
        <v/>
      </c>
      <c r="W212" s="178" t="str">
        <f t="shared" si="16"/>
        <v/>
      </c>
    </row>
    <row r="213" spans="1:103" x14ac:dyDescent="0.15">
      <c r="A213" s="11">
        <f t="shared" si="17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P213" s="162" t="str">
        <f t="shared" si="18"/>
        <v/>
      </c>
      <c r="Q213" s="178" t="str">
        <f t="shared" si="19"/>
        <v/>
      </c>
      <c r="V213" s="162" t="str">
        <f t="shared" si="15"/>
        <v/>
      </c>
      <c r="W213" s="178" t="str">
        <f t="shared" si="16"/>
        <v/>
      </c>
    </row>
    <row r="214" spans="1:103" x14ac:dyDescent="0.15">
      <c r="A214" s="11">
        <f t="shared" si="17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P214" s="162" t="str">
        <f t="shared" si="18"/>
        <v/>
      </c>
      <c r="Q214" s="178" t="str">
        <f t="shared" si="19"/>
        <v/>
      </c>
      <c r="V214" s="162" t="str">
        <f t="shared" ref="V214:V224" si="20">IF((1-(1-S214/100000)^L214)=0,"",1-(1-S214/100000)^L214)</f>
        <v/>
      </c>
      <c r="W214" s="178" t="str">
        <f t="shared" ref="W214:W224" si="21">IF((S214/100000)*L214=0,"",(S214/100000)*L214)</f>
        <v/>
      </c>
    </row>
    <row r="215" spans="1:103" s="97" customFormat="1" x14ac:dyDescent="0.15">
      <c r="A215" s="11">
        <f t="shared" si="17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6"/>
      <c r="H215" s="56"/>
      <c r="I215" s="56"/>
      <c r="J215" s="56"/>
      <c r="K215" s="56"/>
      <c r="L215" s="165"/>
      <c r="M215" s="10"/>
      <c r="N215" s="56"/>
      <c r="O215" s="56"/>
      <c r="P215" s="162" t="str">
        <f t="shared" si="18"/>
        <v/>
      </c>
      <c r="Q215" s="178" t="str">
        <f t="shared" si="19"/>
        <v/>
      </c>
      <c r="R215" s="168"/>
      <c r="S215" s="56"/>
      <c r="T215" s="56"/>
      <c r="U215" s="56"/>
      <c r="V215" s="162" t="str">
        <f t="shared" si="20"/>
        <v/>
      </c>
      <c r="W215" s="178" t="str">
        <f t="shared" si="21"/>
        <v/>
      </c>
      <c r="X215" s="172"/>
      <c r="Y215" s="10"/>
      <c r="Z215" s="56"/>
      <c r="AA215" s="56"/>
      <c r="AB215" s="56"/>
      <c r="AC215" s="56"/>
      <c r="AD215" s="56"/>
      <c r="AE215" s="174"/>
      <c r="AF215" s="56"/>
      <c r="AG215" s="56"/>
      <c r="AH215" s="172"/>
      <c r="AI215" s="56"/>
      <c r="AJ215" s="56"/>
      <c r="AK215" s="56"/>
      <c r="AL215" s="56"/>
      <c r="AM215" s="56"/>
      <c r="AN215" s="56"/>
      <c r="AO215" s="172"/>
      <c r="AP215" s="56"/>
      <c r="AQ215" s="56"/>
      <c r="AR215" s="56"/>
      <c r="AS215" s="56"/>
      <c r="AT215" s="56"/>
      <c r="AU215" s="56"/>
      <c r="AV215" s="56"/>
      <c r="AW215" s="172"/>
      <c r="AX215" s="56"/>
      <c r="AY215" s="56"/>
      <c r="AZ215" s="56"/>
      <c r="BA215" s="172"/>
      <c r="BB215" s="56"/>
      <c r="BC215" s="10"/>
      <c r="BD215" s="56"/>
      <c r="BE215" s="56"/>
      <c r="BF215" s="56"/>
      <c r="BG215" s="56"/>
      <c r="BO215" s="145"/>
      <c r="CI215" s="145"/>
      <c r="CY215" s="145"/>
    </row>
    <row r="216" spans="1:103" s="97" customFormat="1" x14ac:dyDescent="0.15">
      <c r="A216" s="11">
        <f t="shared" si="17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6"/>
      <c r="H216" s="56"/>
      <c r="I216" s="56"/>
      <c r="J216" s="56"/>
      <c r="K216" s="56"/>
      <c r="L216" s="165"/>
      <c r="M216" s="10"/>
      <c r="N216" s="56"/>
      <c r="O216" s="56"/>
      <c r="P216" s="162" t="str">
        <f t="shared" si="18"/>
        <v/>
      </c>
      <c r="Q216" s="178" t="str">
        <f t="shared" si="19"/>
        <v/>
      </c>
      <c r="R216" s="168"/>
      <c r="S216" s="56"/>
      <c r="T216" s="56"/>
      <c r="U216" s="56"/>
      <c r="V216" s="162" t="str">
        <f t="shared" si="20"/>
        <v/>
      </c>
      <c r="W216" s="178" t="str">
        <f t="shared" si="21"/>
        <v/>
      </c>
      <c r="X216" s="172"/>
      <c r="Y216" s="10"/>
      <c r="Z216" s="56"/>
      <c r="AA216" s="56"/>
      <c r="AB216" s="56"/>
      <c r="AC216" s="56"/>
      <c r="AD216" s="56"/>
      <c r="AE216" s="174"/>
      <c r="AF216" s="56"/>
      <c r="AG216" s="56"/>
      <c r="AH216" s="172"/>
      <c r="AI216" s="56"/>
      <c r="AJ216" s="56"/>
      <c r="AK216" s="56"/>
      <c r="AL216" s="56"/>
      <c r="AM216" s="56"/>
      <c r="AN216" s="56"/>
      <c r="AO216" s="172"/>
      <c r="AP216" s="56"/>
      <c r="AQ216" s="56"/>
      <c r="AR216" s="56"/>
      <c r="AS216" s="56"/>
      <c r="AT216" s="56"/>
      <c r="AU216" s="56"/>
      <c r="AV216" s="56"/>
      <c r="AW216" s="172"/>
      <c r="AX216" s="56"/>
      <c r="AY216" s="56"/>
      <c r="AZ216" s="56"/>
      <c r="BA216" s="172"/>
      <c r="BB216" s="56"/>
      <c r="BC216" s="10"/>
      <c r="BD216" s="56"/>
      <c r="BE216" s="56"/>
      <c r="BF216" s="56"/>
      <c r="BG216" s="56"/>
      <c r="BO216" s="145"/>
      <c r="CI216" s="145"/>
      <c r="CY216" s="145"/>
    </row>
    <row r="217" spans="1:103" s="97" customFormat="1" x14ac:dyDescent="0.15">
      <c r="A217" s="11">
        <f t="shared" si="17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6"/>
      <c r="H217" s="56"/>
      <c r="I217" s="56"/>
      <c r="J217" s="56"/>
      <c r="K217" s="56"/>
      <c r="L217" s="165"/>
      <c r="M217" s="10"/>
      <c r="N217" s="56"/>
      <c r="O217" s="56"/>
      <c r="P217" s="162" t="str">
        <f t="shared" si="18"/>
        <v/>
      </c>
      <c r="Q217" s="178" t="str">
        <f t="shared" si="19"/>
        <v/>
      </c>
      <c r="R217" s="168"/>
      <c r="S217" s="56"/>
      <c r="T217" s="56"/>
      <c r="U217" s="56"/>
      <c r="V217" s="162" t="str">
        <f t="shared" si="20"/>
        <v/>
      </c>
      <c r="W217" s="178" t="str">
        <f t="shared" si="21"/>
        <v/>
      </c>
      <c r="X217" s="172"/>
      <c r="Y217" s="10"/>
      <c r="Z217" s="56"/>
      <c r="AA217" s="56"/>
      <c r="AB217" s="56"/>
      <c r="AC217" s="56"/>
      <c r="AD217" s="56"/>
      <c r="AE217" s="174"/>
      <c r="AF217" s="56"/>
      <c r="AG217" s="56"/>
      <c r="AH217" s="172"/>
      <c r="AI217" s="56"/>
      <c r="AJ217" s="56"/>
      <c r="AK217" s="56"/>
      <c r="AL217" s="56"/>
      <c r="AM217" s="56"/>
      <c r="AN217" s="56"/>
      <c r="AO217" s="172"/>
      <c r="AP217" s="56"/>
      <c r="AQ217" s="56"/>
      <c r="AR217" s="56"/>
      <c r="AS217" s="56"/>
      <c r="AT217" s="56"/>
      <c r="AU217" s="56"/>
      <c r="AV217" s="56"/>
      <c r="AW217" s="172"/>
      <c r="AX217" s="56"/>
      <c r="AY217" s="56"/>
      <c r="AZ217" s="56"/>
      <c r="BA217" s="172"/>
      <c r="BB217" s="56"/>
      <c r="BC217" s="10"/>
      <c r="BD217" s="56"/>
      <c r="BE217" s="56"/>
      <c r="BF217" s="56"/>
      <c r="BG217" s="56"/>
      <c r="BO217" s="145"/>
      <c r="CI217" s="145"/>
      <c r="CY217" s="145"/>
    </row>
    <row r="218" spans="1:103" s="97" customFormat="1" x14ac:dyDescent="0.15">
      <c r="A218" s="11">
        <f t="shared" ref="A218:A224" si="22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6"/>
      <c r="H218" s="56"/>
      <c r="I218" s="56"/>
      <c r="J218" s="56"/>
      <c r="K218" s="56"/>
      <c r="L218" s="165"/>
      <c r="M218" s="10"/>
      <c r="N218" s="56"/>
      <c r="O218" s="56"/>
      <c r="P218" s="162" t="str">
        <f t="shared" si="18"/>
        <v/>
      </c>
      <c r="Q218" s="178" t="str">
        <f t="shared" si="19"/>
        <v/>
      </c>
      <c r="R218" s="168"/>
      <c r="S218" s="56"/>
      <c r="T218" s="56"/>
      <c r="U218" s="56"/>
      <c r="V218" s="162" t="str">
        <f t="shared" si="20"/>
        <v/>
      </c>
      <c r="W218" s="178" t="str">
        <f t="shared" si="21"/>
        <v/>
      </c>
      <c r="X218" s="172"/>
      <c r="Y218" s="10"/>
      <c r="Z218" s="56"/>
      <c r="AA218" s="56"/>
      <c r="AB218" s="56"/>
      <c r="AC218" s="56"/>
      <c r="AD218" s="56"/>
      <c r="AE218" s="174"/>
      <c r="AF218" s="56"/>
      <c r="AG218" s="56"/>
      <c r="AH218" s="172"/>
      <c r="AI218" s="56"/>
      <c r="AJ218" s="56"/>
      <c r="AK218" s="56"/>
      <c r="AL218" s="56"/>
      <c r="AM218" s="56"/>
      <c r="AN218" s="56"/>
      <c r="AO218" s="172"/>
      <c r="AP218" s="56"/>
      <c r="AQ218" s="56"/>
      <c r="AR218" s="56"/>
      <c r="AS218" s="56"/>
      <c r="AT218" s="56"/>
      <c r="AU218" s="56"/>
      <c r="AV218" s="56"/>
      <c r="AW218" s="172"/>
      <c r="AX218" s="56"/>
      <c r="AY218" s="56"/>
      <c r="AZ218" s="56"/>
      <c r="BA218" s="172"/>
      <c r="BB218" s="56"/>
      <c r="BC218" s="10"/>
      <c r="BD218" s="56"/>
      <c r="BE218" s="56"/>
      <c r="BF218" s="56"/>
      <c r="BG218" s="56"/>
      <c r="BO218" s="145"/>
      <c r="CI218" s="145"/>
      <c r="CY218" s="145"/>
    </row>
    <row r="219" spans="1:103" s="97" customFormat="1" x14ac:dyDescent="0.15">
      <c r="A219" s="11">
        <f t="shared" si="22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6"/>
      <c r="H219" s="56"/>
      <c r="I219" s="56"/>
      <c r="J219" s="56"/>
      <c r="K219" s="56"/>
      <c r="L219" s="165"/>
      <c r="M219" s="10"/>
      <c r="N219" s="56"/>
      <c r="O219" s="56"/>
      <c r="P219" s="162" t="str">
        <f t="shared" si="18"/>
        <v/>
      </c>
      <c r="Q219" s="178" t="str">
        <f t="shared" si="19"/>
        <v/>
      </c>
      <c r="R219" s="168"/>
      <c r="S219" s="56"/>
      <c r="T219" s="56"/>
      <c r="U219" s="56"/>
      <c r="V219" s="162" t="str">
        <f t="shared" si="20"/>
        <v/>
      </c>
      <c r="W219" s="178" t="str">
        <f t="shared" si="21"/>
        <v/>
      </c>
      <c r="X219" s="172"/>
      <c r="Y219" s="10"/>
      <c r="Z219" s="56"/>
      <c r="AA219" s="56"/>
      <c r="AB219" s="56"/>
      <c r="AC219" s="56"/>
      <c r="AD219" s="56"/>
      <c r="AE219" s="174"/>
      <c r="AF219" s="56"/>
      <c r="AG219" s="56"/>
      <c r="AH219" s="172"/>
      <c r="AI219" s="56"/>
      <c r="AJ219" s="56"/>
      <c r="AK219" s="56"/>
      <c r="AL219" s="56"/>
      <c r="AM219" s="56"/>
      <c r="AN219" s="56"/>
      <c r="AO219" s="172"/>
      <c r="AP219" s="56"/>
      <c r="AQ219" s="56"/>
      <c r="AR219" s="56"/>
      <c r="AS219" s="56"/>
      <c r="AT219" s="56"/>
      <c r="AU219" s="56"/>
      <c r="AV219" s="56"/>
      <c r="AW219" s="172"/>
      <c r="AX219" s="56"/>
      <c r="AY219" s="56"/>
      <c r="AZ219" s="56"/>
      <c r="BA219" s="172"/>
      <c r="BB219" s="56"/>
      <c r="BC219" s="10"/>
      <c r="BD219" s="56"/>
      <c r="BE219" s="56"/>
      <c r="BF219" s="56"/>
      <c r="BG219" s="56"/>
      <c r="BO219" s="145"/>
      <c r="CI219" s="145"/>
      <c r="CY219" s="145"/>
    </row>
    <row r="220" spans="1:103" s="97" customFormat="1" x14ac:dyDescent="0.15">
      <c r="A220" s="11">
        <f t="shared" si="22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6"/>
      <c r="H220" s="56"/>
      <c r="I220" s="56"/>
      <c r="J220" s="56"/>
      <c r="K220" s="56"/>
      <c r="L220" s="165"/>
      <c r="M220" s="10"/>
      <c r="N220" s="56"/>
      <c r="O220" s="56"/>
      <c r="P220" s="162" t="str">
        <f t="shared" si="18"/>
        <v/>
      </c>
      <c r="Q220" s="178" t="str">
        <f t="shared" si="19"/>
        <v/>
      </c>
      <c r="R220" s="168"/>
      <c r="S220" s="56"/>
      <c r="T220" s="56"/>
      <c r="U220" s="56"/>
      <c r="V220" s="162" t="str">
        <f t="shared" si="20"/>
        <v/>
      </c>
      <c r="W220" s="178" t="str">
        <f t="shared" si="21"/>
        <v/>
      </c>
      <c r="X220" s="172"/>
      <c r="Y220" s="10"/>
      <c r="Z220" s="56"/>
      <c r="AA220" s="56"/>
      <c r="AB220" s="56"/>
      <c r="AC220" s="56"/>
      <c r="AD220" s="56"/>
      <c r="AE220" s="174"/>
      <c r="AF220" s="56"/>
      <c r="AG220" s="56"/>
      <c r="AH220" s="172"/>
      <c r="AI220" s="56"/>
      <c r="AJ220" s="56"/>
      <c r="AK220" s="56"/>
      <c r="AL220" s="56"/>
      <c r="AM220" s="56"/>
      <c r="AN220" s="56"/>
      <c r="AO220" s="172"/>
      <c r="AP220" s="56"/>
      <c r="AQ220" s="56"/>
      <c r="AR220" s="56"/>
      <c r="AS220" s="56"/>
      <c r="AT220" s="56"/>
      <c r="AU220" s="56"/>
      <c r="AV220" s="56"/>
      <c r="AW220" s="172"/>
      <c r="AX220" s="56"/>
      <c r="AY220" s="56"/>
      <c r="AZ220" s="56"/>
      <c r="BA220" s="172"/>
      <c r="BB220" s="56"/>
      <c r="BC220" s="10"/>
      <c r="BD220" s="56"/>
      <c r="BE220" s="56"/>
      <c r="BF220" s="56"/>
      <c r="BG220" s="56"/>
      <c r="BO220" s="145"/>
      <c r="CI220" s="145"/>
      <c r="CY220" s="145"/>
    </row>
    <row r="221" spans="1:103" s="97" customFormat="1" x14ac:dyDescent="0.15">
      <c r="A221" s="11">
        <f t="shared" si="22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6"/>
      <c r="H221" s="56"/>
      <c r="I221" s="56"/>
      <c r="J221" s="56"/>
      <c r="K221" s="56"/>
      <c r="L221" s="165"/>
      <c r="M221" s="10"/>
      <c r="N221" s="56"/>
      <c r="O221" s="56"/>
      <c r="P221" s="162" t="str">
        <f t="shared" si="18"/>
        <v/>
      </c>
      <c r="Q221" s="178" t="str">
        <f t="shared" si="19"/>
        <v/>
      </c>
      <c r="R221" s="168"/>
      <c r="S221" s="56"/>
      <c r="T221" s="56"/>
      <c r="U221" s="56"/>
      <c r="V221" s="162" t="str">
        <f t="shared" si="20"/>
        <v/>
      </c>
      <c r="W221" s="178" t="str">
        <f t="shared" si="21"/>
        <v/>
      </c>
      <c r="X221" s="172"/>
      <c r="Y221" s="10"/>
      <c r="Z221" s="56"/>
      <c r="AA221" s="56"/>
      <c r="AB221" s="56"/>
      <c r="AC221" s="56"/>
      <c r="AD221" s="56"/>
      <c r="AE221" s="174"/>
      <c r="AF221" s="56"/>
      <c r="AG221" s="56"/>
      <c r="AH221" s="172"/>
      <c r="AI221" s="56"/>
      <c r="AJ221" s="56"/>
      <c r="AK221" s="56"/>
      <c r="AL221" s="56"/>
      <c r="AM221" s="56"/>
      <c r="AN221" s="56"/>
      <c r="AO221" s="172"/>
      <c r="AP221" s="56"/>
      <c r="AQ221" s="56"/>
      <c r="AR221" s="56"/>
      <c r="AS221" s="56"/>
      <c r="AT221" s="56"/>
      <c r="AU221" s="56"/>
      <c r="AV221" s="56"/>
      <c r="AW221" s="172"/>
      <c r="AX221" s="56"/>
      <c r="AY221" s="56"/>
      <c r="AZ221" s="56"/>
      <c r="BA221" s="172"/>
      <c r="BB221" s="56"/>
      <c r="BC221" s="10"/>
      <c r="BD221" s="56"/>
      <c r="BE221" s="56"/>
      <c r="BF221" s="56"/>
      <c r="BG221" s="56"/>
      <c r="BO221" s="145"/>
      <c r="CI221" s="145"/>
      <c r="CY221" s="145"/>
    </row>
    <row r="222" spans="1:103" s="97" customFormat="1" x14ac:dyDescent="0.15">
      <c r="A222" s="11">
        <f t="shared" si="22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6"/>
      <c r="H222" s="56"/>
      <c r="I222" s="56"/>
      <c r="J222" s="56"/>
      <c r="K222" s="56"/>
      <c r="L222" s="165"/>
      <c r="M222" s="10"/>
      <c r="N222" s="56"/>
      <c r="O222" s="56"/>
      <c r="P222" s="162" t="str">
        <f t="shared" si="18"/>
        <v/>
      </c>
      <c r="Q222" s="178" t="str">
        <f t="shared" si="19"/>
        <v/>
      </c>
      <c r="R222" s="168"/>
      <c r="S222" s="56"/>
      <c r="T222" s="56"/>
      <c r="U222" s="56"/>
      <c r="V222" s="162" t="str">
        <f t="shared" si="20"/>
        <v/>
      </c>
      <c r="W222" s="178" t="str">
        <f t="shared" si="21"/>
        <v/>
      </c>
      <c r="X222" s="172"/>
      <c r="Y222" s="10"/>
      <c r="Z222" s="56"/>
      <c r="AA222" s="56"/>
      <c r="AB222" s="56"/>
      <c r="AC222" s="56"/>
      <c r="AD222" s="56"/>
      <c r="AE222" s="174"/>
      <c r="AF222" s="56"/>
      <c r="AG222" s="56"/>
      <c r="AH222" s="172"/>
      <c r="AI222" s="56"/>
      <c r="AJ222" s="56"/>
      <c r="AK222" s="56"/>
      <c r="AL222" s="56"/>
      <c r="AM222" s="56"/>
      <c r="AN222" s="56"/>
      <c r="AO222" s="172"/>
      <c r="AP222" s="56"/>
      <c r="AQ222" s="56"/>
      <c r="AR222" s="56"/>
      <c r="AS222" s="56"/>
      <c r="AT222" s="56"/>
      <c r="AU222" s="56"/>
      <c r="AV222" s="56"/>
      <c r="AW222" s="172"/>
      <c r="AX222" s="56"/>
      <c r="AY222" s="56"/>
      <c r="AZ222" s="56"/>
      <c r="BA222" s="172"/>
      <c r="BB222" s="56"/>
      <c r="BC222" s="10"/>
      <c r="BD222" s="56"/>
      <c r="BE222" s="56"/>
      <c r="BF222" s="56"/>
      <c r="BG222" s="56"/>
      <c r="BO222" s="145"/>
      <c r="CI222" s="145"/>
      <c r="CY222" s="145"/>
    </row>
    <row r="223" spans="1:103" s="97" customFormat="1" x14ac:dyDescent="0.15">
      <c r="A223" s="11">
        <f t="shared" si="22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6"/>
      <c r="H223" s="56"/>
      <c r="I223" s="56"/>
      <c r="J223" s="56"/>
      <c r="K223" s="56"/>
      <c r="L223" s="165"/>
      <c r="M223" s="10"/>
      <c r="N223" s="56"/>
      <c r="O223" s="56"/>
      <c r="P223" s="162" t="str">
        <f t="shared" si="18"/>
        <v/>
      </c>
      <c r="Q223" s="178" t="str">
        <f t="shared" si="19"/>
        <v/>
      </c>
      <c r="R223" s="168"/>
      <c r="S223" s="56"/>
      <c r="T223" s="56"/>
      <c r="U223" s="56"/>
      <c r="V223" s="162" t="str">
        <f t="shared" si="20"/>
        <v/>
      </c>
      <c r="W223" s="178" t="str">
        <f t="shared" si="21"/>
        <v/>
      </c>
      <c r="X223" s="172"/>
      <c r="Y223" s="10"/>
      <c r="Z223" s="56"/>
      <c r="AA223" s="56"/>
      <c r="AB223" s="56"/>
      <c r="AC223" s="56"/>
      <c r="AD223" s="56"/>
      <c r="AE223" s="174"/>
      <c r="AF223" s="56"/>
      <c r="AG223" s="56"/>
      <c r="AH223" s="172"/>
      <c r="AI223" s="56"/>
      <c r="AJ223" s="56"/>
      <c r="AK223" s="56"/>
      <c r="AL223" s="56"/>
      <c r="AM223" s="56"/>
      <c r="AN223" s="56"/>
      <c r="AO223" s="172"/>
      <c r="AP223" s="56"/>
      <c r="AQ223" s="56"/>
      <c r="AR223" s="56"/>
      <c r="AS223" s="56"/>
      <c r="AT223" s="56"/>
      <c r="AU223" s="56"/>
      <c r="AV223" s="56"/>
      <c r="AW223" s="172"/>
      <c r="AX223" s="56"/>
      <c r="AY223" s="56"/>
      <c r="AZ223" s="56"/>
      <c r="BA223" s="172"/>
      <c r="BB223" s="56"/>
      <c r="BC223" s="10"/>
      <c r="BD223" s="56"/>
      <c r="BE223" s="56"/>
      <c r="BF223" s="56"/>
      <c r="BG223" s="56"/>
      <c r="BO223" s="145"/>
      <c r="CI223" s="145"/>
      <c r="CY223" s="145"/>
    </row>
    <row r="224" spans="1:103" s="97" customFormat="1" ht="17.25" thickBot="1" x14ac:dyDescent="0.2">
      <c r="A224" s="11">
        <f t="shared" si="22"/>
        <v>60100020</v>
      </c>
      <c r="B224" s="112">
        <v>6</v>
      </c>
      <c r="C224" s="12">
        <v>0</v>
      </c>
      <c r="D224" s="112">
        <v>10</v>
      </c>
      <c r="E224" s="112">
        <v>0</v>
      </c>
      <c r="F224" s="113">
        <v>20</v>
      </c>
      <c r="G224" s="56"/>
      <c r="H224" s="56"/>
      <c r="I224" s="56"/>
      <c r="J224" s="56"/>
      <c r="K224" s="56"/>
      <c r="L224" s="165"/>
      <c r="M224" s="10"/>
      <c r="N224" s="56"/>
      <c r="O224" s="56"/>
      <c r="P224" s="162" t="str">
        <f t="shared" si="18"/>
        <v/>
      </c>
      <c r="Q224" s="178" t="str">
        <f t="shared" si="19"/>
        <v/>
      </c>
      <c r="R224" s="168"/>
      <c r="S224" s="56"/>
      <c r="T224" s="56"/>
      <c r="U224" s="56"/>
      <c r="V224" s="162" t="str">
        <f t="shared" si="20"/>
        <v/>
      </c>
      <c r="W224" s="178" t="str">
        <f t="shared" si="21"/>
        <v/>
      </c>
      <c r="X224" s="172"/>
      <c r="Y224" s="10"/>
      <c r="Z224" s="56"/>
      <c r="AA224" s="56"/>
      <c r="AB224" s="56"/>
      <c r="AC224" s="56"/>
      <c r="AD224" s="56"/>
      <c r="AE224" s="174"/>
      <c r="AF224" s="56"/>
      <c r="AG224" s="56"/>
      <c r="AH224" s="172"/>
      <c r="AI224" s="56"/>
      <c r="AJ224" s="56"/>
      <c r="AK224" s="56"/>
      <c r="AL224" s="56"/>
      <c r="AM224" s="56"/>
      <c r="AN224" s="56"/>
      <c r="AO224" s="172"/>
      <c r="AP224" s="56"/>
      <c r="AQ224" s="56"/>
      <c r="AR224" s="56"/>
      <c r="AS224" s="56"/>
      <c r="AT224" s="56"/>
      <c r="AU224" s="56"/>
      <c r="AV224" s="56"/>
      <c r="AW224" s="172"/>
      <c r="AX224" s="56"/>
      <c r="AY224" s="56"/>
      <c r="AZ224" s="56"/>
      <c r="BA224" s="172"/>
      <c r="BB224" s="56"/>
      <c r="BC224" s="10"/>
      <c r="BD224" s="56"/>
      <c r="BE224" s="56"/>
      <c r="BF224" s="56"/>
      <c r="BG224" s="56"/>
      <c r="BO224" s="145"/>
      <c r="CI224" s="145"/>
      <c r="CY224" s="145"/>
    </row>
    <row r="225" spans="1:103" s="114" customFormat="1" x14ac:dyDescent="0.15">
      <c r="A225" s="18"/>
      <c r="B225" s="20"/>
      <c r="C225" s="19"/>
      <c r="D225" s="20"/>
      <c r="E225" s="20"/>
      <c r="F225" s="19"/>
      <c r="G225" s="57"/>
      <c r="H225" s="57"/>
      <c r="I225" s="57"/>
      <c r="J225" s="57"/>
      <c r="K225" s="57"/>
      <c r="L225" s="167"/>
      <c r="M225" s="17"/>
      <c r="N225" s="57"/>
      <c r="O225" s="57"/>
      <c r="P225" s="163"/>
      <c r="Q225" s="179"/>
      <c r="R225" s="169"/>
      <c r="S225" s="57"/>
      <c r="T225" s="57"/>
      <c r="U225" s="57"/>
      <c r="V225" s="163"/>
      <c r="W225" s="179"/>
      <c r="X225" s="173"/>
      <c r="Y225" s="17"/>
      <c r="Z225" s="57"/>
      <c r="AA225" s="57"/>
      <c r="AB225" s="57"/>
      <c r="AC225" s="57"/>
      <c r="AD225" s="57"/>
      <c r="AE225" s="176"/>
      <c r="AF225" s="57"/>
      <c r="AG225" s="57"/>
      <c r="AH225" s="173"/>
      <c r="AI225" s="57"/>
      <c r="AJ225" s="57"/>
      <c r="AK225" s="57"/>
      <c r="AL225" s="57"/>
      <c r="AM225" s="57"/>
      <c r="AN225" s="57"/>
      <c r="AO225" s="173"/>
      <c r="AP225" s="57"/>
      <c r="AQ225" s="57"/>
      <c r="AR225" s="57"/>
      <c r="AS225" s="57"/>
      <c r="AT225" s="57"/>
      <c r="AU225" s="57"/>
      <c r="AV225" s="57"/>
      <c r="AW225" s="173"/>
      <c r="AX225" s="57"/>
      <c r="AY225" s="57"/>
      <c r="AZ225" s="57"/>
      <c r="BA225" s="173"/>
      <c r="BB225" s="57"/>
      <c r="BC225" s="17"/>
      <c r="BD225" s="57"/>
      <c r="BE225" s="57"/>
      <c r="BF225" s="57"/>
      <c r="BG225" s="57"/>
      <c r="BO225" s="144"/>
      <c r="CI225" s="144"/>
      <c r="CY225" s="144"/>
    </row>
    <row r="226" spans="1:103" s="97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65"/>
      <c r="M226" s="10"/>
      <c r="N226" s="56"/>
      <c r="O226" s="56"/>
      <c r="P226" s="162"/>
      <c r="Q226" s="178"/>
      <c r="R226" s="168"/>
      <c r="S226" s="56"/>
      <c r="T226" s="56"/>
      <c r="U226" s="56"/>
      <c r="V226" s="162"/>
      <c r="W226" s="178"/>
      <c r="X226" s="172"/>
      <c r="Y226" s="10"/>
      <c r="Z226" s="56"/>
      <c r="AA226" s="56"/>
      <c r="AB226" s="56"/>
      <c r="AC226" s="56"/>
      <c r="AD226" s="56"/>
      <c r="AE226" s="174"/>
      <c r="AF226" s="56"/>
      <c r="AG226" s="56"/>
      <c r="AH226" s="172"/>
      <c r="AI226" s="56"/>
      <c r="AJ226" s="56"/>
      <c r="AK226" s="56"/>
      <c r="AL226" s="56"/>
      <c r="AM226" s="56"/>
      <c r="AN226" s="56"/>
      <c r="AO226" s="172"/>
      <c r="AP226" s="56"/>
      <c r="AQ226" s="56"/>
      <c r="AR226" s="56"/>
      <c r="AS226" s="56"/>
      <c r="AT226" s="56"/>
      <c r="AU226" s="56"/>
      <c r="AV226" s="56"/>
      <c r="AW226" s="172"/>
      <c r="AX226" s="56"/>
      <c r="AY226" s="56"/>
      <c r="AZ226" s="56"/>
      <c r="BA226" s="172"/>
      <c r="BB226" s="56"/>
      <c r="BC226" s="10"/>
      <c r="BD226" s="56"/>
      <c r="BE226" s="56"/>
      <c r="BF226" s="56"/>
      <c r="BG226" s="56"/>
      <c r="BO226" s="145"/>
      <c r="CI226" s="145"/>
      <c r="CY226" s="145"/>
    </row>
    <row r="227" spans="1:103" s="97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65"/>
      <c r="M227" s="10"/>
      <c r="N227" s="56"/>
      <c r="O227" s="56"/>
      <c r="P227" s="162"/>
      <c r="Q227" s="178"/>
      <c r="R227" s="168"/>
      <c r="S227" s="56"/>
      <c r="T227" s="56"/>
      <c r="U227" s="56"/>
      <c r="V227" s="162"/>
      <c r="W227" s="178"/>
      <c r="X227" s="172"/>
      <c r="Y227" s="10"/>
      <c r="Z227" s="56"/>
      <c r="AA227" s="56"/>
      <c r="AB227" s="56"/>
      <c r="AC227" s="56"/>
      <c r="AD227" s="56"/>
      <c r="AE227" s="174"/>
      <c r="AF227" s="56"/>
      <c r="AG227" s="56"/>
      <c r="AH227" s="172"/>
      <c r="AI227" s="56"/>
      <c r="AJ227" s="56"/>
      <c r="AK227" s="56"/>
      <c r="AL227" s="56"/>
      <c r="AM227" s="56"/>
      <c r="AN227" s="56"/>
      <c r="AO227" s="172"/>
      <c r="AP227" s="56"/>
      <c r="AQ227" s="56"/>
      <c r="AR227" s="56"/>
      <c r="AS227" s="56"/>
      <c r="AT227" s="56"/>
      <c r="AU227" s="56"/>
      <c r="AV227" s="56"/>
      <c r="AW227" s="172"/>
      <c r="AX227" s="56"/>
      <c r="AY227" s="56"/>
      <c r="AZ227" s="56"/>
      <c r="BA227" s="172"/>
      <c r="BB227" s="56"/>
      <c r="BC227" s="10"/>
      <c r="BD227" s="56"/>
      <c r="BE227" s="56"/>
      <c r="BF227" s="56"/>
      <c r="BG227" s="56"/>
      <c r="BO227" s="145"/>
      <c r="CI227" s="145"/>
      <c r="CY227" s="145"/>
    </row>
    <row r="228" spans="1:103" s="97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65"/>
      <c r="M228" s="10"/>
      <c r="N228" s="56"/>
      <c r="O228" s="56"/>
      <c r="P228" s="162"/>
      <c r="Q228" s="178"/>
      <c r="R228" s="168"/>
      <c r="S228" s="56"/>
      <c r="T228" s="56"/>
      <c r="U228" s="56"/>
      <c r="V228" s="162"/>
      <c r="W228" s="178"/>
      <c r="X228" s="172"/>
      <c r="Y228" s="10"/>
      <c r="Z228" s="56"/>
      <c r="AA228" s="56"/>
      <c r="AB228" s="56"/>
      <c r="AC228" s="56"/>
      <c r="AD228" s="56"/>
      <c r="AE228" s="174"/>
      <c r="AF228" s="56"/>
      <c r="AG228" s="56"/>
      <c r="AH228" s="172"/>
      <c r="AI228" s="56"/>
      <c r="AJ228" s="56"/>
      <c r="AK228" s="56"/>
      <c r="AL228" s="56"/>
      <c r="AM228" s="56"/>
      <c r="AN228" s="56"/>
      <c r="AO228" s="172"/>
      <c r="AP228" s="56"/>
      <c r="AQ228" s="56"/>
      <c r="AR228" s="56"/>
      <c r="AS228" s="56"/>
      <c r="AT228" s="56"/>
      <c r="AU228" s="56"/>
      <c r="AV228" s="56"/>
      <c r="AW228" s="172"/>
      <c r="AX228" s="56"/>
      <c r="AY228" s="56"/>
      <c r="AZ228" s="56"/>
      <c r="BA228" s="172"/>
      <c r="BB228" s="56"/>
      <c r="BC228" s="10"/>
      <c r="BD228" s="56"/>
      <c r="BE228" s="56"/>
      <c r="BF228" s="56"/>
      <c r="BG228" s="56"/>
      <c r="BO228" s="145"/>
      <c r="CI228" s="145"/>
      <c r="CY228" s="145"/>
    </row>
    <row r="229" spans="1:103" s="97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65"/>
      <c r="M229" s="10"/>
      <c r="N229" s="56"/>
      <c r="O229" s="56"/>
      <c r="P229" s="162"/>
      <c r="Q229" s="178"/>
      <c r="R229" s="168"/>
      <c r="S229" s="56"/>
      <c r="T229" s="56"/>
      <c r="U229" s="56"/>
      <c r="V229" s="162"/>
      <c r="W229" s="178"/>
      <c r="X229" s="172"/>
      <c r="Y229" s="10"/>
      <c r="Z229" s="56"/>
      <c r="AA229" s="56"/>
      <c r="AB229" s="56"/>
      <c r="AC229" s="56"/>
      <c r="AD229" s="56"/>
      <c r="AE229" s="174"/>
      <c r="AF229" s="56"/>
      <c r="AG229" s="56"/>
      <c r="AH229" s="172"/>
      <c r="AI229" s="56"/>
      <c r="AJ229" s="56"/>
      <c r="AK229" s="56"/>
      <c r="AL229" s="56"/>
      <c r="AM229" s="56"/>
      <c r="AN229" s="56"/>
      <c r="AO229" s="172"/>
      <c r="AP229" s="56"/>
      <c r="AQ229" s="56"/>
      <c r="AR229" s="56"/>
      <c r="AS229" s="56"/>
      <c r="AT229" s="56"/>
      <c r="AU229" s="56"/>
      <c r="AV229" s="56"/>
      <c r="AW229" s="172"/>
      <c r="AX229" s="56"/>
      <c r="AY229" s="56"/>
      <c r="AZ229" s="56"/>
      <c r="BA229" s="172"/>
      <c r="BB229" s="56"/>
      <c r="BC229" s="10"/>
      <c r="BD229" s="56"/>
      <c r="BE229" s="56"/>
      <c r="BF229" s="56"/>
      <c r="BG229" s="56"/>
      <c r="BO229" s="145"/>
      <c r="CI229" s="145"/>
      <c r="CY229" s="145"/>
    </row>
    <row r="230" spans="1:103" s="97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65"/>
      <c r="M230" s="10"/>
      <c r="N230" s="56"/>
      <c r="O230" s="56"/>
      <c r="P230" s="162"/>
      <c r="Q230" s="178"/>
      <c r="R230" s="168"/>
      <c r="S230" s="56"/>
      <c r="T230" s="56"/>
      <c r="U230" s="56"/>
      <c r="V230" s="162"/>
      <c r="W230" s="178"/>
      <c r="X230" s="172"/>
      <c r="Y230" s="10"/>
      <c r="Z230" s="56"/>
      <c r="AA230" s="56"/>
      <c r="AB230" s="56"/>
      <c r="AC230" s="56"/>
      <c r="AD230" s="56"/>
      <c r="AE230" s="174"/>
      <c r="AF230" s="56"/>
      <c r="AG230" s="56"/>
      <c r="AH230" s="172"/>
      <c r="AI230" s="56"/>
      <c r="AJ230" s="56"/>
      <c r="AK230" s="56"/>
      <c r="AL230" s="56"/>
      <c r="AM230" s="56"/>
      <c r="AN230" s="56"/>
      <c r="AO230" s="172"/>
      <c r="AP230" s="56"/>
      <c r="AQ230" s="56"/>
      <c r="AR230" s="56"/>
      <c r="AS230" s="56"/>
      <c r="AT230" s="56"/>
      <c r="AU230" s="56"/>
      <c r="AV230" s="56"/>
      <c r="AW230" s="172"/>
      <c r="AX230" s="56"/>
      <c r="AY230" s="56"/>
      <c r="AZ230" s="56"/>
      <c r="BA230" s="172"/>
      <c r="BB230" s="56"/>
      <c r="BC230" s="10"/>
      <c r="BD230" s="56"/>
      <c r="BE230" s="56"/>
      <c r="BF230" s="56"/>
      <c r="BG230" s="56"/>
      <c r="BO230" s="145"/>
      <c r="CI230" s="145"/>
      <c r="CY230" s="145"/>
    </row>
    <row r="231" spans="1:103" s="97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65"/>
      <c r="M231" s="10"/>
      <c r="N231" s="56"/>
      <c r="O231" s="56"/>
      <c r="P231" s="162"/>
      <c r="Q231" s="178"/>
      <c r="R231" s="168"/>
      <c r="S231" s="56"/>
      <c r="T231" s="56"/>
      <c r="U231" s="56"/>
      <c r="V231" s="162"/>
      <c r="W231" s="178"/>
      <c r="X231" s="172"/>
      <c r="Y231" s="10"/>
      <c r="Z231" s="56"/>
      <c r="AA231" s="56"/>
      <c r="AB231" s="56"/>
      <c r="AC231" s="56"/>
      <c r="AD231" s="56"/>
      <c r="AE231" s="174"/>
      <c r="AF231" s="56"/>
      <c r="AG231" s="56"/>
      <c r="AH231" s="172"/>
      <c r="AI231" s="56"/>
      <c r="AJ231" s="56"/>
      <c r="AK231" s="56"/>
      <c r="AL231" s="56"/>
      <c r="AM231" s="56"/>
      <c r="AN231" s="56"/>
      <c r="AO231" s="172"/>
      <c r="AP231" s="56"/>
      <c r="AQ231" s="56"/>
      <c r="AR231" s="56"/>
      <c r="AS231" s="56"/>
      <c r="AT231" s="56"/>
      <c r="AU231" s="56"/>
      <c r="AV231" s="56"/>
      <c r="AW231" s="172"/>
      <c r="AX231" s="56"/>
      <c r="AY231" s="56"/>
      <c r="AZ231" s="56"/>
      <c r="BA231" s="172"/>
      <c r="BB231" s="56"/>
      <c r="BC231" s="10"/>
      <c r="BD231" s="56"/>
      <c r="BE231" s="56"/>
      <c r="BF231" s="56"/>
      <c r="BG231" s="56"/>
      <c r="BO231" s="145"/>
      <c r="CI231" s="145"/>
      <c r="CY231" s="145"/>
    </row>
    <row r="232" spans="1:103" s="97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65"/>
      <c r="M232" s="10"/>
      <c r="N232" s="56"/>
      <c r="O232" s="56"/>
      <c r="P232" s="162"/>
      <c r="Q232" s="178"/>
      <c r="R232" s="168"/>
      <c r="S232" s="56"/>
      <c r="T232" s="56"/>
      <c r="U232" s="56"/>
      <c r="V232" s="162"/>
      <c r="W232" s="178"/>
      <c r="X232" s="172"/>
      <c r="Y232" s="10"/>
      <c r="Z232" s="56"/>
      <c r="AA232" s="56"/>
      <c r="AB232" s="56"/>
      <c r="AC232" s="56"/>
      <c r="AD232" s="56"/>
      <c r="AE232" s="174"/>
      <c r="AF232" s="56"/>
      <c r="AG232" s="56"/>
      <c r="AH232" s="172"/>
      <c r="AI232" s="56"/>
      <c r="AJ232" s="56"/>
      <c r="AK232" s="56"/>
      <c r="AL232" s="56"/>
      <c r="AM232" s="56"/>
      <c r="AN232" s="56"/>
      <c r="AO232" s="172"/>
      <c r="AP232" s="56"/>
      <c r="AQ232" s="56"/>
      <c r="AR232" s="56"/>
      <c r="AS232" s="56"/>
      <c r="AT232" s="56"/>
      <c r="AU232" s="56"/>
      <c r="AV232" s="56"/>
      <c r="AW232" s="172"/>
      <c r="AX232" s="56"/>
      <c r="AY232" s="56"/>
      <c r="AZ232" s="56"/>
      <c r="BA232" s="172"/>
      <c r="BB232" s="56"/>
      <c r="BC232" s="10"/>
      <c r="BD232" s="56"/>
      <c r="BE232" s="56"/>
      <c r="BF232" s="56"/>
      <c r="BG232" s="56"/>
      <c r="BO232" s="145"/>
      <c r="CI232" s="145"/>
      <c r="CY232" s="145"/>
    </row>
    <row r="233" spans="1:103" s="97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65"/>
      <c r="M233" s="10"/>
      <c r="N233" s="56"/>
      <c r="O233" s="56"/>
      <c r="P233" s="162"/>
      <c r="Q233" s="178"/>
      <c r="R233" s="168"/>
      <c r="S233" s="56"/>
      <c r="T233" s="56"/>
      <c r="U233" s="56"/>
      <c r="V233" s="162"/>
      <c r="W233" s="178"/>
      <c r="X233" s="172"/>
      <c r="Y233" s="10"/>
      <c r="Z233" s="56"/>
      <c r="AA233" s="56"/>
      <c r="AB233" s="56"/>
      <c r="AC233" s="56"/>
      <c r="AD233" s="56"/>
      <c r="AE233" s="174"/>
      <c r="AF233" s="56"/>
      <c r="AG233" s="56"/>
      <c r="AH233" s="172"/>
      <c r="AI233" s="56"/>
      <c r="AJ233" s="56"/>
      <c r="AK233" s="56"/>
      <c r="AL233" s="56"/>
      <c r="AM233" s="56"/>
      <c r="AN233" s="56"/>
      <c r="AO233" s="172"/>
      <c r="AP233" s="56"/>
      <c r="AQ233" s="56"/>
      <c r="AR233" s="56"/>
      <c r="AS233" s="56"/>
      <c r="AT233" s="56"/>
      <c r="AU233" s="56"/>
      <c r="AV233" s="56"/>
      <c r="AW233" s="172"/>
      <c r="AX233" s="56"/>
      <c r="AY233" s="56"/>
      <c r="AZ233" s="56"/>
      <c r="BA233" s="172"/>
      <c r="BB233" s="56"/>
      <c r="BC233" s="10"/>
      <c r="BD233" s="56"/>
      <c r="BE233" s="56"/>
      <c r="BF233" s="56"/>
      <c r="BG233" s="56"/>
      <c r="BO233" s="145"/>
      <c r="CI233" s="145"/>
      <c r="CY233" s="145"/>
    </row>
    <row r="234" spans="1:103" s="97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65"/>
      <c r="M234" s="10"/>
      <c r="N234" s="56"/>
      <c r="O234" s="56"/>
      <c r="P234" s="162"/>
      <c r="Q234" s="178"/>
      <c r="R234" s="168"/>
      <c r="S234" s="56"/>
      <c r="T234" s="56"/>
      <c r="U234" s="56"/>
      <c r="V234" s="162"/>
      <c r="W234" s="178"/>
      <c r="X234" s="172"/>
      <c r="Y234" s="10"/>
      <c r="Z234" s="56"/>
      <c r="AA234" s="56"/>
      <c r="AB234" s="56"/>
      <c r="AC234" s="56"/>
      <c r="AD234" s="56"/>
      <c r="AE234" s="174"/>
      <c r="AF234" s="56"/>
      <c r="AG234" s="56"/>
      <c r="AH234" s="172"/>
      <c r="AI234" s="56"/>
      <c r="AJ234" s="56"/>
      <c r="AK234" s="56"/>
      <c r="AL234" s="56"/>
      <c r="AM234" s="56"/>
      <c r="AN234" s="56"/>
      <c r="AO234" s="172"/>
      <c r="AP234" s="56"/>
      <c r="AQ234" s="56"/>
      <c r="AR234" s="56"/>
      <c r="AS234" s="56"/>
      <c r="AT234" s="56"/>
      <c r="AU234" s="56"/>
      <c r="AV234" s="56"/>
      <c r="AW234" s="172"/>
      <c r="AX234" s="56"/>
      <c r="AY234" s="56"/>
      <c r="AZ234" s="56"/>
      <c r="BA234" s="172"/>
      <c r="BB234" s="56"/>
      <c r="BC234" s="10"/>
      <c r="BD234" s="56"/>
      <c r="BE234" s="56"/>
      <c r="BF234" s="56"/>
      <c r="BG234" s="56"/>
      <c r="BO234" s="145"/>
      <c r="CI234" s="145"/>
      <c r="CY234" s="145"/>
    </row>
    <row r="235" spans="1:103" s="97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65"/>
      <c r="M235" s="10"/>
      <c r="N235" s="56"/>
      <c r="O235" s="56"/>
      <c r="P235" s="162"/>
      <c r="Q235" s="178"/>
      <c r="R235" s="168"/>
      <c r="S235" s="56"/>
      <c r="T235" s="56"/>
      <c r="U235" s="56"/>
      <c r="V235" s="162"/>
      <c r="W235" s="178"/>
      <c r="X235" s="172"/>
      <c r="Y235" s="10"/>
      <c r="Z235" s="56"/>
      <c r="AA235" s="56"/>
      <c r="AB235" s="56"/>
      <c r="AC235" s="56"/>
      <c r="AD235" s="56"/>
      <c r="AE235" s="174"/>
      <c r="AF235" s="56"/>
      <c r="AG235" s="56"/>
      <c r="AH235" s="172"/>
      <c r="AI235" s="56"/>
      <c r="AJ235" s="56"/>
      <c r="AK235" s="56"/>
      <c r="AL235" s="56"/>
      <c r="AM235" s="56"/>
      <c r="AN235" s="56"/>
      <c r="AO235" s="172"/>
      <c r="AP235" s="56"/>
      <c r="AQ235" s="56"/>
      <c r="AR235" s="56"/>
      <c r="AS235" s="56"/>
      <c r="AT235" s="56"/>
      <c r="AU235" s="56"/>
      <c r="AV235" s="56"/>
      <c r="AW235" s="172"/>
      <c r="AX235" s="56"/>
      <c r="AY235" s="56"/>
      <c r="AZ235" s="56"/>
      <c r="BA235" s="172"/>
      <c r="BB235" s="56"/>
      <c r="BC235" s="10"/>
      <c r="BD235" s="56"/>
      <c r="BE235" s="56"/>
      <c r="BF235" s="56"/>
      <c r="BG235" s="56"/>
      <c r="BO235" s="145"/>
      <c r="CI235" s="145"/>
      <c r="CY235" s="145"/>
    </row>
    <row r="236" spans="1:103" s="97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65"/>
      <c r="M236" s="10"/>
      <c r="N236" s="56"/>
      <c r="O236" s="56"/>
      <c r="P236" s="162"/>
      <c r="Q236" s="178"/>
      <c r="R236" s="168"/>
      <c r="S236" s="56"/>
      <c r="T236" s="56"/>
      <c r="U236" s="56"/>
      <c r="V236" s="162"/>
      <c r="W236" s="178"/>
      <c r="X236" s="172"/>
      <c r="Y236" s="10"/>
      <c r="Z236" s="56"/>
      <c r="AA236" s="56"/>
      <c r="AB236" s="56"/>
      <c r="AC236" s="56"/>
      <c r="AD236" s="56"/>
      <c r="AE236" s="174"/>
      <c r="AF236" s="56"/>
      <c r="AG236" s="56"/>
      <c r="AH236" s="172"/>
      <c r="AI236" s="56"/>
      <c r="AJ236" s="56"/>
      <c r="AK236" s="56"/>
      <c r="AL236" s="56"/>
      <c r="AM236" s="56"/>
      <c r="AN236" s="56"/>
      <c r="AO236" s="172"/>
      <c r="AP236" s="56"/>
      <c r="AQ236" s="56"/>
      <c r="AR236" s="56"/>
      <c r="AS236" s="56"/>
      <c r="AT236" s="56"/>
      <c r="AU236" s="56"/>
      <c r="AV236" s="56"/>
      <c r="AW236" s="172"/>
      <c r="AX236" s="56"/>
      <c r="AY236" s="56"/>
      <c r="AZ236" s="56"/>
      <c r="BA236" s="172"/>
      <c r="BB236" s="56"/>
      <c r="BC236" s="10"/>
      <c r="BD236" s="56"/>
      <c r="BE236" s="56"/>
      <c r="BF236" s="56"/>
      <c r="BG236" s="56"/>
      <c r="BO236" s="145"/>
      <c r="CI236" s="145"/>
      <c r="CY236" s="145"/>
    </row>
    <row r="237" spans="1:103" s="97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65"/>
      <c r="M237" s="10"/>
      <c r="N237" s="56"/>
      <c r="O237" s="56"/>
      <c r="P237" s="162"/>
      <c r="Q237" s="178"/>
      <c r="R237" s="168"/>
      <c r="S237" s="56"/>
      <c r="T237" s="56"/>
      <c r="U237" s="56"/>
      <c r="V237" s="162"/>
      <c r="W237" s="178"/>
      <c r="X237" s="172"/>
      <c r="Y237" s="10"/>
      <c r="Z237" s="56"/>
      <c r="AA237" s="56"/>
      <c r="AB237" s="56"/>
      <c r="AC237" s="56"/>
      <c r="AD237" s="56"/>
      <c r="AE237" s="174"/>
      <c r="AF237" s="56"/>
      <c r="AG237" s="56"/>
      <c r="AH237" s="172"/>
      <c r="AI237" s="56"/>
      <c r="AJ237" s="56"/>
      <c r="AK237" s="56"/>
      <c r="AL237" s="56"/>
      <c r="AM237" s="56"/>
      <c r="AN237" s="56"/>
      <c r="AO237" s="172"/>
      <c r="AP237" s="56"/>
      <c r="AQ237" s="56"/>
      <c r="AR237" s="56"/>
      <c r="AS237" s="56"/>
      <c r="AT237" s="56"/>
      <c r="AU237" s="56"/>
      <c r="AV237" s="56"/>
      <c r="AW237" s="172"/>
      <c r="AX237" s="56"/>
      <c r="AY237" s="56"/>
      <c r="AZ237" s="56"/>
      <c r="BA237" s="172"/>
      <c r="BB237" s="56"/>
      <c r="BC237" s="10"/>
      <c r="BD237" s="56"/>
      <c r="BE237" s="56"/>
      <c r="BF237" s="56"/>
      <c r="BG237" s="56"/>
      <c r="BO237" s="145"/>
      <c r="CI237" s="145"/>
      <c r="CY237" s="145"/>
    </row>
    <row r="238" spans="1:103" s="97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65"/>
      <c r="M238" s="10"/>
      <c r="N238" s="56"/>
      <c r="O238" s="56"/>
      <c r="P238" s="162"/>
      <c r="Q238" s="178"/>
      <c r="R238" s="168"/>
      <c r="S238" s="56"/>
      <c r="T238" s="56"/>
      <c r="U238" s="56"/>
      <c r="V238" s="162"/>
      <c r="W238" s="178"/>
      <c r="X238" s="172"/>
      <c r="Y238" s="10"/>
      <c r="Z238" s="56"/>
      <c r="AA238" s="56"/>
      <c r="AB238" s="56"/>
      <c r="AC238" s="56"/>
      <c r="AD238" s="56"/>
      <c r="AE238" s="174"/>
      <c r="AF238" s="56"/>
      <c r="AG238" s="56"/>
      <c r="AH238" s="172"/>
      <c r="AI238" s="56"/>
      <c r="AJ238" s="56"/>
      <c r="AK238" s="56"/>
      <c r="AL238" s="56"/>
      <c r="AM238" s="56"/>
      <c r="AN238" s="56"/>
      <c r="AO238" s="172"/>
      <c r="AP238" s="56"/>
      <c r="AQ238" s="56"/>
      <c r="AR238" s="56"/>
      <c r="AS238" s="56"/>
      <c r="AT238" s="56"/>
      <c r="AU238" s="56"/>
      <c r="AV238" s="56"/>
      <c r="AW238" s="172"/>
      <c r="AX238" s="56"/>
      <c r="AY238" s="56"/>
      <c r="AZ238" s="56"/>
      <c r="BA238" s="172"/>
      <c r="BB238" s="56"/>
      <c r="BC238" s="10"/>
      <c r="BD238" s="56"/>
      <c r="BE238" s="56"/>
      <c r="BF238" s="56"/>
      <c r="BG238" s="56"/>
      <c r="BO238" s="145"/>
      <c r="CI238" s="145"/>
      <c r="CY238" s="145"/>
    </row>
    <row r="239" spans="1:103" s="97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65"/>
      <c r="M239" s="10"/>
      <c r="N239" s="56"/>
      <c r="O239" s="56"/>
      <c r="P239" s="162"/>
      <c r="Q239" s="178"/>
      <c r="R239" s="168"/>
      <c r="S239" s="56"/>
      <c r="T239" s="56"/>
      <c r="U239" s="56"/>
      <c r="V239" s="162"/>
      <c r="W239" s="178"/>
      <c r="X239" s="172"/>
      <c r="Y239" s="10"/>
      <c r="Z239" s="56"/>
      <c r="AA239" s="56"/>
      <c r="AB239" s="56"/>
      <c r="AC239" s="56"/>
      <c r="AD239" s="56"/>
      <c r="AE239" s="174"/>
      <c r="AF239" s="56"/>
      <c r="AG239" s="56"/>
      <c r="AH239" s="172"/>
      <c r="AI239" s="56"/>
      <c r="AJ239" s="56"/>
      <c r="AK239" s="56"/>
      <c r="AL239" s="56"/>
      <c r="AM239" s="56"/>
      <c r="AN239" s="56"/>
      <c r="AO239" s="172"/>
      <c r="AP239" s="56"/>
      <c r="AQ239" s="56"/>
      <c r="AR239" s="56"/>
      <c r="AS239" s="56"/>
      <c r="AT239" s="56"/>
      <c r="AU239" s="56"/>
      <c r="AV239" s="56"/>
      <c r="AW239" s="172"/>
      <c r="AX239" s="56"/>
      <c r="AY239" s="56"/>
      <c r="AZ239" s="56"/>
      <c r="BA239" s="172"/>
      <c r="BB239" s="56"/>
      <c r="BC239" s="10"/>
      <c r="BD239" s="56"/>
      <c r="BE239" s="56"/>
      <c r="BF239" s="56"/>
      <c r="BG239" s="56"/>
      <c r="BO239" s="145"/>
      <c r="CI239" s="145"/>
      <c r="CY239" s="145"/>
    </row>
    <row r="240" spans="1:103" s="97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65"/>
      <c r="M240" s="10"/>
      <c r="N240" s="56"/>
      <c r="O240" s="56"/>
      <c r="P240" s="162"/>
      <c r="Q240" s="178"/>
      <c r="R240" s="168"/>
      <c r="S240" s="56"/>
      <c r="T240" s="56"/>
      <c r="U240" s="56"/>
      <c r="V240" s="162"/>
      <c r="W240" s="178"/>
      <c r="X240" s="172"/>
      <c r="Y240" s="10"/>
      <c r="Z240" s="56"/>
      <c r="AA240" s="56"/>
      <c r="AB240" s="56"/>
      <c r="AC240" s="56"/>
      <c r="AD240" s="56"/>
      <c r="AE240" s="174"/>
      <c r="AF240" s="56"/>
      <c r="AG240" s="56"/>
      <c r="AH240" s="172"/>
      <c r="AI240" s="56"/>
      <c r="AJ240" s="56"/>
      <c r="AK240" s="56"/>
      <c r="AL240" s="56"/>
      <c r="AM240" s="56"/>
      <c r="AN240" s="56"/>
      <c r="AO240" s="172"/>
      <c r="AP240" s="56"/>
      <c r="AQ240" s="56"/>
      <c r="AR240" s="56"/>
      <c r="AS240" s="56"/>
      <c r="AT240" s="56"/>
      <c r="AU240" s="56"/>
      <c r="AV240" s="56"/>
      <c r="AW240" s="172"/>
      <c r="AX240" s="56"/>
      <c r="AY240" s="56"/>
      <c r="AZ240" s="56"/>
      <c r="BA240" s="172"/>
      <c r="BB240" s="56"/>
      <c r="BC240" s="10"/>
      <c r="BD240" s="56"/>
      <c r="BE240" s="56"/>
      <c r="BF240" s="56"/>
      <c r="BG240" s="56"/>
      <c r="BO240" s="145"/>
      <c r="CI240" s="145"/>
      <c r="CY240" s="145"/>
    </row>
    <row r="241" spans="1:103" s="97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65"/>
      <c r="M241" s="10"/>
      <c r="N241" s="56"/>
      <c r="O241" s="56"/>
      <c r="P241" s="162"/>
      <c r="Q241" s="178"/>
      <c r="R241" s="168"/>
      <c r="S241" s="56"/>
      <c r="T241" s="56"/>
      <c r="U241" s="56"/>
      <c r="V241" s="162"/>
      <c r="W241" s="178"/>
      <c r="X241" s="172"/>
      <c r="Y241" s="10"/>
      <c r="Z241" s="56"/>
      <c r="AA241" s="56"/>
      <c r="AB241" s="56"/>
      <c r="AC241" s="56"/>
      <c r="AD241" s="56"/>
      <c r="AE241" s="174"/>
      <c r="AF241" s="56"/>
      <c r="AG241" s="56"/>
      <c r="AH241" s="172"/>
      <c r="AI241" s="56"/>
      <c r="AJ241" s="56"/>
      <c r="AK241" s="56"/>
      <c r="AL241" s="56"/>
      <c r="AM241" s="56"/>
      <c r="AN241" s="56"/>
      <c r="AO241" s="172"/>
      <c r="AP241" s="56"/>
      <c r="AQ241" s="56"/>
      <c r="AR241" s="56"/>
      <c r="AS241" s="56"/>
      <c r="AT241" s="56"/>
      <c r="AU241" s="56"/>
      <c r="AV241" s="56"/>
      <c r="AW241" s="172"/>
      <c r="AX241" s="56"/>
      <c r="AY241" s="56"/>
      <c r="AZ241" s="56"/>
      <c r="BA241" s="172"/>
      <c r="BB241" s="56"/>
      <c r="BC241" s="10"/>
      <c r="BD241" s="56"/>
      <c r="BE241" s="56"/>
      <c r="BF241" s="56"/>
      <c r="BG241" s="56"/>
      <c r="BO241" s="145"/>
      <c r="CI241" s="145"/>
      <c r="CY241" s="145"/>
    </row>
    <row r="242" spans="1:103" s="97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65"/>
      <c r="M242" s="10"/>
      <c r="N242" s="56"/>
      <c r="O242" s="56"/>
      <c r="P242" s="162"/>
      <c r="Q242" s="178"/>
      <c r="R242" s="168"/>
      <c r="S242" s="56"/>
      <c r="T242" s="56"/>
      <c r="U242" s="56"/>
      <c r="V242" s="162"/>
      <c r="W242" s="178"/>
      <c r="X242" s="172"/>
      <c r="Y242" s="10"/>
      <c r="Z242" s="56"/>
      <c r="AA242" s="56"/>
      <c r="AB242" s="56"/>
      <c r="AC242" s="56"/>
      <c r="AD242" s="56"/>
      <c r="AE242" s="174"/>
      <c r="AF242" s="56"/>
      <c r="AG242" s="56"/>
      <c r="AH242" s="172"/>
      <c r="AI242" s="56"/>
      <c r="AJ242" s="56"/>
      <c r="AK242" s="56"/>
      <c r="AL242" s="56"/>
      <c r="AM242" s="56"/>
      <c r="AN242" s="56"/>
      <c r="AO242" s="172"/>
      <c r="AP242" s="56"/>
      <c r="AQ242" s="56"/>
      <c r="AR242" s="56"/>
      <c r="AS242" s="56"/>
      <c r="AT242" s="56"/>
      <c r="AU242" s="56"/>
      <c r="AV242" s="56"/>
      <c r="AW242" s="172"/>
      <c r="AX242" s="56"/>
      <c r="AY242" s="56"/>
      <c r="AZ242" s="56"/>
      <c r="BA242" s="172"/>
      <c r="BB242" s="56"/>
      <c r="BC242" s="10"/>
      <c r="BD242" s="56"/>
      <c r="BE242" s="56"/>
      <c r="BF242" s="56"/>
      <c r="BG242" s="56"/>
      <c r="BO242" s="145"/>
      <c r="CI242" s="145"/>
      <c r="CY242" s="145"/>
    </row>
    <row r="243" spans="1:103" s="97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65"/>
      <c r="M243" s="10"/>
      <c r="N243" s="56"/>
      <c r="O243" s="56"/>
      <c r="P243" s="162"/>
      <c r="Q243" s="178"/>
      <c r="R243" s="168"/>
      <c r="S243" s="56"/>
      <c r="T243" s="56"/>
      <c r="U243" s="56"/>
      <c r="V243" s="162"/>
      <c r="W243" s="178"/>
      <c r="X243" s="172"/>
      <c r="Y243" s="10"/>
      <c r="Z243" s="56"/>
      <c r="AA243" s="56"/>
      <c r="AB243" s="56"/>
      <c r="AC243" s="56"/>
      <c r="AD243" s="56"/>
      <c r="AE243" s="174"/>
      <c r="AF243" s="56"/>
      <c r="AG243" s="56"/>
      <c r="AH243" s="172"/>
      <c r="AI243" s="56"/>
      <c r="AJ243" s="56"/>
      <c r="AK243" s="56"/>
      <c r="AL243" s="56"/>
      <c r="AM243" s="56"/>
      <c r="AN243" s="56"/>
      <c r="AO243" s="172"/>
      <c r="AP243" s="56"/>
      <c r="AQ243" s="56"/>
      <c r="AR243" s="56"/>
      <c r="AS243" s="56"/>
      <c r="AT243" s="56"/>
      <c r="AU243" s="56"/>
      <c r="AV243" s="56"/>
      <c r="AW243" s="172"/>
      <c r="AX243" s="56"/>
      <c r="AY243" s="56"/>
      <c r="AZ243" s="56"/>
      <c r="BA243" s="172"/>
      <c r="BB243" s="56"/>
      <c r="BC243" s="10"/>
      <c r="BD243" s="56"/>
      <c r="BE243" s="56"/>
      <c r="BF243" s="56"/>
      <c r="BG243" s="56"/>
      <c r="BO243" s="145"/>
      <c r="CI243" s="145"/>
      <c r="CY243" s="145"/>
    </row>
    <row r="244" spans="1:103" s="97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65"/>
      <c r="M244" s="10"/>
      <c r="N244" s="56"/>
      <c r="O244" s="56"/>
      <c r="P244" s="162"/>
      <c r="Q244" s="178"/>
      <c r="R244" s="168"/>
      <c r="S244" s="56"/>
      <c r="T244" s="56"/>
      <c r="U244" s="56"/>
      <c r="V244" s="162"/>
      <c r="W244" s="178"/>
      <c r="X244" s="172"/>
      <c r="Y244" s="10"/>
      <c r="Z244" s="56"/>
      <c r="AA244" s="56"/>
      <c r="AB244" s="56"/>
      <c r="AC244" s="56"/>
      <c r="AD244" s="56"/>
      <c r="AE244" s="174"/>
      <c r="AF244" s="56"/>
      <c r="AG244" s="56"/>
      <c r="AH244" s="172"/>
      <c r="AI244" s="56"/>
      <c r="AJ244" s="56"/>
      <c r="AK244" s="56"/>
      <c r="AL244" s="56"/>
      <c r="AM244" s="56"/>
      <c r="AN244" s="56"/>
      <c r="AO244" s="172"/>
      <c r="AP244" s="56"/>
      <c r="AQ244" s="56"/>
      <c r="AR244" s="56"/>
      <c r="AS244" s="56"/>
      <c r="AT244" s="56"/>
      <c r="AU244" s="56"/>
      <c r="AV244" s="56"/>
      <c r="AW244" s="172"/>
      <c r="AX244" s="56"/>
      <c r="AY244" s="56"/>
      <c r="AZ244" s="56"/>
      <c r="BA244" s="172"/>
      <c r="BB244" s="56"/>
      <c r="BC244" s="10"/>
      <c r="BD244" s="56"/>
      <c r="BE244" s="56"/>
      <c r="BF244" s="56"/>
      <c r="BG244" s="56"/>
      <c r="BO244" s="145"/>
      <c r="CI244" s="145"/>
      <c r="CY244" s="145"/>
    </row>
    <row r="245" spans="1:103" s="97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65"/>
      <c r="M245" s="10"/>
      <c r="N245" s="56"/>
      <c r="O245" s="56"/>
      <c r="P245" s="162"/>
      <c r="Q245" s="178"/>
      <c r="R245" s="168"/>
      <c r="S245" s="56"/>
      <c r="T245" s="56"/>
      <c r="U245" s="56"/>
      <c r="V245" s="162"/>
      <c r="W245" s="178"/>
      <c r="X245" s="172"/>
      <c r="Y245" s="10"/>
      <c r="Z245" s="56"/>
      <c r="AA245" s="56"/>
      <c r="AB245" s="56"/>
      <c r="AC245" s="56"/>
      <c r="AD245" s="56"/>
      <c r="AE245" s="174"/>
      <c r="AF245" s="56"/>
      <c r="AG245" s="56"/>
      <c r="AH245" s="172"/>
      <c r="AI245" s="56"/>
      <c r="AJ245" s="56"/>
      <c r="AK245" s="56"/>
      <c r="AL245" s="56"/>
      <c r="AM245" s="56"/>
      <c r="AN245" s="56"/>
      <c r="AO245" s="172"/>
      <c r="AP245" s="56"/>
      <c r="AQ245" s="56"/>
      <c r="AR245" s="56"/>
      <c r="AS245" s="56"/>
      <c r="AT245" s="56"/>
      <c r="AU245" s="56"/>
      <c r="AV245" s="56"/>
      <c r="AW245" s="172"/>
      <c r="AX245" s="56"/>
      <c r="AY245" s="56"/>
      <c r="AZ245" s="56"/>
      <c r="BA245" s="172"/>
      <c r="BB245" s="56"/>
      <c r="BC245" s="10"/>
      <c r="BD245" s="56"/>
      <c r="BE245" s="56"/>
      <c r="BF245" s="56"/>
      <c r="BG245" s="56"/>
      <c r="BO245" s="145"/>
      <c r="CI245" s="145"/>
      <c r="CY245" s="145"/>
    </row>
    <row r="246" spans="1:103" s="97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65"/>
      <c r="M246" s="10"/>
      <c r="N246" s="56"/>
      <c r="O246" s="56"/>
      <c r="P246" s="162"/>
      <c r="Q246" s="178"/>
      <c r="R246" s="168"/>
      <c r="S246" s="56"/>
      <c r="T246" s="56"/>
      <c r="U246" s="56"/>
      <c r="V246" s="162"/>
      <c r="W246" s="178"/>
      <c r="X246" s="172"/>
      <c r="Y246" s="10"/>
      <c r="Z246" s="56"/>
      <c r="AA246" s="56"/>
      <c r="AB246" s="56"/>
      <c r="AC246" s="56"/>
      <c r="AD246" s="56"/>
      <c r="AE246" s="174"/>
      <c r="AF246" s="56"/>
      <c r="AG246" s="56"/>
      <c r="AH246" s="172"/>
      <c r="AI246" s="56"/>
      <c r="AJ246" s="56"/>
      <c r="AK246" s="56"/>
      <c r="AL246" s="56"/>
      <c r="AM246" s="56"/>
      <c r="AN246" s="56"/>
      <c r="AO246" s="172"/>
      <c r="AP246" s="56"/>
      <c r="AQ246" s="56"/>
      <c r="AR246" s="56"/>
      <c r="AS246" s="56"/>
      <c r="AT246" s="56"/>
      <c r="AU246" s="56"/>
      <c r="AV246" s="56"/>
      <c r="AW246" s="172"/>
      <c r="AX246" s="56"/>
      <c r="AY246" s="56"/>
      <c r="AZ246" s="56"/>
      <c r="BA246" s="172"/>
      <c r="BB246" s="56"/>
      <c r="BC246" s="10"/>
      <c r="BD246" s="56"/>
      <c r="BE246" s="56"/>
      <c r="BF246" s="56"/>
      <c r="BG246" s="56"/>
      <c r="BO246" s="145"/>
      <c r="CI246" s="145"/>
      <c r="CY246" s="145"/>
    </row>
    <row r="247" spans="1:103" s="97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65"/>
      <c r="M247" s="10"/>
      <c r="N247" s="56"/>
      <c r="O247" s="56"/>
      <c r="P247" s="162"/>
      <c r="Q247" s="178"/>
      <c r="R247" s="168"/>
      <c r="S247" s="56"/>
      <c r="T247" s="56"/>
      <c r="U247" s="56"/>
      <c r="V247" s="162"/>
      <c r="W247" s="178"/>
      <c r="X247" s="172"/>
      <c r="Y247" s="10"/>
      <c r="Z247" s="56"/>
      <c r="AA247" s="56"/>
      <c r="AB247" s="56"/>
      <c r="AC247" s="56"/>
      <c r="AD247" s="56"/>
      <c r="AE247" s="174"/>
      <c r="AF247" s="56"/>
      <c r="AG247" s="56"/>
      <c r="AH247" s="172"/>
      <c r="AI247" s="56"/>
      <c r="AJ247" s="56"/>
      <c r="AK247" s="56"/>
      <c r="AL247" s="56"/>
      <c r="AM247" s="56"/>
      <c r="AN247" s="56"/>
      <c r="AO247" s="172"/>
      <c r="AP247" s="56"/>
      <c r="AQ247" s="56"/>
      <c r="AR247" s="56"/>
      <c r="AS247" s="56"/>
      <c r="AT247" s="56"/>
      <c r="AU247" s="56"/>
      <c r="AV247" s="56"/>
      <c r="AW247" s="172"/>
      <c r="AX247" s="56"/>
      <c r="AY247" s="56"/>
      <c r="AZ247" s="56"/>
      <c r="BA247" s="172"/>
      <c r="BB247" s="56"/>
      <c r="BC247" s="10"/>
      <c r="BD247" s="56"/>
      <c r="BE247" s="56"/>
      <c r="BF247" s="56"/>
      <c r="BG247" s="56"/>
      <c r="BO247" s="145"/>
      <c r="CI247" s="145"/>
      <c r="CY247" s="145"/>
    </row>
    <row r="248" spans="1:103" s="97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65"/>
      <c r="M248" s="10"/>
      <c r="N248" s="56"/>
      <c r="O248" s="56"/>
      <c r="P248" s="162"/>
      <c r="Q248" s="178"/>
      <c r="R248" s="168"/>
      <c r="S248" s="56"/>
      <c r="T248" s="56"/>
      <c r="U248" s="56"/>
      <c r="V248" s="162"/>
      <c r="W248" s="178"/>
      <c r="X248" s="172"/>
      <c r="Y248" s="10"/>
      <c r="Z248" s="56"/>
      <c r="AA248" s="56"/>
      <c r="AB248" s="56"/>
      <c r="AC248" s="56"/>
      <c r="AD248" s="56"/>
      <c r="AE248" s="174"/>
      <c r="AF248" s="56"/>
      <c r="AG248" s="56"/>
      <c r="AH248" s="172"/>
      <c r="AI248" s="56"/>
      <c r="AJ248" s="56"/>
      <c r="AK248" s="56"/>
      <c r="AL248" s="56"/>
      <c r="AM248" s="56"/>
      <c r="AN248" s="56"/>
      <c r="AO248" s="172"/>
      <c r="AP248" s="56"/>
      <c r="AQ248" s="56"/>
      <c r="AR248" s="56"/>
      <c r="AS248" s="56"/>
      <c r="AT248" s="56"/>
      <c r="AU248" s="56"/>
      <c r="AV248" s="56"/>
      <c r="AW248" s="172"/>
      <c r="AX248" s="56"/>
      <c r="AY248" s="56"/>
      <c r="AZ248" s="56"/>
      <c r="BA248" s="172"/>
      <c r="BB248" s="56"/>
      <c r="BC248" s="10"/>
      <c r="BD248" s="56"/>
      <c r="BE248" s="56"/>
      <c r="BF248" s="56"/>
      <c r="BG248" s="56"/>
      <c r="BO248" s="145"/>
      <c r="CI248" s="145"/>
      <c r="CY248" s="145"/>
    </row>
    <row r="249" spans="1:103" s="97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65"/>
      <c r="M249" s="10"/>
      <c r="N249" s="56"/>
      <c r="O249" s="56"/>
      <c r="P249" s="162"/>
      <c r="Q249" s="178"/>
      <c r="R249" s="168"/>
      <c r="S249" s="56"/>
      <c r="T249" s="56"/>
      <c r="U249" s="56"/>
      <c r="V249" s="162"/>
      <c r="W249" s="178"/>
      <c r="X249" s="172"/>
      <c r="Y249" s="10"/>
      <c r="Z249" s="56"/>
      <c r="AA249" s="56"/>
      <c r="AB249" s="56"/>
      <c r="AC249" s="56"/>
      <c r="AD249" s="56"/>
      <c r="AE249" s="174"/>
      <c r="AF249" s="56"/>
      <c r="AG249" s="56"/>
      <c r="AH249" s="172"/>
      <c r="AI249" s="56"/>
      <c r="AJ249" s="56"/>
      <c r="AK249" s="56"/>
      <c r="AL249" s="56"/>
      <c r="AM249" s="56"/>
      <c r="AN249" s="56"/>
      <c r="AO249" s="172"/>
      <c r="AP249" s="56"/>
      <c r="AQ249" s="56"/>
      <c r="AR249" s="56"/>
      <c r="AS249" s="56"/>
      <c r="AT249" s="56"/>
      <c r="AU249" s="56"/>
      <c r="AV249" s="56"/>
      <c r="AW249" s="172"/>
      <c r="AX249" s="56"/>
      <c r="AY249" s="56"/>
      <c r="AZ249" s="56"/>
      <c r="BA249" s="172"/>
      <c r="BB249" s="56"/>
      <c r="BC249" s="10"/>
      <c r="BD249" s="56"/>
      <c r="BE249" s="56"/>
      <c r="BF249" s="56"/>
      <c r="BG249" s="56"/>
      <c r="BO249" s="145"/>
      <c r="CI249" s="145"/>
      <c r="CY249" s="145"/>
    </row>
    <row r="250" spans="1:103" s="97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65"/>
      <c r="M250" s="10"/>
      <c r="N250" s="56"/>
      <c r="O250" s="56"/>
      <c r="P250" s="162"/>
      <c r="Q250" s="178"/>
      <c r="R250" s="168"/>
      <c r="S250" s="56"/>
      <c r="T250" s="56"/>
      <c r="U250" s="56"/>
      <c r="V250" s="162"/>
      <c r="W250" s="178"/>
      <c r="X250" s="172"/>
      <c r="Y250" s="10"/>
      <c r="Z250" s="56"/>
      <c r="AA250" s="56"/>
      <c r="AB250" s="56"/>
      <c r="AC250" s="56"/>
      <c r="AD250" s="56"/>
      <c r="AE250" s="174"/>
      <c r="AF250" s="56"/>
      <c r="AG250" s="56"/>
      <c r="AH250" s="172"/>
      <c r="AI250" s="56"/>
      <c r="AJ250" s="56"/>
      <c r="AK250" s="56"/>
      <c r="AL250" s="56"/>
      <c r="AM250" s="56"/>
      <c r="AN250" s="56"/>
      <c r="AO250" s="172"/>
      <c r="AP250" s="56"/>
      <c r="AQ250" s="56"/>
      <c r="AR250" s="56"/>
      <c r="AS250" s="56"/>
      <c r="AT250" s="56"/>
      <c r="AU250" s="56"/>
      <c r="AV250" s="56"/>
      <c r="AW250" s="172"/>
      <c r="AX250" s="56"/>
      <c r="AY250" s="56"/>
      <c r="AZ250" s="56"/>
      <c r="BA250" s="172"/>
      <c r="BB250" s="56"/>
      <c r="BC250" s="10"/>
      <c r="BD250" s="56"/>
      <c r="BE250" s="56"/>
      <c r="BF250" s="56"/>
      <c r="BG250" s="56"/>
      <c r="BO250" s="145"/>
      <c r="CI250" s="145"/>
      <c r="CY250" s="145"/>
    </row>
    <row r="251" spans="1:103" s="97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65"/>
      <c r="M251" s="10"/>
      <c r="N251" s="56"/>
      <c r="O251" s="56"/>
      <c r="P251" s="162"/>
      <c r="Q251" s="178"/>
      <c r="R251" s="168"/>
      <c r="S251" s="56"/>
      <c r="T251" s="56"/>
      <c r="U251" s="56"/>
      <c r="V251" s="162"/>
      <c r="W251" s="178"/>
      <c r="X251" s="172"/>
      <c r="Y251" s="10"/>
      <c r="Z251" s="56"/>
      <c r="AA251" s="56"/>
      <c r="AB251" s="56"/>
      <c r="AC251" s="56"/>
      <c r="AD251" s="56"/>
      <c r="AE251" s="174"/>
      <c r="AF251" s="56"/>
      <c r="AG251" s="56"/>
      <c r="AH251" s="172"/>
      <c r="AI251" s="56"/>
      <c r="AJ251" s="56"/>
      <c r="AK251" s="56"/>
      <c r="AL251" s="56"/>
      <c r="AM251" s="56"/>
      <c r="AN251" s="56"/>
      <c r="AO251" s="172"/>
      <c r="AP251" s="56"/>
      <c r="AQ251" s="56"/>
      <c r="AR251" s="56"/>
      <c r="AS251" s="56"/>
      <c r="AT251" s="56"/>
      <c r="AU251" s="56"/>
      <c r="AV251" s="56"/>
      <c r="AW251" s="172"/>
      <c r="AX251" s="56"/>
      <c r="AY251" s="56"/>
      <c r="AZ251" s="56"/>
      <c r="BA251" s="172"/>
      <c r="BB251" s="56"/>
      <c r="BC251" s="10"/>
      <c r="BD251" s="56"/>
      <c r="BE251" s="56"/>
      <c r="BF251" s="56"/>
      <c r="BG251" s="56"/>
      <c r="BO251" s="145"/>
      <c r="CI251" s="145"/>
      <c r="CY251" s="145"/>
    </row>
    <row r="252" spans="1:103" s="97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65"/>
      <c r="M252" s="10"/>
      <c r="N252" s="56"/>
      <c r="O252" s="56"/>
      <c r="P252" s="162"/>
      <c r="Q252" s="178"/>
      <c r="R252" s="168"/>
      <c r="S252" s="56"/>
      <c r="T252" s="56"/>
      <c r="U252" s="56"/>
      <c r="V252" s="162"/>
      <c r="W252" s="178"/>
      <c r="X252" s="172"/>
      <c r="Y252" s="10"/>
      <c r="Z252" s="56"/>
      <c r="AA252" s="56"/>
      <c r="AB252" s="56"/>
      <c r="AC252" s="56"/>
      <c r="AD252" s="56"/>
      <c r="AE252" s="174"/>
      <c r="AF252" s="56"/>
      <c r="AG252" s="56"/>
      <c r="AH252" s="172"/>
      <c r="AI252" s="56"/>
      <c r="AJ252" s="56"/>
      <c r="AK252" s="56"/>
      <c r="AL252" s="56"/>
      <c r="AM252" s="56"/>
      <c r="AN252" s="56"/>
      <c r="AO252" s="172"/>
      <c r="AP252" s="56"/>
      <c r="AQ252" s="56"/>
      <c r="AR252" s="56"/>
      <c r="AS252" s="56"/>
      <c r="AT252" s="56"/>
      <c r="AU252" s="56"/>
      <c r="AV252" s="56"/>
      <c r="AW252" s="172"/>
      <c r="AX252" s="56"/>
      <c r="AY252" s="56"/>
      <c r="AZ252" s="56"/>
      <c r="BA252" s="172"/>
      <c r="BB252" s="56"/>
      <c r="BC252" s="10"/>
      <c r="BD252" s="56"/>
      <c r="BE252" s="56"/>
      <c r="BF252" s="56"/>
      <c r="BG252" s="56"/>
      <c r="BO252" s="145"/>
      <c r="CI252" s="145"/>
      <c r="CY252" s="145"/>
    </row>
    <row r="253" spans="1:103" s="97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65"/>
      <c r="M253" s="10"/>
      <c r="N253" s="56"/>
      <c r="O253" s="56"/>
      <c r="P253" s="162"/>
      <c r="Q253" s="178"/>
      <c r="R253" s="168"/>
      <c r="S253" s="56"/>
      <c r="T253" s="56"/>
      <c r="U253" s="56"/>
      <c r="V253" s="162"/>
      <c r="W253" s="178"/>
      <c r="X253" s="172"/>
      <c r="Y253" s="10"/>
      <c r="Z253" s="56"/>
      <c r="AA253" s="56"/>
      <c r="AB253" s="56"/>
      <c r="AC253" s="56"/>
      <c r="AD253" s="56"/>
      <c r="AE253" s="174"/>
      <c r="AF253" s="56"/>
      <c r="AG253" s="56"/>
      <c r="AH253" s="172"/>
      <c r="AI253" s="56"/>
      <c r="AJ253" s="56"/>
      <c r="AK253" s="56"/>
      <c r="AL253" s="56"/>
      <c r="AM253" s="56"/>
      <c r="AN253" s="56"/>
      <c r="AO253" s="172"/>
      <c r="AP253" s="56"/>
      <c r="AQ253" s="56"/>
      <c r="AR253" s="56"/>
      <c r="AS253" s="56"/>
      <c r="AT253" s="56"/>
      <c r="AU253" s="56"/>
      <c r="AV253" s="56"/>
      <c r="AW253" s="172"/>
      <c r="AX253" s="56"/>
      <c r="AY253" s="56"/>
      <c r="AZ253" s="56"/>
      <c r="BA253" s="172"/>
      <c r="BB253" s="56"/>
      <c r="BC253" s="10"/>
      <c r="BD253" s="56"/>
      <c r="BE253" s="56"/>
      <c r="BF253" s="56"/>
      <c r="BG253" s="56"/>
      <c r="BO253" s="145"/>
      <c r="CI253" s="145"/>
      <c r="CY253" s="145"/>
    </row>
    <row r="254" spans="1:103" s="97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65"/>
      <c r="M254" s="10"/>
      <c r="N254" s="56"/>
      <c r="O254" s="56"/>
      <c r="P254" s="162"/>
      <c r="Q254" s="178"/>
      <c r="R254" s="168"/>
      <c r="S254" s="56"/>
      <c r="T254" s="56"/>
      <c r="U254" s="56"/>
      <c r="V254" s="162"/>
      <c r="W254" s="178"/>
      <c r="X254" s="172"/>
      <c r="Y254" s="10"/>
      <c r="Z254" s="56"/>
      <c r="AA254" s="56"/>
      <c r="AB254" s="56"/>
      <c r="AC254" s="56"/>
      <c r="AD254" s="56"/>
      <c r="AE254" s="174"/>
      <c r="AF254" s="56"/>
      <c r="AG254" s="56"/>
      <c r="AH254" s="172"/>
      <c r="AI254" s="56"/>
      <c r="AJ254" s="56"/>
      <c r="AK254" s="56"/>
      <c r="AL254" s="56"/>
      <c r="AM254" s="56"/>
      <c r="AN254" s="56"/>
      <c r="AO254" s="172"/>
      <c r="AP254" s="56"/>
      <c r="AQ254" s="56"/>
      <c r="AR254" s="56"/>
      <c r="AS254" s="56"/>
      <c r="AT254" s="56"/>
      <c r="AU254" s="56"/>
      <c r="AV254" s="56"/>
      <c r="AW254" s="172"/>
      <c r="AX254" s="56"/>
      <c r="AY254" s="56"/>
      <c r="AZ254" s="56"/>
      <c r="BA254" s="172"/>
      <c r="BB254" s="56"/>
      <c r="BC254" s="10"/>
      <c r="BD254" s="56"/>
      <c r="BE254" s="56"/>
      <c r="BF254" s="56"/>
      <c r="BG254" s="56"/>
      <c r="BO254" s="145"/>
      <c r="CI254" s="145"/>
      <c r="CY254" s="145"/>
    </row>
    <row r="255" spans="1:103" s="97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65"/>
      <c r="M255" s="10"/>
      <c r="N255" s="56"/>
      <c r="O255" s="56"/>
      <c r="P255" s="162"/>
      <c r="Q255" s="178"/>
      <c r="R255" s="168"/>
      <c r="S255" s="56"/>
      <c r="T255" s="56"/>
      <c r="U255" s="56"/>
      <c r="V255" s="162"/>
      <c r="W255" s="178"/>
      <c r="X255" s="172"/>
      <c r="Y255" s="10"/>
      <c r="Z255" s="56"/>
      <c r="AA255" s="56"/>
      <c r="AB255" s="56"/>
      <c r="AC255" s="56"/>
      <c r="AD255" s="56"/>
      <c r="AE255" s="174"/>
      <c r="AF255" s="56"/>
      <c r="AG255" s="56"/>
      <c r="AH255" s="172"/>
      <c r="AI255" s="56"/>
      <c r="AJ255" s="56"/>
      <c r="AK255" s="56"/>
      <c r="AL255" s="56"/>
      <c r="AM255" s="56"/>
      <c r="AN255" s="56"/>
      <c r="AO255" s="172"/>
      <c r="AP255" s="56"/>
      <c r="AQ255" s="56"/>
      <c r="AR255" s="56"/>
      <c r="AS255" s="56"/>
      <c r="AT255" s="56"/>
      <c r="AU255" s="56"/>
      <c r="AV255" s="56"/>
      <c r="AW255" s="172"/>
      <c r="AX255" s="56"/>
      <c r="AY255" s="56"/>
      <c r="AZ255" s="56"/>
      <c r="BA255" s="172"/>
      <c r="BB255" s="56"/>
      <c r="BC255" s="10"/>
      <c r="BD255" s="56"/>
      <c r="BE255" s="56"/>
      <c r="BF255" s="56"/>
      <c r="BG255" s="56"/>
      <c r="BO255" s="145"/>
      <c r="CI255" s="145"/>
      <c r="CY255" s="145"/>
    </row>
    <row r="256" spans="1:103" s="97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65"/>
      <c r="M256" s="10"/>
      <c r="N256" s="56"/>
      <c r="O256" s="56"/>
      <c r="P256" s="162"/>
      <c r="Q256" s="178"/>
      <c r="R256" s="168"/>
      <c r="S256" s="56"/>
      <c r="T256" s="56"/>
      <c r="U256" s="56"/>
      <c r="V256" s="162"/>
      <c r="W256" s="178"/>
      <c r="X256" s="172"/>
      <c r="Y256" s="10"/>
      <c r="Z256" s="56"/>
      <c r="AA256" s="56"/>
      <c r="AB256" s="56"/>
      <c r="AC256" s="56"/>
      <c r="AD256" s="56"/>
      <c r="AE256" s="174"/>
      <c r="AF256" s="56"/>
      <c r="AG256" s="56"/>
      <c r="AH256" s="172"/>
      <c r="AI256" s="56"/>
      <c r="AJ256" s="56"/>
      <c r="AK256" s="56"/>
      <c r="AL256" s="56"/>
      <c r="AM256" s="56"/>
      <c r="AN256" s="56"/>
      <c r="AO256" s="172"/>
      <c r="AP256" s="56"/>
      <c r="AQ256" s="56"/>
      <c r="AR256" s="56"/>
      <c r="AS256" s="56"/>
      <c r="AT256" s="56"/>
      <c r="AU256" s="56"/>
      <c r="AV256" s="56"/>
      <c r="AW256" s="172"/>
      <c r="AX256" s="56"/>
      <c r="AY256" s="56"/>
      <c r="AZ256" s="56"/>
      <c r="BA256" s="172"/>
      <c r="BB256" s="56"/>
      <c r="BC256" s="10"/>
      <c r="BD256" s="56"/>
      <c r="BE256" s="56"/>
      <c r="BF256" s="56"/>
      <c r="BG256" s="56"/>
      <c r="BO256" s="145"/>
      <c r="CI256" s="145"/>
      <c r="CY256" s="145"/>
    </row>
    <row r="257" spans="1:103" s="97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65"/>
      <c r="M257" s="10"/>
      <c r="N257" s="56"/>
      <c r="O257" s="56"/>
      <c r="P257" s="162"/>
      <c r="Q257" s="178"/>
      <c r="R257" s="168"/>
      <c r="S257" s="56"/>
      <c r="T257" s="56"/>
      <c r="U257" s="56"/>
      <c r="V257" s="162"/>
      <c r="W257" s="178"/>
      <c r="X257" s="172"/>
      <c r="Y257" s="10"/>
      <c r="Z257" s="56"/>
      <c r="AA257" s="56"/>
      <c r="AB257" s="56"/>
      <c r="AC257" s="56"/>
      <c r="AD257" s="56"/>
      <c r="AE257" s="174"/>
      <c r="AF257" s="56"/>
      <c r="AG257" s="56"/>
      <c r="AH257" s="172"/>
      <c r="AI257" s="56"/>
      <c r="AJ257" s="56"/>
      <c r="AK257" s="56"/>
      <c r="AL257" s="56"/>
      <c r="AM257" s="56"/>
      <c r="AN257" s="56"/>
      <c r="AO257" s="172"/>
      <c r="AP257" s="56"/>
      <c r="AQ257" s="56"/>
      <c r="AR257" s="56"/>
      <c r="AS257" s="56"/>
      <c r="AT257" s="56"/>
      <c r="AU257" s="56"/>
      <c r="AV257" s="56"/>
      <c r="AW257" s="172"/>
      <c r="AX257" s="56"/>
      <c r="AY257" s="56"/>
      <c r="AZ257" s="56"/>
      <c r="BA257" s="172"/>
      <c r="BB257" s="56"/>
      <c r="BC257" s="10"/>
      <c r="BD257" s="56"/>
      <c r="BE257" s="56"/>
      <c r="BF257" s="56"/>
      <c r="BG257" s="56"/>
      <c r="BO257" s="145"/>
      <c r="CI257" s="145"/>
      <c r="CY257" s="145"/>
    </row>
    <row r="258" spans="1:103" s="97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65"/>
      <c r="M258" s="10"/>
      <c r="N258" s="56"/>
      <c r="O258" s="56"/>
      <c r="P258" s="162"/>
      <c r="Q258" s="178"/>
      <c r="R258" s="168"/>
      <c r="S258" s="56"/>
      <c r="T258" s="56"/>
      <c r="U258" s="56"/>
      <c r="V258" s="162"/>
      <c r="W258" s="178"/>
      <c r="X258" s="172"/>
      <c r="Y258" s="10"/>
      <c r="Z258" s="56"/>
      <c r="AA258" s="56"/>
      <c r="AB258" s="56"/>
      <c r="AC258" s="56"/>
      <c r="AD258" s="56"/>
      <c r="AE258" s="174"/>
      <c r="AF258" s="56"/>
      <c r="AG258" s="56"/>
      <c r="AH258" s="172"/>
      <c r="AI258" s="56"/>
      <c r="AJ258" s="56"/>
      <c r="AK258" s="56"/>
      <c r="AL258" s="56"/>
      <c r="AM258" s="56"/>
      <c r="AN258" s="56"/>
      <c r="AO258" s="172"/>
      <c r="AP258" s="56"/>
      <c r="AQ258" s="56"/>
      <c r="AR258" s="56"/>
      <c r="AS258" s="56"/>
      <c r="AT258" s="56"/>
      <c r="AU258" s="56"/>
      <c r="AV258" s="56"/>
      <c r="AW258" s="172"/>
      <c r="AX258" s="56"/>
      <c r="AY258" s="56"/>
      <c r="AZ258" s="56"/>
      <c r="BA258" s="172"/>
      <c r="BB258" s="56"/>
      <c r="BC258" s="10"/>
      <c r="BD258" s="56"/>
      <c r="BE258" s="56"/>
      <c r="BF258" s="56"/>
      <c r="BG258" s="56"/>
      <c r="BO258" s="145"/>
      <c r="CI258" s="145"/>
      <c r="CY258" s="145"/>
    </row>
    <row r="259" spans="1:103" s="97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65"/>
      <c r="M259" s="10"/>
      <c r="N259" s="56"/>
      <c r="O259" s="56"/>
      <c r="P259" s="162"/>
      <c r="Q259" s="178"/>
      <c r="R259" s="168"/>
      <c r="S259" s="56"/>
      <c r="T259" s="56"/>
      <c r="U259" s="56"/>
      <c r="V259" s="162"/>
      <c r="W259" s="178"/>
      <c r="X259" s="172"/>
      <c r="Y259" s="10"/>
      <c r="Z259" s="56"/>
      <c r="AA259" s="56"/>
      <c r="AB259" s="56"/>
      <c r="AC259" s="56"/>
      <c r="AD259" s="56"/>
      <c r="AE259" s="174"/>
      <c r="AF259" s="56"/>
      <c r="AG259" s="56"/>
      <c r="AH259" s="172"/>
      <c r="AI259" s="56"/>
      <c r="AJ259" s="56"/>
      <c r="AK259" s="56"/>
      <c r="AL259" s="56"/>
      <c r="AM259" s="56"/>
      <c r="AN259" s="56"/>
      <c r="AO259" s="172"/>
      <c r="AP259" s="56"/>
      <c r="AQ259" s="56"/>
      <c r="AR259" s="56"/>
      <c r="AS259" s="56"/>
      <c r="AT259" s="56"/>
      <c r="AU259" s="56"/>
      <c r="AV259" s="56"/>
      <c r="AW259" s="172"/>
      <c r="AX259" s="56"/>
      <c r="AY259" s="56"/>
      <c r="AZ259" s="56"/>
      <c r="BA259" s="172"/>
      <c r="BB259" s="56"/>
      <c r="BC259" s="10"/>
      <c r="BD259" s="56"/>
      <c r="BE259" s="56"/>
      <c r="BF259" s="56"/>
      <c r="BG259" s="56"/>
      <c r="BO259" s="145"/>
      <c r="CI259" s="145"/>
      <c r="CY259" s="145"/>
    </row>
    <row r="260" spans="1:103" s="97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65"/>
      <c r="M260" s="10"/>
      <c r="N260" s="56"/>
      <c r="O260" s="56"/>
      <c r="P260" s="162"/>
      <c r="Q260" s="178"/>
      <c r="R260" s="168"/>
      <c r="S260" s="56"/>
      <c r="T260" s="56"/>
      <c r="U260" s="56"/>
      <c r="V260" s="162"/>
      <c r="W260" s="178"/>
      <c r="X260" s="172"/>
      <c r="Y260" s="10"/>
      <c r="Z260" s="56"/>
      <c r="AA260" s="56"/>
      <c r="AB260" s="56"/>
      <c r="AC260" s="56"/>
      <c r="AD260" s="56"/>
      <c r="AE260" s="174"/>
      <c r="AF260" s="56"/>
      <c r="AG260" s="56"/>
      <c r="AH260" s="172"/>
      <c r="AI260" s="56"/>
      <c r="AJ260" s="56"/>
      <c r="AK260" s="56"/>
      <c r="AL260" s="56"/>
      <c r="AM260" s="56"/>
      <c r="AN260" s="56"/>
      <c r="AO260" s="172"/>
      <c r="AP260" s="56"/>
      <c r="AQ260" s="56"/>
      <c r="AR260" s="56"/>
      <c r="AS260" s="56"/>
      <c r="AT260" s="56"/>
      <c r="AU260" s="56"/>
      <c r="AV260" s="56"/>
      <c r="AW260" s="172"/>
      <c r="AX260" s="56"/>
      <c r="AY260" s="56"/>
      <c r="AZ260" s="56"/>
      <c r="BA260" s="172"/>
      <c r="BB260" s="56"/>
      <c r="BC260" s="10"/>
      <c r="BD260" s="56"/>
      <c r="BE260" s="56"/>
      <c r="BF260" s="56"/>
      <c r="BG260" s="56"/>
      <c r="BO260" s="145"/>
      <c r="CI260" s="145"/>
      <c r="CY260" s="145"/>
    </row>
    <row r="261" spans="1:103" s="97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65"/>
      <c r="M261" s="10"/>
      <c r="N261" s="56"/>
      <c r="O261" s="56"/>
      <c r="P261" s="162"/>
      <c r="Q261" s="178"/>
      <c r="R261" s="168"/>
      <c r="S261" s="56"/>
      <c r="T261" s="56"/>
      <c r="U261" s="56"/>
      <c r="V261" s="162"/>
      <c r="W261" s="178"/>
      <c r="X261" s="172"/>
      <c r="Y261" s="10"/>
      <c r="Z261" s="56"/>
      <c r="AA261" s="56"/>
      <c r="AB261" s="56"/>
      <c r="AC261" s="56"/>
      <c r="AD261" s="56"/>
      <c r="AE261" s="174"/>
      <c r="AF261" s="56"/>
      <c r="AG261" s="56"/>
      <c r="AH261" s="172"/>
      <c r="AI261" s="56"/>
      <c r="AJ261" s="56"/>
      <c r="AK261" s="56"/>
      <c r="AL261" s="56"/>
      <c r="AM261" s="56"/>
      <c r="AN261" s="56"/>
      <c r="AO261" s="172"/>
      <c r="AP261" s="56"/>
      <c r="AQ261" s="56"/>
      <c r="AR261" s="56"/>
      <c r="AS261" s="56"/>
      <c r="AT261" s="56"/>
      <c r="AU261" s="56"/>
      <c r="AV261" s="56"/>
      <c r="AW261" s="172"/>
      <c r="AX261" s="56"/>
      <c r="AY261" s="56"/>
      <c r="AZ261" s="56"/>
      <c r="BA261" s="172"/>
      <c r="BB261" s="56"/>
      <c r="BC261" s="10"/>
      <c r="BD261" s="56"/>
      <c r="BE261" s="56"/>
      <c r="BF261" s="56"/>
      <c r="BG261" s="56"/>
      <c r="BO261" s="145"/>
      <c r="CI261" s="145"/>
      <c r="CY261" s="145"/>
    </row>
    <row r="262" spans="1:103" s="97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65"/>
      <c r="M262" s="10"/>
      <c r="N262" s="56"/>
      <c r="O262" s="56"/>
      <c r="P262" s="162"/>
      <c r="Q262" s="178"/>
      <c r="R262" s="168"/>
      <c r="S262" s="56"/>
      <c r="T262" s="56"/>
      <c r="U262" s="56"/>
      <c r="V262" s="162"/>
      <c r="W262" s="178"/>
      <c r="X262" s="172"/>
      <c r="Y262" s="10"/>
      <c r="Z262" s="56"/>
      <c r="AA262" s="56"/>
      <c r="AB262" s="56"/>
      <c r="AC262" s="56"/>
      <c r="AD262" s="56"/>
      <c r="AE262" s="174"/>
      <c r="AF262" s="56"/>
      <c r="AG262" s="56"/>
      <c r="AH262" s="172"/>
      <c r="AI262" s="56"/>
      <c r="AJ262" s="56"/>
      <c r="AK262" s="56"/>
      <c r="AL262" s="56"/>
      <c r="AM262" s="56"/>
      <c r="AN262" s="56"/>
      <c r="AO262" s="172"/>
      <c r="AP262" s="56"/>
      <c r="AQ262" s="56"/>
      <c r="AR262" s="56"/>
      <c r="AS262" s="56"/>
      <c r="AT262" s="56"/>
      <c r="AU262" s="56"/>
      <c r="AV262" s="56"/>
      <c r="AW262" s="172"/>
      <c r="AX262" s="56"/>
      <c r="AY262" s="56"/>
      <c r="AZ262" s="56"/>
      <c r="BA262" s="172"/>
      <c r="BB262" s="56"/>
      <c r="BC262" s="10"/>
      <c r="BD262" s="56"/>
      <c r="BE262" s="56"/>
      <c r="BF262" s="56"/>
      <c r="BG262" s="56"/>
      <c r="BO262" s="145"/>
      <c r="CI262" s="145"/>
      <c r="CY262" s="145"/>
    </row>
    <row r="263" spans="1:103" s="97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65"/>
      <c r="M263" s="10"/>
      <c r="N263" s="56"/>
      <c r="O263" s="56"/>
      <c r="P263" s="162"/>
      <c r="Q263" s="178"/>
      <c r="R263" s="168"/>
      <c r="S263" s="56"/>
      <c r="T263" s="56"/>
      <c r="U263" s="56"/>
      <c r="V263" s="162"/>
      <c r="W263" s="178"/>
      <c r="X263" s="172"/>
      <c r="Y263" s="10"/>
      <c r="Z263" s="56"/>
      <c r="AA263" s="56"/>
      <c r="AB263" s="56"/>
      <c r="AC263" s="56"/>
      <c r="AD263" s="56"/>
      <c r="AE263" s="174"/>
      <c r="AF263" s="56"/>
      <c r="AG263" s="56"/>
      <c r="AH263" s="172"/>
      <c r="AI263" s="56"/>
      <c r="AJ263" s="56"/>
      <c r="AK263" s="56"/>
      <c r="AL263" s="56"/>
      <c r="AM263" s="56"/>
      <c r="AN263" s="56"/>
      <c r="AO263" s="172"/>
      <c r="AP263" s="56"/>
      <c r="AQ263" s="56"/>
      <c r="AR263" s="56"/>
      <c r="AS263" s="56"/>
      <c r="AT263" s="56"/>
      <c r="AU263" s="56"/>
      <c r="AV263" s="56"/>
      <c r="AW263" s="172"/>
      <c r="AX263" s="56"/>
      <c r="AY263" s="56"/>
      <c r="AZ263" s="56"/>
      <c r="BA263" s="172"/>
      <c r="BB263" s="56"/>
      <c r="BC263" s="10"/>
      <c r="BD263" s="56"/>
      <c r="BE263" s="56"/>
      <c r="BF263" s="56"/>
      <c r="BG263" s="56"/>
      <c r="BO263" s="145"/>
      <c r="CI263" s="145"/>
      <c r="CY263" s="145"/>
    </row>
    <row r="264" spans="1:103" s="97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65"/>
      <c r="M264" s="10"/>
      <c r="N264" s="56"/>
      <c r="O264" s="56"/>
      <c r="P264" s="162"/>
      <c r="Q264" s="178"/>
      <c r="R264" s="168"/>
      <c r="S264" s="56"/>
      <c r="T264" s="56"/>
      <c r="U264" s="56"/>
      <c r="V264" s="162"/>
      <c r="W264" s="178"/>
      <c r="X264" s="172"/>
      <c r="Y264" s="10"/>
      <c r="Z264" s="56"/>
      <c r="AA264" s="56"/>
      <c r="AB264" s="56"/>
      <c r="AC264" s="56"/>
      <c r="AD264" s="56"/>
      <c r="AE264" s="174"/>
      <c r="AF264" s="56"/>
      <c r="AG264" s="56"/>
      <c r="AH264" s="172"/>
      <c r="AI264" s="56"/>
      <c r="AJ264" s="56"/>
      <c r="AK264" s="56"/>
      <c r="AL264" s="56"/>
      <c r="AM264" s="56"/>
      <c r="AN264" s="56"/>
      <c r="AO264" s="172"/>
      <c r="AP264" s="56"/>
      <c r="AQ264" s="56"/>
      <c r="AR264" s="56"/>
      <c r="AS264" s="56"/>
      <c r="AT264" s="56"/>
      <c r="AU264" s="56"/>
      <c r="AV264" s="56"/>
      <c r="AW264" s="172"/>
      <c r="AX264" s="56"/>
      <c r="AY264" s="56"/>
      <c r="AZ264" s="56"/>
      <c r="BA264" s="172"/>
      <c r="BB264" s="56"/>
      <c r="BC264" s="10"/>
      <c r="BD264" s="56"/>
      <c r="BE264" s="56"/>
      <c r="BF264" s="56"/>
      <c r="BG264" s="56"/>
      <c r="BO264" s="145"/>
      <c r="CI264" s="145"/>
      <c r="CY264" s="145"/>
    </row>
    <row r="265" spans="1:103" s="97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65"/>
      <c r="M265" s="10"/>
      <c r="N265" s="56"/>
      <c r="O265" s="56"/>
      <c r="P265" s="162"/>
      <c r="Q265" s="178"/>
      <c r="R265" s="168"/>
      <c r="S265" s="56"/>
      <c r="T265" s="56"/>
      <c r="U265" s="56"/>
      <c r="V265" s="162"/>
      <c r="W265" s="178"/>
      <c r="X265" s="172"/>
      <c r="Y265" s="10"/>
      <c r="Z265" s="56"/>
      <c r="AA265" s="56"/>
      <c r="AB265" s="56"/>
      <c r="AC265" s="56"/>
      <c r="AD265" s="56"/>
      <c r="AE265" s="174"/>
      <c r="AF265" s="56"/>
      <c r="AG265" s="56"/>
      <c r="AH265" s="172"/>
      <c r="AI265" s="56"/>
      <c r="AJ265" s="56"/>
      <c r="AK265" s="56"/>
      <c r="AL265" s="56"/>
      <c r="AM265" s="56"/>
      <c r="AN265" s="56"/>
      <c r="AO265" s="172"/>
      <c r="AP265" s="56"/>
      <c r="AQ265" s="56"/>
      <c r="AR265" s="56"/>
      <c r="AS265" s="56"/>
      <c r="AT265" s="56"/>
      <c r="AU265" s="56"/>
      <c r="AV265" s="56"/>
      <c r="AW265" s="172"/>
      <c r="AX265" s="56"/>
      <c r="AY265" s="56"/>
      <c r="AZ265" s="56"/>
      <c r="BA265" s="172"/>
      <c r="BB265" s="56"/>
      <c r="BC265" s="10"/>
      <c r="BD265" s="56"/>
      <c r="BE265" s="56"/>
      <c r="BF265" s="56"/>
      <c r="BG265" s="56"/>
      <c r="BO265" s="145"/>
      <c r="CI265" s="145"/>
      <c r="CY265" s="145"/>
    </row>
    <row r="266" spans="1:103" s="97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65"/>
      <c r="M266" s="10"/>
      <c r="N266" s="56"/>
      <c r="O266" s="56"/>
      <c r="P266" s="162"/>
      <c r="Q266" s="178"/>
      <c r="R266" s="168"/>
      <c r="S266" s="56"/>
      <c r="T266" s="56"/>
      <c r="U266" s="56"/>
      <c r="V266" s="162"/>
      <c r="W266" s="178"/>
      <c r="X266" s="172"/>
      <c r="Y266" s="10"/>
      <c r="Z266" s="56"/>
      <c r="AA266" s="56"/>
      <c r="AB266" s="56"/>
      <c r="AC266" s="56"/>
      <c r="AD266" s="56"/>
      <c r="AE266" s="174"/>
      <c r="AF266" s="56"/>
      <c r="AG266" s="56"/>
      <c r="AH266" s="172"/>
      <c r="AI266" s="56"/>
      <c r="AJ266" s="56"/>
      <c r="AK266" s="56"/>
      <c r="AL266" s="56"/>
      <c r="AM266" s="56"/>
      <c r="AN266" s="56"/>
      <c r="AO266" s="172"/>
      <c r="AP266" s="56"/>
      <c r="AQ266" s="56"/>
      <c r="AR266" s="56"/>
      <c r="AS266" s="56"/>
      <c r="AT266" s="56"/>
      <c r="AU266" s="56"/>
      <c r="AV266" s="56"/>
      <c r="AW266" s="172"/>
      <c r="AX266" s="56"/>
      <c r="AY266" s="56"/>
      <c r="AZ266" s="56"/>
      <c r="BA266" s="172"/>
      <c r="BB266" s="56"/>
      <c r="BC266" s="10"/>
      <c r="BD266" s="56"/>
      <c r="BE266" s="56"/>
      <c r="BF266" s="56"/>
      <c r="BG266" s="56"/>
      <c r="BO266" s="145"/>
      <c r="CI266" s="145"/>
      <c r="CY266" s="145"/>
    </row>
    <row r="267" spans="1:103" s="97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65"/>
      <c r="M267" s="10"/>
      <c r="N267" s="56"/>
      <c r="O267" s="56"/>
      <c r="P267" s="162"/>
      <c r="Q267" s="178"/>
      <c r="R267" s="168"/>
      <c r="S267" s="56"/>
      <c r="T267" s="56"/>
      <c r="U267" s="56"/>
      <c r="V267" s="162"/>
      <c r="W267" s="178"/>
      <c r="X267" s="172"/>
      <c r="Y267" s="10"/>
      <c r="Z267" s="56"/>
      <c r="AA267" s="56"/>
      <c r="AB267" s="56"/>
      <c r="AC267" s="56"/>
      <c r="AD267" s="56"/>
      <c r="AE267" s="174"/>
      <c r="AF267" s="56"/>
      <c r="AG267" s="56"/>
      <c r="AH267" s="172"/>
      <c r="AI267" s="56"/>
      <c r="AJ267" s="56"/>
      <c r="AK267" s="56"/>
      <c r="AL267" s="56"/>
      <c r="AM267" s="56"/>
      <c r="AN267" s="56"/>
      <c r="AO267" s="172"/>
      <c r="AP267" s="56"/>
      <c r="AQ267" s="56"/>
      <c r="AR267" s="56"/>
      <c r="AS267" s="56"/>
      <c r="AT267" s="56"/>
      <c r="AU267" s="56"/>
      <c r="AV267" s="56"/>
      <c r="AW267" s="172"/>
      <c r="AX267" s="56"/>
      <c r="AY267" s="56"/>
      <c r="AZ267" s="56"/>
      <c r="BA267" s="172"/>
      <c r="BB267" s="56"/>
      <c r="BC267" s="10"/>
      <c r="BD267" s="56"/>
      <c r="BE267" s="56"/>
      <c r="BF267" s="56"/>
      <c r="BG267" s="56"/>
      <c r="BO267" s="145"/>
      <c r="CI267" s="145"/>
      <c r="CY267" s="145"/>
    </row>
    <row r="268" spans="1:103" s="97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65"/>
      <c r="M268" s="10"/>
      <c r="N268" s="56"/>
      <c r="O268" s="56"/>
      <c r="P268" s="162"/>
      <c r="Q268" s="178"/>
      <c r="R268" s="168"/>
      <c r="S268" s="56"/>
      <c r="T268" s="56"/>
      <c r="U268" s="56"/>
      <c r="V268" s="162"/>
      <c r="W268" s="178"/>
      <c r="X268" s="172"/>
      <c r="Y268" s="10"/>
      <c r="Z268" s="56"/>
      <c r="AA268" s="56"/>
      <c r="AB268" s="56"/>
      <c r="AC268" s="56"/>
      <c r="AD268" s="56"/>
      <c r="AE268" s="174"/>
      <c r="AF268" s="56"/>
      <c r="AG268" s="56"/>
      <c r="AH268" s="172"/>
      <c r="AI268" s="56"/>
      <c r="AJ268" s="56"/>
      <c r="AK268" s="56"/>
      <c r="AL268" s="56"/>
      <c r="AM268" s="56"/>
      <c r="AN268" s="56"/>
      <c r="AO268" s="172"/>
      <c r="AP268" s="56"/>
      <c r="AQ268" s="56"/>
      <c r="AR268" s="56"/>
      <c r="AS268" s="56"/>
      <c r="AT268" s="56"/>
      <c r="AU268" s="56"/>
      <c r="AV268" s="56"/>
      <c r="AW268" s="172"/>
      <c r="AX268" s="56"/>
      <c r="AY268" s="56"/>
      <c r="AZ268" s="56"/>
      <c r="BA268" s="172"/>
      <c r="BB268" s="56"/>
      <c r="BC268" s="10"/>
      <c r="BD268" s="56"/>
      <c r="BE268" s="56"/>
      <c r="BF268" s="56"/>
      <c r="BG268" s="56"/>
      <c r="BO268" s="145"/>
      <c r="CI268" s="145"/>
      <c r="CY268" s="145"/>
    </row>
    <row r="269" spans="1:103" s="97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65"/>
      <c r="M269" s="10"/>
      <c r="N269" s="56"/>
      <c r="O269" s="56"/>
      <c r="P269" s="162"/>
      <c r="Q269" s="178"/>
      <c r="R269" s="168"/>
      <c r="S269" s="56"/>
      <c r="T269" s="56"/>
      <c r="U269" s="56"/>
      <c r="V269" s="162"/>
      <c r="W269" s="178"/>
      <c r="X269" s="172"/>
      <c r="Y269" s="10"/>
      <c r="Z269" s="56"/>
      <c r="AA269" s="56"/>
      <c r="AB269" s="56"/>
      <c r="AC269" s="56"/>
      <c r="AD269" s="56"/>
      <c r="AE269" s="174"/>
      <c r="AF269" s="56"/>
      <c r="AG269" s="56"/>
      <c r="AH269" s="172"/>
      <c r="AI269" s="56"/>
      <c r="AJ269" s="56"/>
      <c r="AK269" s="56"/>
      <c r="AL269" s="56"/>
      <c r="AM269" s="56"/>
      <c r="AN269" s="56"/>
      <c r="AO269" s="172"/>
      <c r="AP269" s="56"/>
      <c r="AQ269" s="56"/>
      <c r="AR269" s="56"/>
      <c r="AS269" s="56"/>
      <c r="AT269" s="56"/>
      <c r="AU269" s="56"/>
      <c r="AV269" s="56"/>
      <c r="AW269" s="172"/>
      <c r="AX269" s="56"/>
      <c r="AY269" s="56"/>
      <c r="AZ269" s="56"/>
      <c r="BA269" s="172"/>
      <c r="BB269" s="56"/>
      <c r="BC269" s="10"/>
      <c r="BD269" s="56"/>
      <c r="BE269" s="56"/>
      <c r="BF269" s="56"/>
      <c r="BG269" s="56"/>
      <c r="BO269" s="145"/>
      <c r="CI269" s="145"/>
      <c r="CY269" s="145"/>
    </row>
    <row r="270" spans="1:103" s="97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65"/>
      <c r="M270" s="10"/>
      <c r="N270" s="56"/>
      <c r="O270" s="56"/>
      <c r="P270" s="162"/>
      <c r="Q270" s="178"/>
      <c r="R270" s="168"/>
      <c r="S270" s="56"/>
      <c r="T270" s="56"/>
      <c r="U270" s="56"/>
      <c r="V270" s="162"/>
      <c r="W270" s="178"/>
      <c r="X270" s="172"/>
      <c r="Y270" s="10"/>
      <c r="Z270" s="56"/>
      <c r="AA270" s="56"/>
      <c r="AB270" s="56"/>
      <c r="AC270" s="56"/>
      <c r="AD270" s="56"/>
      <c r="AE270" s="174"/>
      <c r="AF270" s="56"/>
      <c r="AG270" s="56"/>
      <c r="AH270" s="172"/>
      <c r="AI270" s="56"/>
      <c r="AJ270" s="56"/>
      <c r="AK270" s="56"/>
      <c r="AL270" s="56"/>
      <c r="AM270" s="56"/>
      <c r="AN270" s="56"/>
      <c r="AO270" s="172"/>
      <c r="AP270" s="56"/>
      <c r="AQ270" s="56"/>
      <c r="AR270" s="56"/>
      <c r="AS270" s="56"/>
      <c r="AT270" s="56"/>
      <c r="AU270" s="56"/>
      <c r="AV270" s="56"/>
      <c r="AW270" s="172"/>
      <c r="AX270" s="56"/>
      <c r="AY270" s="56"/>
      <c r="AZ270" s="56"/>
      <c r="BA270" s="172"/>
      <c r="BB270" s="56"/>
      <c r="BC270" s="10"/>
      <c r="BD270" s="56"/>
      <c r="BE270" s="56"/>
      <c r="BF270" s="56"/>
      <c r="BG270" s="56"/>
      <c r="BO270" s="145"/>
      <c r="CI270" s="145"/>
      <c r="CY270" s="145"/>
    </row>
    <row r="271" spans="1:103" s="97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65"/>
      <c r="M271" s="10"/>
      <c r="N271" s="56"/>
      <c r="O271" s="56"/>
      <c r="P271" s="162"/>
      <c r="Q271" s="178"/>
      <c r="R271" s="168"/>
      <c r="S271" s="56"/>
      <c r="T271" s="56"/>
      <c r="U271" s="56"/>
      <c r="V271" s="162"/>
      <c r="W271" s="178"/>
      <c r="X271" s="172"/>
      <c r="Y271" s="10"/>
      <c r="Z271" s="56"/>
      <c r="AA271" s="56"/>
      <c r="AB271" s="56"/>
      <c r="AC271" s="56"/>
      <c r="AD271" s="56"/>
      <c r="AE271" s="174"/>
      <c r="AF271" s="56"/>
      <c r="AG271" s="56"/>
      <c r="AH271" s="172"/>
      <c r="AI271" s="56"/>
      <c r="AJ271" s="56"/>
      <c r="AK271" s="56"/>
      <c r="AL271" s="56"/>
      <c r="AM271" s="56"/>
      <c r="AN271" s="56"/>
      <c r="AO271" s="172"/>
      <c r="AP271" s="56"/>
      <c r="AQ271" s="56"/>
      <c r="AR271" s="56"/>
      <c r="AS271" s="56"/>
      <c r="AT271" s="56"/>
      <c r="AU271" s="56"/>
      <c r="AV271" s="56"/>
      <c r="AW271" s="172"/>
      <c r="AX271" s="56"/>
      <c r="AY271" s="56"/>
      <c r="AZ271" s="56"/>
      <c r="BA271" s="172"/>
      <c r="BB271" s="56"/>
      <c r="BC271" s="10"/>
      <c r="BD271" s="56"/>
      <c r="BE271" s="56"/>
      <c r="BF271" s="56"/>
      <c r="BG271" s="56"/>
      <c r="BO271" s="145"/>
      <c r="CI271" s="145"/>
      <c r="CY271" s="145"/>
    </row>
    <row r="272" spans="1:103" s="97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65"/>
      <c r="M272" s="10"/>
      <c r="N272" s="56"/>
      <c r="O272" s="56"/>
      <c r="P272" s="162"/>
      <c r="Q272" s="178"/>
      <c r="R272" s="168"/>
      <c r="S272" s="56"/>
      <c r="T272" s="56"/>
      <c r="U272" s="56"/>
      <c r="V272" s="162"/>
      <c r="W272" s="178"/>
      <c r="X272" s="172"/>
      <c r="Y272" s="10"/>
      <c r="Z272" s="56"/>
      <c r="AA272" s="56"/>
      <c r="AB272" s="56"/>
      <c r="AC272" s="56"/>
      <c r="AD272" s="56"/>
      <c r="AE272" s="174"/>
      <c r="AF272" s="56"/>
      <c r="AG272" s="56"/>
      <c r="AH272" s="172"/>
      <c r="AI272" s="56"/>
      <c r="AJ272" s="56"/>
      <c r="AK272" s="56"/>
      <c r="AL272" s="56"/>
      <c r="AM272" s="56"/>
      <c r="AN272" s="56"/>
      <c r="AO272" s="172"/>
      <c r="AP272" s="56"/>
      <c r="AQ272" s="56"/>
      <c r="AR272" s="56"/>
      <c r="AS272" s="56"/>
      <c r="AT272" s="56"/>
      <c r="AU272" s="56"/>
      <c r="AV272" s="56"/>
      <c r="AW272" s="172"/>
      <c r="AX272" s="56"/>
      <c r="AY272" s="56"/>
      <c r="AZ272" s="56"/>
      <c r="BA272" s="172"/>
      <c r="BB272" s="56"/>
      <c r="BC272" s="10"/>
      <c r="BD272" s="56"/>
      <c r="BE272" s="56"/>
      <c r="BF272" s="56"/>
      <c r="BG272" s="56"/>
      <c r="BO272" s="145"/>
      <c r="CI272" s="145"/>
      <c r="CY272" s="145"/>
    </row>
    <row r="273" spans="1:103" s="97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65"/>
      <c r="M273" s="10"/>
      <c r="N273" s="56"/>
      <c r="O273" s="56"/>
      <c r="P273" s="162"/>
      <c r="Q273" s="178"/>
      <c r="R273" s="168"/>
      <c r="S273" s="56"/>
      <c r="T273" s="56"/>
      <c r="U273" s="56"/>
      <c r="V273" s="162"/>
      <c r="W273" s="178"/>
      <c r="X273" s="172"/>
      <c r="Y273" s="10"/>
      <c r="Z273" s="56"/>
      <c r="AA273" s="56"/>
      <c r="AB273" s="56"/>
      <c r="AC273" s="56"/>
      <c r="AD273" s="56"/>
      <c r="AE273" s="174"/>
      <c r="AF273" s="56"/>
      <c r="AG273" s="56"/>
      <c r="AH273" s="172"/>
      <c r="AI273" s="56"/>
      <c r="AJ273" s="56"/>
      <c r="AK273" s="56"/>
      <c r="AL273" s="56"/>
      <c r="AM273" s="56"/>
      <c r="AN273" s="56"/>
      <c r="AO273" s="172"/>
      <c r="AP273" s="56"/>
      <c r="AQ273" s="56"/>
      <c r="AR273" s="56"/>
      <c r="AS273" s="56"/>
      <c r="AT273" s="56"/>
      <c r="AU273" s="56"/>
      <c r="AV273" s="56"/>
      <c r="AW273" s="172"/>
      <c r="AX273" s="56"/>
      <c r="AY273" s="56"/>
      <c r="AZ273" s="56"/>
      <c r="BA273" s="172"/>
      <c r="BB273" s="56"/>
      <c r="BC273" s="10"/>
      <c r="BD273" s="56"/>
      <c r="BE273" s="56"/>
      <c r="BF273" s="56"/>
      <c r="BG273" s="56"/>
      <c r="BO273" s="145"/>
      <c r="CI273" s="145"/>
      <c r="CY273" s="145"/>
    </row>
    <row r="274" spans="1:103" s="97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65"/>
      <c r="M274" s="10"/>
      <c r="N274" s="56"/>
      <c r="O274" s="56"/>
      <c r="P274" s="162"/>
      <c r="Q274" s="178"/>
      <c r="R274" s="168"/>
      <c r="S274" s="56"/>
      <c r="T274" s="56"/>
      <c r="U274" s="56"/>
      <c r="V274" s="162"/>
      <c r="W274" s="178"/>
      <c r="X274" s="172"/>
      <c r="Y274" s="10"/>
      <c r="Z274" s="56"/>
      <c r="AA274" s="56"/>
      <c r="AB274" s="56"/>
      <c r="AC274" s="56"/>
      <c r="AD274" s="56"/>
      <c r="AE274" s="174"/>
      <c r="AF274" s="56"/>
      <c r="AG274" s="56"/>
      <c r="AH274" s="172"/>
      <c r="AI274" s="56"/>
      <c r="AJ274" s="56"/>
      <c r="AK274" s="56"/>
      <c r="AL274" s="56"/>
      <c r="AM274" s="56"/>
      <c r="AN274" s="56"/>
      <c r="AO274" s="172"/>
      <c r="AP274" s="56"/>
      <c r="AQ274" s="56"/>
      <c r="AR274" s="56"/>
      <c r="AS274" s="56"/>
      <c r="AT274" s="56"/>
      <c r="AU274" s="56"/>
      <c r="AV274" s="56"/>
      <c r="AW274" s="172"/>
      <c r="AX274" s="56"/>
      <c r="AY274" s="56"/>
      <c r="AZ274" s="56"/>
      <c r="BA274" s="172"/>
      <c r="BB274" s="56"/>
      <c r="BC274" s="10"/>
      <c r="BD274" s="56"/>
      <c r="BE274" s="56"/>
      <c r="BF274" s="56"/>
      <c r="BG274" s="56"/>
      <c r="BO274" s="145"/>
      <c r="CI274" s="145"/>
      <c r="CY274" s="145"/>
    </row>
    <row r="275" spans="1:103" s="97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65"/>
      <c r="M275" s="10"/>
      <c r="N275" s="56"/>
      <c r="O275" s="56"/>
      <c r="P275" s="162"/>
      <c r="Q275" s="178"/>
      <c r="R275" s="168"/>
      <c r="S275" s="56"/>
      <c r="T275" s="56"/>
      <c r="U275" s="56"/>
      <c r="V275" s="162"/>
      <c r="W275" s="178"/>
      <c r="X275" s="172"/>
      <c r="Y275" s="10"/>
      <c r="Z275" s="56"/>
      <c r="AA275" s="56"/>
      <c r="AB275" s="56"/>
      <c r="AC275" s="56"/>
      <c r="AD275" s="56"/>
      <c r="AE275" s="174"/>
      <c r="AF275" s="56"/>
      <c r="AG275" s="56"/>
      <c r="AH275" s="172"/>
      <c r="AI275" s="56"/>
      <c r="AJ275" s="56"/>
      <c r="AK275" s="56"/>
      <c r="AL275" s="56"/>
      <c r="AM275" s="56"/>
      <c r="AN275" s="56"/>
      <c r="AO275" s="172"/>
      <c r="AP275" s="56"/>
      <c r="AQ275" s="56"/>
      <c r="AR275" s="56"/>
      <c r="AS275" s="56"/>
      <c r="AT275" s="56"/>
      <c r="AU275" s="56"/>
      <c r="AV275" s="56"/>
      <c r="AW275" s="172"/>
      <c r="AX275" s="56"/>
      <c r="AY275" s="56"/>
      <c r="AZ275" s="56"/>
      <c r="BA275" s="172"/>
      <c r="BB275" s="56"/>
      <c r="BC275" s="10"/>
      <c r="BD275" s="56"/>
      <c r="BE275" s="56"/>
      <c r="BF275" s="56"/>
      <c r="BG275" s="56"/>
      <c r="BO275" s="145"/>
      <c r="CI275" s="145"/>
      <c r="CY275" s="145"/>
    </row>
    <row r="276" spans="1:103" s="97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65"/>
      <c r="M276" s="10"/>
      <c r="N276" s="56"/>
      <c r="O276" s="56"/>
      <c r="P276" s="162"/>
      <c r="Q276" s="178"/>
      <c r="R276" s="168"/>
      <c r="S276" s="56"/>
      <c r="T276" s="56"/>
      <c r="U276" s="56"/>
      <c r="V276" s="162"/>
      <c r="W276" s="178"/>
      <c r="X276" s="172"/>
      <c r="Y276" s="10"/>
      <c r="Z276" s="56"/>
      <c r="AA276" s="56"/>
      <c r="AB276" s="56"/>
      <c r="AC276" s="56"/>
      <c r="AD276" s="56"/>
      <c r="AE276" s="174"/>
      <c r="AF276" s="56"/>
      <c r="AG276" s="56"/>
      <c r="AH276" s="172"/>
      <c r="AI276" s="56"/>
      <c r="AJ276" s="56"/>
      <c r="AK276" s="56"/>
      <c r="AL276" s="56"/>
      <c r="AM276" s="56"/>
      <c r="AN276" s="56"/>
      <c r="AO276" s="172"/>
      <c r="AP276" s="56"/>
      <c r="AQ276" s="56"/>
      <c r="AR276" s="56"/>
      <c r="AS276" s="56"/>
      <c r="AT276" s="56"/>
      <c r="AU276" s="56"/>
      <c r="AV276" s="56"/>
      <c r="AW276" s="172"/>
      <c r="AX276" s="56"/>
      <c r="AY276" s="56"/>
      <c r="AZ276" s="56"/>
      <c r="BA276" s="172"/>
      <c r="BB276" s="56"/>
      <c r="BC276" s="10"/>
      <c r="BD276" s="56"/>
      <c r="BE276" s="56"/>
      <c r="BF276" s="56"/>
      <c r="BG276" s="56"/>
      <c r="BO276" s="145"/>
      <c r="CI276" s="145"/>
      <c r="CY276" s="145"/>
    </row>
    <row r="277" spans="1:103" s="97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65"/>
      <c r="M277" s="10"/>
      <c r="N277" s="56"/>
      <c r="O277" s="56"/>
      <c r="P277" s="162"/>
      <c r="Q277" s="178"/>
      <c r="R277" s="168"/>
      <c r="S277" s="56"/>
      <c r="T277" s="56"/>
      <c r="U277" s="56"/>
      <c r="V277" s="162"/>
      <c r="W277" s="178"/>
      <c r="X277" s="172"/>
      <c r="Y277" s="10"/>
      <c r="Z277" s="56"/>
      <c r="AA277" s="56"/>
      <c r="AB277" s="56"/>
      <c r="AC277" s="56"/>
      <c r="AD277" s="56"/>
      <c r="AE277" s="174"/>
      <c r="AF277" s="56"/>
      <c r="AG277" s="56"/>
      <c r="AH277" s="172"/>
      <c r="AI277" s="56"/>
      <c r="AJ277" s="56"/>
      <c r="AK277" s="56"/>
      <c r="AL277" s="56"/>
      <c r="AM277" s="56"/>
      <c r="AN277" s="56"/>
      <c r="AO277" s="172"/>
      <c r="AP277" s="56"/>
      <c r="AQ277" s="56"/>
      <c r="AR277" s="56"/>
      <c r="AS277" s="56"/>
      <c r="AT277" s="56"/>
      <c r="AU277" s="56"/>
      <c r="AV277" s="56"/>
      <c r="AW277" s="172"/>
      <c r="AX277" s="56"/>
      <c r="AY277" s="56"/>
      <c r="AZ277" s="56"/>
      <c r="BA277" s="172"/>
      <c r="BB277" s="56"/>
      <c r="BC277" s="10"/>
      <c r="BD277" s="56"/>
      <c r="BE277" s="56"/>
      <c r="BF277" s="56"/>
      <c r="BG277" s="56"/>
      <c r="BO277" s="145"/>
      <c r="CI277" s="145"/>
      <c r="CY277" s="145"/>
    </row>
    <row r="278" spans="1:103" s="97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65"/>
      <c r="M278" s="10"/>
      <c r="N278" s="56"/>
      <c r="O278" s="56"/>
      <c r="P278" s="162"/>
      <c r="Q278" s="178"/>
      <c r="R278" s="168"/>
      <c r="S278" s="56"/>
      <c r="T278" s="56"/>
      <c r="U278" s="56"/>
      <c r="V278" s="162"/>
      <c r="W278" s="178"/>
      <c r="X278" s="172"/>
      <c r="Y278" s="10"/>
      <c r="Z278" s="56"/>
      <c r="AA278" s="56"/>
      <c r="AB278" s="56"/>
      <c r="AC278" s="56"/>
      <c r="AD278" s="56"/>
      <c r="AE278" s="174"/>
      <c r="AF278" s="56"/>
      <c r="AG278" s="56"/>
      <c r="AH278" s="172"/>
      <c r="AI278" s="56"/>
      <c r="AJ278" s="56"/>
      <c r="AK278" s="56"/>
      <c r="AL278" s="56"/>
      <c r="AM278" s="56"/>
      <c r="AN278" s="56"/>
      <c r="AO278" s="172"/>
      <c r="AP278" s="56"/>
      <c r="AQ278" s="56"/>
      <c r="AR278" s="56"/>
      <c r="AS278" s="56"/>
      <c r="AT278" s="56"/>
      <c r="AU278" s="56"/>
      <c r="AV278" s="56"/>
      <c r="AW278" s="172"/>
      <c r="AX278" s="56"/>
      <c r="AY278" s="56"/>
      <c r="AZ278" s="56"/>
      <c r="BA278" s="172"/>
      <c r="BB278" s="56"/>
      <c r="BC278" s="10"/>
      <c r="BD278" s="56"/>
      <c r="BE278" s="56"/>
      <c r="BF278" s="56"/>
      <c r="BG278" s="56"/>
      <c r="BO278" s="145"/>
      <c r="CI278" s="145"/>
      <c r="CY278" s="145"/>
    </row>
    <row r="279" spans="1:103" s="97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65"/>
      <c r="M279" s="10"/>
      <c r="N279" s="56"/>
      <c r="O279" s="56"/>
      <c r="P279" s="162"/>
      <c r="Q279" s="178"/>
      <c r="R279" s="168"/>
      <c r="S279" s="56"/>
      <c r="T279" s="56"/>
      <c r="U279" s="56"/>
      <c r="V279" s="162"/>
      <c r="W279" s="178"/>
      <c r="X279" s="172"/>
      <c r="Y279" s="10"/>
      <c r="Z279" s="56"/>
      <c r="AA279" s="56"/>
      <c r="AB279" s="56"/>
      <c r="AC279" s="56"/>
      <c r="AD279" s="56"/>
      <c r="AE279" s="174"/>
      <c r="AF279" s="56"/>
      <c r="AG279" s="56"/>
      <c r="AH279" s="172"/>
      <c r="AI279" s="56"/>
      <c r="AJ279" s="56"/>
      <c r="AK279" s="56"/>
      <c r="AL279" s="56"/>
      <c r="AM279" s="56"/>
      <c r="AN279" s="56"/>
      <c r="AO279" s="172"/>
      <c r="AP279" s="56"/>
      <c r="AQ279" s="56"/>
      <c r="AR279" s="56"/>
      <c r="AS279" s="56"/>
      <c r="AT279" s="56"/>
      <c r="AU279" s="56"/>
      <c r="AV279" s="56"/>
      <c r="AW279" s="172"/>
      <c r="AX279" s="56"/>
      <c r="AY279" s="56"/>
      <c r="AZ279" s="56"/>
      <c r="BA279" s="172"/>
      <c r="BB279" s="56"/>
      <c r="BC279" s="10"/>
      <c r="BD279" s="56"/>
      <c r="BE279" s="56"/>
      <c r="BF279" s="56"/>
      <c r="BG279" s="56"/>
      <c r="BO279" s="145"/>
      <c r="CI279" s="145"/>
      <c r="CY279" s="145"/>
    </row>
    <row r="280" spans="1:103" s="97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65"/>
      <c r="M280" s="10"/>
      <c r="N280" s="56"/>
      <c r="O280" s="56"/>
      <c r="P280" s="162"/>
      <c r="Q280" s="178"/>
      <c r="R280" s="168"/>
      <c r="S280" s="56"/>
      <c r="T280" s="56"/>
      <c r="U280" s="56"/>
      <c r="V280" s="162"/>
      <c r="W280" s="178"/>
      <c r="X280" s="172"/>
      <c r="Y280" s="10"/>
      <c r="Z280" s="56"/>
      <c r="AA280" s="56"/>
      <c r="AB280" s="56"/>
      <c r="AC280" s="56"/>
      <c r="AD280" s="56"/>
      <c r="AE280" s="174"/>
      <c r="AF280" s="56"/>
      <c r="AG280" s="56"/>
      <c r="AH280" s="172"/>
      <c r="AI280" s="56"/>
      <c r="AJ280" s="56"/>
      <c r="AK280" s="56"/>
      <c r="AL280" s="56"/>
      <c r="AM280" s="56"/>
      <c r="AN280" s="56"/>
      <c r="AO280" s="172"/>
      <c r="AP280" s="56"/>
      <c r="AQ280" s="56"/>
      <c r="AR280" s="56"/>
      <c r="AS280" s="56"/>
      <c r="AT280" s="56"/>
      <c r="AU280" s="56"/>
      <c r="AV280" s="56"/>
      <c r="AW280" s="172"/>
      <c r="AX280" s="56"/>
      <c r="AY280" s="56"/>
      <c r="AZ280" s="56"/>
      <c r="BA280" s="172"/>
      <c r="BB280" s="56"/>
      <c r="BC280" s="10"/>
      <c r="BD280" s="56"/>
      <c r="BE280" s="56"/>
      <c r="BF280" s="56"/>
      <c r="BG280" s="56"/>
      <c r="BO280" s="145"/>
      <c r="CI280" s="145"/>
      <c r="CY280" s="145"/>
    </row>
    <row r="281" spans="1:103" s="97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65"/>
      <c r="M281" s="10"/>
      <c r="N281" s="56"/>
      <c r="O281" s="56"/>
      <c r="P281" s="162"/>
      <c r="Q281" s="178"/>
      <c r="R281" s="168"/>
      <c r="S281" s="56"/>
      <c r="T281" s="56"/>
      <c r="U281" s="56"/>
      <c r="V281" s="162"/>
      <c r="W281" s="178"/>
      <c r="X281" s="172"/>
      <c r="Y281" s="10"/>
      <c r="Z281" s="56"/>
      <c r="AA281" s="56"/>
      <c r="AB281" s="56"/>
      <c r="AC281" s="56"/>
      <c r="AD281" s="56"/>
      <c r="AE281" s="174"/>
      <c r="AF281" s="56"/>
      <c r="AG281" s="56"/>
      <c r="AH281" s="172"/>
      <c r="AI281" s="56"/>
      <c r="AJ281" s="56"/>
      <c r="AK281" s="56"/>
      <c r="AL281" s="56"/>
      <c r="AM281" s="56"/>
      <c r="AN281" s="56"/>
      <c r="AO281" s="172"/>
      <c r="AP281" s="56"/>
      <c r="AQ281" s="56"/>
      <c r="AR281" s="56"/>
      <c r="AS281" s="56"/>
      <c r="AT281" s="56"/>
      <c r="AU281" s="56"/>
      <c r="AV281" s="56"/>
      <c r="AW281" s="172"/>
      <c r="AX281" s="56"/>
      <c r="AY281" s="56"/>
      <c r="AZ281" s="56"/>
      <c r="BA281" s="172"/>
      <c r="BB281" s="56"/>
      <c r="BC281" s="10"/>
      <c r="BD281" s="56"/>
      <c r="BE281" s="56"/>
      <c r="BF281" s="56"/>
      <c r="BG281" s="56"/>
      <c r="BO281" s="145"/>
      <c r="CI281" s="145"/>
      <c r="CY281" s="145"/>
    </row>
    <row r="282" spans="1:103" s="97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65"/>
      <c r="M282" s="10"/>
      <c r="N282" s="56"/>
      <c r="O282" s="56"/>
      <c r="P282" s="162"/>
      <c r="Q282" s="178"/>
      <c r="R282" s="168"/>
      <c r="S282" s="56"/>
      <c r="T282" s="56"/>
      <c r="U282" s="56"/>
      <c r="V282" s="162"/>
      <c r="W282" s="178"/>
      <c r="X282" s="172"/>
      <c r="Y282" s="10"/>
      <c r="Z282" s="56"/>
      <c r="AA282" s="56"/>
      <c r="AB282" s="56"/>
      <c r="AC282" s="56"/>
      <c r="AD282" s="56"/>
      <c r="AE282" s="174"/>
      <c r="AF282" s="56"/>
      <c r="AG282" s="56"/>
      <c r="AH282" s="172"/>
      <c r="AI282" s="56"/>
      <c r="AJ282" s="56"/>
      <c r="AK282" s="56"/>
      <c r="AL282" s="56"/>
      <c r="AM282" s="56"/>
      <c r="AN282" s="56"/>
      <c r="AO282" s="172"/>
      <c r="AP282" s="56"/>
      <c r="AQ282" s="56"/>
      <c r="AR282" s="56"/>
      <c r="AS282" s="56"/>
      <c r="AT282" s="56"/>
      <c r="AU282" s="56"/>
      <c r="AV282" s="56"/>
      <c r="AW282" s="172"/>
      <c r="AX282" s="56"/>
      <c r="AY282" s="56"/>
      <c r="AZ282" s="56"/>
      <c r="BA282" s="172"/>
      <c r="BB282" s="56"/>
      <c r="BC282" s="10"/>
      <c r="BD282" s="56"/>
      <c r="BE282" s="56"/>
      <c r="BF282" s="56"/>
      <c r="BG282" s="56"/>
      <c r="BO282" s="145"/>
      <c r="CI282" s="145"/>
      <c r="CY282" s="145"/>
    </row>
    <row r="283" spans="1:103" s="97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65"/>
      <c r="M283" s="10"/>
      <c r="N283" s="56"/>
      <c r="O283" s="56"/>
      <c r="P283" s="162"/>
      <c r="Q283" s="178"/>
      <c r="R283" s="168"/>
      <c r="S283" s="56"/>
      <c r="T283" s="56"/>
      <c r="U283" s="56"/>
      <c r="V283" s="162"/>
      <c r="W283" s="178"/>
      <c r="X283" s="172"/>
      <c r="Y283" s="10"/>
      <c r="Z283" s="56"/>
      <c r="AA283" s="56"/>
      <c r="AB283" s="56"/>
      <c r="AC283" s="56"/>
      <c r="AD283" s="56"/>
      <c r="AE283" s="174"/>
      <c r="AF283" s="56"/>
      <c r="AG283" s="56"/>
      <c r="AH283" s="172"/>
      <c r="AI283" s="56"/>
      <c r="AJ283" s="56"/>
      <c r="AK283" s="56"/>
      <c r="AL283" s="56"/>
      <c r="AM283" s="56"/>
      <c r="AN283" s="56"/>
      <c r="AO283" s="172"/>
      <c r="AP283" s="56"/>
      <c r="AQ283" s="56"/>
      <c r="AR283" s="56"/>
      <c r="AS283" s="56"/>
      <c r="AT283" s="56"/>
      <c r="AU283" s="56"/>
      <c r="AV283" s="56"/>
      <c r="AW283" s="172"/>
      <c r="AX283" s="56"/>
      <c r="AY283" s="56"/>
      <c r="AZ283" s="56"/>
      <c r="BA283" s="172"/>
      <c r="BB283" s="56"/>
      <c r="BC283" s="10"/>
      <c r="BD283" s="56"/>
      <c r="BE283" s="56"/>
      <c r="BF283" s="56"/>
      <c r="BG283" s="56"/>
      <c r="BO283" s="145"/>
      <c r="CI283" s="145"/>
      <c r="CY283" s="145"/>
    </row>
    <row r="284" spans="1:103" s="97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65"/>
      <c r="M284" s="10"/>
      <c r="N284" s="56"/>
      <c r="O284" s="56"/>
      <c r="P284" s="162"/>
      <c r="Q284" s="178"/>
      <c r="R284" s="168"/>
      <c r="S284" s="56"/>
      <c r="T284" s="56"/>
      <c r="U284" s="56"/>
      <c r="V284" s="162"/>
      <c r="W284" s="178"/>
      <c r="X284" s="172"/>
      <c r="Y284" s="10"/>
      <c r="Z284" s="56"/>
      <c r="AA284" s="56"/>
      <c r="AB284" s="56"/>
      <c r="AC284" s="56"/>
      <c r="AD284" s="56"/>
      <c r="AE284" s="174"/>
      <c r="AF284" s="56"/>
      <c r="AG284" s="56"/>
      <c r="AH284" s="172"/>
      <c r="AI284" s="56"/>
      <c r="AJ284" s="56"/>
      <c r="AK284" s="56"/>
      <c r="AL284" s="56"/>
      <c r="AM284" s="56"/>
      <c r="AN284" s="56"/>
      <c r="AO284" s="172"/>
      <c r="AP284" s="56"/>
      <c r="AQ284" s="56"/>
      <c r="AR284" s="56"/>
      <c r="AS284" s="56"/>
      <c r="AT284" s="56"/>
      <c r="AU284" s="56"/>
      <c r="AV284" s="56"/>
      <c r="AW284" s="172"/>
      <c r="AX284" s="56"/>
      <c r="AY284" s="56"/>
      <c r="AZ284" s="56"/>
      <c r="BA284" s="172"/>
      <c r="BB284" s="56"/>
      <c r="BC284" s="10"/>
      <c r="BD284" s="56"/>
      <c r="BE284" s="56"/>
      <c r="BF284" s="56"/>
      <c r="BG284" s="56"/>
      <c r="BO284" s="145"/>
      <c r="CI284" s="145"/>
      <c r="CY284" s="145"/>
    </row>
    <row r="285" spans="1:103" s="97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65"/>
      <c r="M285" s="10"/>
      <c r="N285" s="56"/>
      <c r="O285" s="56"/>
      <c r="P285" s="162"/>
      <c r="Q285" s="178"/>
      <c r="R285" s="168"/>
      <c r="S285" s="56"/>
      <c r="T285" s="56"/>
      <c r="U285" s="56"/>
      <c r="V285" s="162"/>
      <c r="W285" s="178"/>
      <c r="X285" s="172"/>
      <c r="Y285" s="10"/>
      <c r="Z285" s="56"/>
      <c r="AA285" s="56"/>
      <c r="AB285" s="56"/>
      <c r="AC285" s="56"/>
      <c r="AD285" s="56"/>
      <c r="AE285" s="174"/>
      <c r="AF285" s="56"/>
      <c r="AG285" s="56"/>
      <c r="AH285" s="172"/>
      <c r="AI285" s="56"/>
      <c r="AJ285" s="56"/>
      <c r="AK285" s="56"/>
      <c r="AL285" s="56"/>
      <c r="AM285" s="56"/>
      <c r="AN285" s="56"/>
      <c r="AO285" s="172"/>
      <c r="AP285" s="56"/>
      <c r="AQ285" s="56"/>
      <c r="AR285" s="56"/>
      <c r="AS285" s="56"/>
      <c r="AT285" s="56"/>
      <c r="AU285" s="56"/>
      <c r="AV285" s="56"/>
      <c r="AW285" s="172"/>
      <c r="AX285" s="56"/>
      <c r="AY285" s="56"/>
      <c r="AZ285" s="56"/>
      <c r="BA285" s="172"/>
      <c r="BB285" s="56"/>
      <c r="BC285" s="10"/>
      <c r="BD285" s="56"/>
      <c r="BE285" s="56"/>
      <c r="BF285" s="56"/>
      <c r="BG285" s="56"/>
      <c r="BO285" s="145"/>
      <c r="CI285" s="145"/>
      <c r="CY285" s="145"/>
    </row>
    <row r="286" spans="1:103" s="97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65"/>
      <c r="M286" s="10"/>
      <c r="N286" s="56"/>
      <c r="O286" s="56"/>
      <c r="P286" s="162"/>
      <c r="Q286" s="178"/>
      <c r="R286" s="168"/>
      <c r="S286" s="56"/>
      <c r="T286" s="56"/>
      <c r="U286" s="56"/>
      <c r="V286" s="162"/>
      <c r="W286" s="178"/>
      <c r="X286" s="172"/>
      <c r="Y286" s="10"/>
      <c r="Z286" s="56"/>
      <c r="AA286" s="56"/>
      <c r="AB286" s="56"/>
      <c r="AC286" s="56"/>
      <c r="AD286" s="56"/>
      <c r="AE286" s="174"/>
      <c r="AF286" s="56"/>
      <c r="AG286" s="56"/>
      <c r="AH286" s="172"/>
      <c r="AI286" s="56"/>
      <c r="AJ286" s="56"/>
      <c r="AK286" s="56"/>
      <c r="AL286" s="56"/>
      <c r="AM286" s="56"/>
      <c r="AN286" s="56"/>
      <c r="AO286" s="172"/>
      <c r="AP286" s="56"/>
      <c r="AQ286" s="56"/>
      <c r="AR286" s="56"/>
      <c r="AS286" s="56"/>
      <c r="AT286" s="56"/>
      <c r="AU286" s="56"/>
      <c r="AV286" s="56"/>
      <c r="AW286" s="172"/>
      <c r="AX286" s="56"/>
      <c r="AY286" s="56"/>
      <c r="AZ286" s="56"/>
      <c r="BA286" s="172"/>
      <c r="BB286" s="56"/>
      <c r="BC286" s="10"/>
      <c r="BD286" s="56"/>
      <c r="BE286" s="56"/>
      <c r="BF286" s="56"/>
      <c r="BG286" s="56"/>
      <c r="BO286" s="145"/>
      <c r="CI286" s="145"/>
      <c r="CY286" s="145"/>
    </row>
    <row r="287" spans="1:103" s="97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65"/>
      <c r="M287" s="10"/>
      <c r="N287" s="56"/>
      <c r="O287" s="56"/>
      <c r="P287" s="162"/>
      <c r="Q287" s="178"/>
      <c r="R287" s="168"/>
      <c r="S287" s="56"/>
      <c r="T287" s="56"/>
      <c r="U287" s="56"/>
      <c r="V287" s="162"/>
      <c r="W287" s="178"/>
      <c r="X287" s="172"/>
      <c r="Y287" s="10"/>
      <c r="Z287" s="56"/>
      <c r="AA287" s="56"/>
      <c r="AB287" s="56"/>
      <c r="AC287" s="56"/>
      <c r="AD287" s="56"/>
      <c r="AE287" s="174"/>
      <c r="AF287" s="56"/>
      <c r="AG287" s="56"/>
      <c r="AH287" s="172"/>
      <c r="AI287" s="56"/>
      <c r="AJ287" s="56"/>
      <c r="AK287" s="56"/>
      <c r="AL287" s="56"/>
      <c r="AM287" s="56"/>
      <c r="AN287" s="56"/>
      <c r="AO287" s="172"/>
      <c r="AP287" s="56"/>
      <c r="AQ287" s="56"/>
      <c r="AR287" s="56"/>
      <c r="AS287" s="56"/>
      <c r="AT287" s="56"/>
      <c r="AU287" s="56"/>
      <c r="AV287" s="56"/>
      <c r="AW287" s="172"/>
      <c r="AX287" s="56"/>
      <c r="AY287" s="56"/>
      <c r="AZ287" s="56"/>
      <c r="BA287" s="172"/>
      <c r="BB287" s="56"/>
      <c r="BC287" s="10"/>
      <c r="BD287" s="56"/>
      <c r="BE287" s="56"/>
      <c r="BF287" s="56"/>
      <c r="BG287" s="56"/>
      <c r="BO287" s="145"/>
      <c r="CI287" s="145"/>
      <c r="CY287" s="145"/>
    </row>
    <row r="288" spans="1:103" s="97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65"/>
      <c r="M288" s="10"/>
      <c r="N288" s="56"/>
      <c r="O288" s="56"/>
      <c r="P288" s="162"/>
      <c r="Q288" s="178"/>
      <c r="R288" s="168"/>
      <c r="S288" s="56"/>
      <c r="T288" s="56"/>
      <c r="U288" s="56"/>
      <c r="V288" s="162"/>
      <c r="W288" s="178"/>
      <c r="X288" s="172"/>
      <c r="Y288" s="10"/>
      <c r="Z288" s="56"/>
      <c r="AA288" s="56"/>
      <c r="AB288" s="56"/>
      <c r="AC288" s="56"/>
      <c r="AD288" s="56"/>
      <c r="AE288" s="174"/>
      <c r="AF288" s="56"/>
      <c r="AG288" s="56"/>
      <c r="AH288" s="172"/>
      <c r="AI288" s="56"/>
      <c r="AJ288" s="56"/>
      <c r="AK288" s="56"/>
      <c r="AL288" s="56"/>
      <c r="AM288" s="56"/>
      <c r="AN288" s="56"/>
      <c r="AO288" s="172"/>
      <c r="AP288" s="56"/>
      <c r="AQ288" s="56"/>
      <c r="AR288" s="56"/>
      <c r="AS288" s="56"/>
      <c r="AT288" s="56"/>
      <c r="AU288" s="56"/>
      <c r="AV288" s="56"/>
      <c r="AW288" s="172"/>
      <c r="AX288" s="56"/>
      <c r="AY288" s="56"/>
      <c r="AZ288" s="56"/>
      <c r="BA288" s="172"/>
      <c r="BB288" s="56"/>
      <c r="BC288" s="10"/>
      <c r="BD288" s="56"/>
      <c r="BE288" s="56"/>
      <c r="BF288" s="56"/>
      <c r="BG288" s="56"/>
      <c r="BO288" s="145"/>
      <c r="CI288" s="145"/>
      <c r="CY288" s="145"/>
    </row>
    <row r="289" spans="1:103" s="97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65"/>
      <c r="M289" s="10"/>
      <c r="N289" s="56"/>
      <c r="O289" s="56"/>
      <c r="P289" s="162"/>
      <c r="Q289" s="178"/>
      <c r="R289" s="168"/>
      <c r="S289" s="56"/>
      <c r="T289" s="56"/>
      <c r="U289" s="56"/>
      <c r="V289" s="162"/>
      <c r="W289" s="178"/>
      <c r="X289" s="172"/>
      <c r="Y289" s="10"/>
      <c r="Z289" s="56"/>
      <c r="AA289" s="56"/>
      <c r="AB289" s="56"/>
      <c r="AC289" s="56"/>
      <c r="AD289" s="56"/>
      <c r="AE289" s="174"/>
      <c r="AF289" s="56"/>
      <c r="AG289" s="56"/>
      <c r="AH289" s="172"/>
      <c r="AI289" s="56"/>
      <c r="AJ289" s="56"/>
      <c r="AK289" s="56"/>
      <c r="AL289" s="56"/>
      <c r="AM289" s="56"/>
      <c r="AN289" s="56"/>
      <c r="AO289" s="172"/>
      <c r="AP289" s="56"/>
      <c r="AQ289" s="56"/>
      <c r="AR289" s="56"/>
      <c r="AS289" s="56"/>
      <c r="AT289" s="56"/>
      <c r="AU289" s="56"/>
      <c r="AV289" s="56"/>
      <c r="AW289" s="172"/>
      <c r="AX289" s="56"/>
      <c r="AY289" s="56"/>
      <c r="AZ289" s="56"/>
      <c r="BA289" s="172"/>
      <c r="BB289" s="56"/>
      <c r="BC289" s="10"/>
      <c r="BD289" s="56"/>
      <c r="BE289" s="56"/>
      <c r="BF289" s="56"/>
      <c r="BG289" s="56"/>
      <c r="BO289" s="145"/>
      <c r="CI289" s="145"/>
      <c r="CY289" s="145"/>
    </row>
    <row r="290" spans="1:103" s="97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65"/>
      <c r="M290" s="10"/>
      <c r="N290" s="56"/>
      <c r="O290" s="56"/>
      <c r="P290" s="162"/>
      <c r="Q290" s="178"/>
      <c r="R290" s="168"/>
      <c r="S290" s="56"/>
      <c r="T290" s="56"/>
      <c r="U290" s="56"/>
      <c r="V290" s="162"/>
      <c r="W290" s="178"/>
      <c r="X290" s="172"/>
      <c r="Y290" s="10"/>
      <c r="Z290" s="56"/>
      <c r="AA290" s="56"/>
      <c r="AB290" s="56"/>
      <c r="AC290" s="56"/>
      <c r="AD290" s="56"/>
      <c r="AE290" s="174"/>
      <c r="AF290" s="56"/>
      <c r="AG290" s="56"/>
      <c r="AH290" s="172"/>
      <c r="AI290" s="56"/>
      <c r="AJ290" s="56"/>
      <c r="AK290" s="56"/>
      <c r="AL290" s="56"/>
      <c r="AM290" s="56"/>
      <c r="AN290" s="56"/>
      <c r="AO290" s="172"/>
      <c r="AP290" s="56"/>
      <c r="AQ290" s="56"/>
      <c r="AR290" s="56"/>
      <c r="AS290" s="56"/>
      <c r="AT290" s="56"/>
      <c r="AU290" s="56"/>
      <c r="AV290" s="56"/>
      <c r="AW290" s="172"/>
      <c r="AX290" s="56"/>
      <c r="AY290" s="56"/>
      <c r="AZ290" s="56"/>
      <c r="BA290" s="172"/>
      <c r="BB290" s="56"/>
      <c r="BC290" s="10"/>
      <c r="BD290" s="56"/>
      <c r="BE290" s="56"/>
      <c r="BF290" s="56"/>
      <c r="BG290" s="56"/>
      <c r="BO290" s="145"/>
      <c r="CI290" s="145"/>
      <c r="CY290" s="145"/>
    </row>
    <row r="291" spans="1:103" s="97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65"/>
      <c r="M291" s="10"/>
      <c r="N291" s="56"/>
      <c r="O291" s="56"/>
      <c r="P291" s="162"/>
      <c r="Q291" s="178"/>
      <c r="R291" s="168"/>
      <c r="S291" s="56"/>
      <c r="T291" s="56"/>
      <c r="U291" s="56"/>
      <c r="V291" s="162"/>
      <c r="W291" s="178"/>
      <c r="X291" s="172"/>
      <c r="Y291" s="10"/>
      <c r="Z291" s="56"/>
      <c r="AA291" s="56"/>
      <c r="AB291" s="56"/>
      <c r="AC291" s="56"/>
      <c r="AD291" s="56"/>
      <c r="AE291" s="174"/>
      <c r="AF291" s="56"/>
      <c r="AG291" s="56"/>
      <c r="AH291" s="172"/>
      <c r="AI291" s="56"/>
      <c r="AJ291" s="56"/>
      <c r="AK291" s="56"/>
      <c r="AL291" s="56"/>
      <c r="AM291" s="56"/>
      <c r="AN291" s="56"/>
      <c r="AO291" s="172"/>
      <c r="AP291" s="56"/>
      <c r="AQ291" s="56"/>
      <c r="AR291" s="56"/>
      <c r="AS291" s="56"/>
      <c r="AT291" s="56"/>
      <c r="AU291" s="56"/>
      <c r="AV291" s="56"/>
      <c r="AW291" s="172"/>
      <c r="AX291" s="56"/>
      <c r="AY291" s="56"/>
      <c r="AZ291" s="56"/>
      <c r="BA291" s="172"/>
      <c r="BB291" s="56"/>
      <c r="BC291" s="10"/>
      <c r="BD291" s="56"/>
      <c r="BE291" s="56"/>
      <c r="BF291" s="56"/>
      <c r="BG291" s="56"/>
      <c r="BO291" s="145"/>
      <c r="CI291" s="145"/>
      <c r="CY291" s="145"/>
    </row>
    <row r="292" spans="1:103" s="97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65"/>
      <c r="M292" s="10"/>
      <c r="N292" s="56"/>
      <c r="O292" s="56"/>
      <c r="P292" s="162"/>
      <c r="Q292" s="178"/>
      <c r="R292" s="168"/>
      <c r="S292" s="56"/>
      <c r="T292" s="56"/>
      <c r="U292" s="56"/>
      <c r="V292" s="162"/>
      <c r="W292" s="178"/>
      <c r="X292" s="172"/>
      <c r="Y292" s="10"/>
      <c r="Z292" s="56"/>
      <c r="AA292" s="56"/>
      <c r="AB292" s="56"/>
      <c r="AC292" s="56"/>
      <c r="AD292" s="56"/>
      <c r="AE292" s="174"/>
      <c r="AF292" s="56"/>
      <c r="AG292" s="56"/>
      <c r="AH292" s="172"/>
      <c r="AI292" s="56"/>
      <c r="AJ292" s="56"/>
      <c r="AK292" s="56"/>
      <c r="AL292" s="56"/>
      <c r="AM292" s="56"/>
      <c r="AN292" s="56"/>
      <c r="AO292" s="172"/>
      <c r="AP292" s="56"/>
      <c r="AQ292" s="56"/>
      <c r="AR292" s="56"/>
      <c r="AS292" s="56"/>
      <c r="AT292" s="56"/>
      <c r="AU292" s="56"/>
      <c r="AV292" s="56"/>
      <c r="AW292" s="172"/>
      <c r="AX292" s="56"/>
      <c r="AY292" s="56"/>
      <c r="AZ292" s="56"/>
      <c r="BA292" s="172"/>
      <c r="BB292" s="56"/>
      <c r="BC292" s="10"/>
      <c r="BD292" s="56"/>
      <c r="BE292" s="56"/>
      <c r="BF292" s="56"/>
      <c r="BG292" s="56"/>
      <c r="BO292" s="145"/>
      <c r="CI292" s="145"/>
      <c r="CY292" s="145"/>
    </row>
    <row r="293" spans="1:103" s="97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65"/>
      <c r="M293" s="10"/>
      <c r="N293" s="56"/>
      <c r="O293" s="56"/>
      <c r="P293" s="162"/>
      <c r="Q293" s="178"/>
      <c r="R293" s="168"/>
      <c r="S293" s="56"/>
      <c r="T293" s="56"/>
      <c r="U293" s="56"/>
      <c r="V293" s="162"/>
      <c r="W293" s="178"/>
      <c r="X293" s="172"/>
      <c r="Y293" s="10"/>
      <c r="Z293" s="56"/>
      <c r="AA293" s="56"/>
      <c r="AB293" s="56"/>
      <c r="AC293" s="56"/>
      <c r="AD293" s="56"/>
      <c r="AE293" s="174"/>
      <c r="AF293" s="56"/>
      <c r="AG293" s="56"/>
      <c r="AH293" s="172"/>
      <c r="AI293" s="56"/>
      <c r="AJ293" s="56"/>
      <c r="AK293" s="56"/>
      <c r="AL293" s="56"/>
      <c r="AM293" s="56"/>
      <c r="AN293" s="56"/>
      <c r="AO293" s="172"/>
      <c r="AP293" s="56"/>
      <c r="AQ293" s="56"/>
      <c r="AR293" s="56"/>
      <c r="AS293" s="56"/>
      <c r="AT293" s="56"/>
      <c r="AU293" s="56"/>
      <c r="AV293" s="56"/>
      <c r="AW293" s="172"/>
      <c r="AX293" s="56"/>
      <c r="AY293" s="56"/>
      <c r="AZ293" s="56"/>
      <c r="BA293" s="172"/>
      <c r="BB293" s="56"/>
      <c r="BC293" s="10"/>
      <c r="BD293" s="56"/>
      <c r="BE293" s="56"/>
      <c r="BF293" s="56"/>
      <c r="BG293" s="56"/>
      <c r="BO293" s="145"/>
      <c r="CI293" s="145"/>
      <c r="CY293" s="145"/>
    </row>
    <row r="294" spans="1:103" s="97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65"/>
      <c r="M294" s="10"/>
      <c r="N294" s="56"/>
      <c r="O294" s="56"/>
      <c r="P294" s="162"/>
      <c r="Q294" s="178"/>
      <c r="R294" s="168"/>
      <c r="S294" s="56"/>
      <c r="T294" s="56"/>
      <c r="U294" s="56"/>
      <c r="V294" s="162"/>
      <c r="W294" s="178"/>
      <c r="X294" s="172"/>
      <c r="Y294" s="10"/>
      <c r="Z294" s="56"/>
      <c r="AA294" s="56"/>
      <c r="AB294" s="56"/>
      <c r="AC294" s="56"/>
      <c r="AD294" s="56"/>
      <c r="AE294" s="174"/>
      <c r="AF294" s="56"/>
      <c r="AG294" s="56"/>
      <c r="AH294" s="172"/>
      <c r="AI294" s="56"/>
      <c r="AJ294" s="56"/>
      <c r="AK294" s="56"/>
      <c r="AL294" s="56"/>
      <c r="AM294" s="56"/>
      <c r="AN294" s="56"/>
      <c r="AO294" s="172"/>
      <c r="AP294" s="56"/>
      <c r="AQ294" s="56"/>
      <c r="AR294" s="56"/>
      <c r="AS294" s="56"/>
      <c r="AT294" s="56"/>
      <c r="AU294" s="56"/>
      <c r="AV294" s="56"/>
      <c r="AW294" s="172"/>
      <c r="AX294" s="56"/>
      <c r="AY294" s="56"/>
      <c r="AZ294" s="56"/>
      <c r="BA294" s="172"/>
      <c r="BB294" s="56"/>
      <c r="BC294" s="10"/>
      <c r="BD294" s="56"/>
      <c r="BE294" s="56"/>
      <c r="BF294" s="56"/>
      <c r="BG294" s="56"/>
      <c r="BO294" s="145"/>
      <c r="CI294" s="145"/>
      <c r="CY294" s="145"/>
    </row>
    <row r="295" spans="1:103" s="97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65"/>
      <c r="M295" s="10"/>
      <c r="N295" s="56"/>
      <c r="O295" s="56"/>
      <c r="P295" s="162"/>
      <c r="Q295" s="178"/>
      <c r="R295" s="168"/>
      <c r="S295" s="56"/>
      <c r="T295" s="56"/>
      <c r="U295" s="56"/>
      <c r="V295" s="162"/>
      <c r="W295" s="178"/>
      <c r="X295" s="172"/>
      <c r="Y295" s="10"/>
      <c r="Z295" s="56"/>
      <c r="AA295" s="56"/>
      <c r="AB295" s="56"/>
      <c r="AC295" s="56"/>
      <c r="AD295" s="56"/>
      <c r="AE295" s="174"/>
      <c r="AF295" s="56"/>
      <c r="AG295" s="56"/>
      <c r="AH295" s="172"/>
      <c r="AI295" s="56"/>
      <c r="AJ295" s="56"/>
      <c r="AK295" s="56"/>
      <c r="AL295" s="56"/>
      <c r="AM295" s="56"/>
      <c r="AN295" s="56"/>
      <c r="AO295" s="172"/>
      <c r="AP295" s="56"/>
      <c r="AQ295" s="56"/>
      <c r="AR295" s="56"/>
      <c r="AS295" s="56"/>
      <c r="AT295" s="56"/>
      <c r="AU295" s="56"/>
      <c r="AV295" s="56"/>
      <c r="AW295" s="172"/>
      <c r="AX295" s="56"/>
      <c r="AY295" s="56"/>
      <c r="AZ295" s="56"/>
      <c r="BA295" s="172"/>
      <c r="BB295" s="56"/>
      <c r="BC295" s="10"/>
      <c r="BD295" s="56"/>
      <c r="BE295" s="56"/>
      <c r="BF295" s="56"/>
      <c r="BG295" s="56"/>
      <c r="BO295" s="145"/>
      <c r="CI295" s="145"/>
      <c r="CY295" s="145"/>
    </row>
    <row r="296" spans="1:103" s="97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65"/>
      <c r="M296" s="10"/>
      <c r="N296" s="56"/>
      <c r="O296" s="56"/>
      <c r="P296" s="162"/>
      <c r="Q296" s="178"/>
      <c r="R296" s="168"/>
      <c r="S296" s="56"/>
      <c r="T296" s="56"/>
      <c r="U296" s="56"/>
      <c r="V296" s="162"/>
      <c r="W296" s="178"/>
      <c r="X296" s="172"/>
      <c r="Y296" s="10"/>
      <c r="Z296" s="56"/>
      <c r="AA296" s="56"/>
      <c r="AB296" s="56"/>
      <c r="AC296" s="56"/>
      <c r="AD296" s="56"/>
      <c r="AE296" s="174"/>
      <c r="AF296" s="56"/>
      <c r="AG296" s="56"/>
      <c r="AH296" s="172"/>
      <c r="AI296" s="56"/>
      <c r="AJ296" s="56"/>
      <c r="AK296" s="56"/>
      <c r="AL296" s="56"/>
      <c r="AM296" s="56"/>
      <c r="AN296" s="56"/>
      <c r="AO296" s="172"/>
      <c r="AP296" s="56"/>
      <c r="AQ296" s="56"/>
      <c r="AR296" s="56"/>
      <c r="AS296" s="56"/>
      <c r="AT296" s="56"/>
      <c r="AU296" s="56"/>
      <c r="AV296" s="56"/>
      <c r="AW296" s="172"/>
      <c r="AX296" s="56"/>
      <c r="AY296" s="56"/>
      <c r="AZ296" s="56"/>
      <c r="BA296" s="172"/>
      <c r="BB296" s="56"/>
      <c r="BC296" s="10"/>
      <c r="BD296" s="56"/>
      <c r="BE296" s="56"/>
      <c r="BF296" s="56"/>
      <c r="BG296" s="56"/>
      <c r="BO296" s="145"/>
      <c r="CI296" s="145"/>
      <c r="CY296" s="145"/>
    </row>
    <row r="297" spans="1:103" s="97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65"/>
      <c r="M297" s="10"/>
      <c r="N297" s="56"/>
      <c r="O297" s="56"/>
      <c r="P297" s="162"/>
      <c r="Q297" s="178"/>
      <c r="R297" s="168"/>
      <c r="S297" s="56"/>
      <c r="T297" s="56"/>
      <c r="U297" s="56"/>
      <c r="V297" s="162"/>
      <c r="W297" s="178"/>
      <c r="X297" s="172"/>
      <c r="Y297" s="10"/>
      <c r="Z297" s="56"/>
      <c r="AA297" s="56"/>
      <c r="AB297" s="56"/>
      <c r="AC297" s="56"/>
      <c r="AD297" s="56"/>
      <c r="AE297" s="174"/>
      <c r="AF297" s="56"/>
      <c r="AG297" s="56"/>
      <c r="AH297" s="172"/>
      <c r="AI297" s="56"/>
      <c r="AJ297" s="56"/>
      <c r="AK297" s="56"/>
      <c r="AL297" s="56"/>
      <c r="AM297" s="56"/>
      <c r="AN297" s="56"/>
      <c r="AO297" s="172"/>
      <c r="AP297" s="56"/>
      <c r="AQ297" s="56"/>
      <c r="AR297" s="56"/>
      <c r="AS297" s="56"/>
      <c r="AT297" s="56"/>
      <c r="AU297" s="56"/>
      <c r="AV297" s="56"/>
      <c r="AW297" s="172"/>
      <c r="AX297" s="56"/>
      <c r="AY297" s="56"/>
      <c r="AZ297" s="56"/>
      <c r="BA297" s="172"/>
      <c r="BB297" s="56"/>
      <c r="BC297" s="10"/>
      <c r="BD297" s="56"/>
      <c r="BE297" s="56"/>
      <c r="BF297" s="56"/>
      <c r="BG297" s="56"/>
      <c r="BO297" s="145"/>
      <c r="CI297" s="145"/>
      <c r="CY297" s="145"/>
    </row>
    <row r="298" spans="1:103" s="97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65"/>
      <c r="M298" s="10"/>
      <c r="N298" s="56"/>
      <c r="O298" s="56"/>
      <c r="P298" s="162"/>
      <c r="Q298" s="178"/>
      <c r="R298" s="168"/>
      <c r="S298" s="56"/>
      <c r="T298" s="56"/>
      <c r="U298" s="56"/>
      <c r="V298" s="162"/>
      <c r="W298" s="178"/>
      <c r="X298" s="172"/>
      <c r="Y298" s="10"/>
      <c r="Z298" s="56"/>
      <c r="AA298" s="56"/>
      <c r="AB298" s="56"/>
      <c r="AC298" s="56"/>
      <c r="AD298" s="56"/>
      <c r="AE298" s="174"/>
      <c r="AF298" s="56"/>
      <c r="AG298" s="56"/>
      <c r="AH298" s="172"/>
      <c r="AI298" s="56"/>
      <c r="AJ298" s="56"/>
      <c r="AK298" s="56"/>
      <c r="AL298" s="56"/>
      <c r="AM298" s="56"/>
      <c r="AN298" s="56"/>
      <c r="AO298" s="172"/>
      <c r="AP298" s="56"/>
      <c r="AQ298" s="56"/>
      <c r="AR298" s="56"/>
      <c r="AS298" s="56"/>
      <c r="AT298" s="56"/>
      <c r="AU298" s="56"/>
      <c r="AV298" s="56"/>
      <c r="AW298" s="172"/>
      <c r="AX298" s="56"/>
      <c r="AY298" s="56"/>
      <c r="AZ298" s="56"/>
      <c r="BA298" s="172"/>
      <c r="BB298" s="56"/>
      <c r="BC298" s="10"/>
      <c r="BD298" s="56"/>
      <c r="BE298" s="56"/>
      <c r="BF298" s="56"/>
      <c r="BG298" s="56"/>
      <c r="BO298" s="145"/>
      <c r="CI298" s="145"/>
      <c r="CY298" s="145"/>
    </row>
    <row r="299" spans="1:103" s="97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65"/>
      <c r="M299" s="10"/>
      <c r="N299" s="56"/>
      <c r="O299" s="56"/>
      <c r="P299" s="162"/>
      <c r="Q299" s="178"/>
      <c r="R299" s="168"/>
      <c r="S299" s="56"/>
      <c r="T299" s="56"/>
      <c r="U299" s="56"/>
      <c r="V299" s="162"/>
      <c r="W299" s="178"/>
      <c r="X299" s="172"/>
      <c r="Y299" s="10"/>
      <c r="Z299" s="56"/>
      <c r="AA299" s="56"/>
      <c r="AB299" s="56"/>
      <c r="AC299" s="56"/>
      <c r="AD299" s="56"/>
      <c r="AE299" s="174"/>
      <c r="AF299" s="56"/>
      <c r="AG299" s="56"/>
      <c r="AH299" s="172"/>
      <c r="AI299" s="56"/>
      <c r="AJ299" s="56"/>
      <c r="AK299" s="56"/>
      <c r="AL299" s="56"/>
      <c r="AM299" s="56"/>
      <c r="AN299" s="56"/>
      <c r="AO299" s="172"/>
      <c r="AP299" s="56"/>
      <c r="AQ299" s="56"/>
      <c r="AR299" s="56"/>
      <c r="AS299" s="56"/>
      <c r="AT299" s="56"/>
      <c r="AU299" s="56"/>
      <c r="AV299" s="56"/>
      <c r="AW299" s="172"/>
      <c r="AX299" s="56"/>
      <c r="AY299" s="56"/>
      <c r="AZ299" s="56"/>
      <c r="BA299" s="172"/>
      <c r="BB299" s="56"/>
      <c r="BC299" s="10"/>
      <c r="BD299" s="56"/>
      <c r="BE299" s="56"/>
      <c r="BF299" s="56"/>
      <c r="BG299" s="56"/>
      <c r="BO299" s="145"/>
      <c r="CI299" s="145"/>
      <c r="CY299" s="145"/>
    </row>
    <row r="300" spans="1:103" s="97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65"/>
      <c r="M300" s="10"/>
      <c r="N300" s="56"/>
      <c r="O300" s="56"/>
      <c r="P300" s="162"/>
      <c r="Q300" s="178"/>
      <c r="R300" s="168"/>
      <c r="S300" s="56"/>
      <c r="T300" s="56"/>
      <c r="U300" s="56"/>
      <c r="V300" s="162"/>
      <c r="W300" s="178"/>
      <c r="X300" s="172"/>
      <c r="Y300" s="10"/>
      <c r="Z300" s="56"/>
      <c r="AA300" s="56"/>
      <c r="AB300" s="56"/>
      <c r="AC300" s="56"/>
      <c r="AD300" s="56"/>
      <c r="AE300" s="174"/>
      <c r="AF300" s="56"/>
      <c r="AG300" s="56"/>
      <c r="AH300" s="172"/>
      <c r="AI300" s="56"/>
      <c r="AJ300" s="56"/>
      <c r="AK300" s="56"/>
      <c r="AL300" s="56"/>
      <c r="AM300" s="56"/>
      <c r="AN300" s="56"/>
      <c r="AO300" s="172"/>
      <c r="AP300" s="56"/>
      <c r="AQ300" s="56"/>
      <c r="AR300" s="56"/>
      <c r="AS300" s="56"/>
      <c r="AT300" s="56"/>
      <c r="AU300" s="56"/>
      <c r="AV300" s="56"/>
      <c r="AW300" s="172"/>
      <c r="AX300" s="56"/>
      <c r="AY300" s="56"/>
      <c r="AZ300" s="56"/>
      <c r="BA300" s="172"/>
      <c r="BB300" s="56"/>
      <c r="BC300" s="10"/>
      <c r="BD300" s="56"/>
      <c r="BE300" s="56"/>
      <c r="BF300" s="56"/>
      <c r="BG300" s="56"/>
      <c r="BO300" s="145"/>
      <c r="CI300" s="145"/>
      <c r="CY300" s="145"/>
    </row>
    <row r="301" spans="1:103" s="97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65"/>
      <c r="M301" s="10"/>
      <c r="N301" s="56"/>
      <c r="O301" s="56"/>
      <c r="P301" s="162"/>
      <c r="Q301" s="178"/>
      <c r="R301" s="168"/>
      <c r="S301" s="56"/>
      <c r="T301" s="56"/>
      <c r="U301" s="56"/>
      <c r="V301" s="162"/>
      <c r="W301" s="178"/>
      <c r="X301" s="172"/>
      <c r="Y301" s="10"/>
      <c r="Z301" s="56"/>
      <c r="AA301" s="56"/>
      <c r="AB301" s="56"/>
      <c r="AC301" s="56"/>
      <c r="AD301" s="56"/>
      <c r="AE301" s="174"/>
      <c r="AF301" s="56"/>
      <c r="AG301" s="56"/>
      <c r="AH301" s="172"/>
      <c r="AI301" s="56"/>
      <c r="AJ301" s="56"/>
      <c r="AK301" s="56"/>
      <c r="AL301" s="56"/>
      <c r="AM301" s="56"/>
      <c r="AN301" s="56"/>
      <c r="AO301" s="172"/>
      <c r="AP301" s="56"/>
      <c r="AQ301" s="56"/>
      <c r="AR301" s="56"/>
      <c r="AS301" s="56"/>
      <c r="AT301" s="56"/>
      <c r="AU301" s="56"/>
      <c r="AV301" s="56"/>
      <c r="AW301" s="172"/>
      <c r="AX301" s="56"/>
      <c r="AY301" s="56"/>
      <c r="AZ301" s="56"/>
      <c r="BA301" s="172"/>
      <c r="BB301" s="56"/>
      <c r="BC301" s="10"/>
      <c r="BD301" s="56"/>
      <c r="BE301" s="56"/>
      <c r="BF301" s="56"/>
      <c r="BG301" s="56"/>
      <c r="BO301" s="145"/>
      <c r="CI301" s="145"/>
      <c r="CY301" s="145"/>
    </row>
    <row r="302" spans="1:103" s="97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65"/>
      <c r="M302" s="10"/>
      <c r="N302" s="56"/>
      <c r="O302" s="56"/>
      <c r="P302" s="162"/>
      <c r="Q302" s="178"/>
      <c r="R302" s="168"/>
      <c r="S302" s="56"/>
      <c r="T302" s="56"/>
      <c r="U302" s="56"/>
      <c r="V302" s="162"/>
      <c r="W302" s="178"/>
      <c r="X302" s="172"/>
      <c r="Y302" s="10"/>
      <c r="Z302" s="56"/>
      <c r="AA302" s="56"/>
      <c r="AB302" s="56"/>
      <c r="AC302" s="56"/>
      <c r="AD302" s="56"/>
      <c r="AE302" s="174"/>
      <c r="AF302" s="56"/>
      <c r="AG302" s="56"/>
      <c r="AH302" s="172"/>
      <c r="AI302" s="56"/>
      <c r="AJ302" s="56"/>
      <c r="AK302" s="56"/>
      <c r="AL302" s="56"/>
      <c r="AM302" s="56"/>
      <c r="AN302" s="56"/>
      <c r="AO302" s="172"/>
      <c r="AP302" s="56"/>
      <c r="AQ302" s="56"/>
      <c r="AR302" s="56"/>
      <c r="AS302" s="56"/>
      <c r="AT302" s="56"/>
      <c r="AU302" s="56"/>
      <c r="AV302" s="56"/>
      <c r="AW302" s="172"/>
      <c r="AX302" s="56"/>
      <c r="AY302" s="56"/>
      <c r="AZ302" s="56"/>
      <c r="BA302" s="172"/>
      <c r="BB302" s="56"/>
      <c r="BC302" s="10"/>
      <c r="BD302" s="56"/>
      <c r="BE302" s="56"/>
      <c r="BF302" s="56"/>
      <c r="BG302" s="56"/>
      <c r="BO302" s="145"/>
      <c r="CI302" s="145"/>
      <c r="CY302" s="145"/>
    </row>
    <row r="303" spans="1:103" s="97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65"/>
      <c r="M303" s="10"/>
      <c r="N303" s="56"/>
      <c r="O303" s="56"/>
      <c r="P303" s="162"/>
      <c r="Q303" s="178"/>
      <c r="R303" s="168"/>
      <c r="S303" s="56"/>
      <c r="T303" s="56"/>
      <c r="U303" s="56"/>
      <c r="V303" s="162"/>
      <c r="W303" s="178"/>
      <c r="X303" s="172"/>
      <c r="Y303" s="10"/>
      <c r="Z303" s="56"/>
      <c r="AA303" s="56"/>
      <c r="AB303" s="56"/>
      <c r="AC303" s="56"/>
      <c r="AD303" s="56"/>
      <c r="AE303" s="174"/>
      <c r="AF303" s="56"/>
      <c r="AG303" s="56"/>
      <c r="AH303" s="172"/>
      <c r="AI303" s="56"/>
      <c r="AJ303" s="56"/>
      <c r="AK303" s="56"/>
      <c r="AL303" s="56"/>
      <c r="AM303" s="56"/>
      <c r="AN303" s="56"/>
      <c r="AO303" s="172"/>
      <c r="AP303" s="56"/>
      <c r="AQ303" s="56"/>
      <c r="AR303" s="56"/>
      <c r="AS303" s="56"/>
      <c r="AT303" s="56"/>
      <c r="AU303" s="56"/>
      <c r="AV303" s="56"/>
      <c r="AW303" s="172"/>
      <c r="AX303" s="56"/>
      <c r="AY303" s="56"/>
      <c r="AZ303" s="56"/>
      <c r="BA303" s="172"/>
      <c r="BB303" s="56"/>
      <c r="BC303" s="10"/>
      <c r="BD303" s="56"/>
      <c r="BE303" s="56"/>
      <c r="BF303" s="56"/>
      <c r="BG303" s="56"/>
      <c r="BO303" s="145"/>
      <c r="CI303" s="145"/>
      <c r="CY303" s="145"/>
    </row>
    <row r="304" spans="1:103" s="97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65"/>
      <c r="M304" s="10"/>
      <c r="N304" s="56"/>
      <c r="O304" s="56"/>
      <c r="P304" s="162"/>
      <c r="Q304" s="178"/>
      <c r="R304" s="168"/>
      <c r="S304" s="56"/>
      <c r="T304" s="56"/>
      <c r="U304" s="56"/>
      <c r="V304" s="162"/>
      <c r="W304" s="178"/>
      <c r="X304" s="172"/>
      <c r="Y304" s="10"/>
      <c r="Z304" s="56"/>
      <c r="AA304" s="56"/>
      <c r="AB304" s="56"/>
      <c r="AC304" s="56"/>
      <c r="AD304" s="56"/>
      <c r="AE304" s="174"/>
      <c r="AF304" s="56"/>
      <c r="AG304" s="56"/>
      <c r="AH304" s="172"/>
      <c r="AI304" s="56"/>
      <c r="AJ304" s="56"/>
      <c r="AK304" s="56"/>
      <c r="AL304" s="56"/>
      <c r="AM304" s="56"/>
      <c r="AN304" s="56"/>
      <c r="AO304" s="172"/>
      <c r="AP304" s="56"/>
      <c r="AQ304" s="56"/>
      <c r="AR304" s="56"/>
      <c r="AS304" s="56"/>
      <c r="AT304" s="56"/>
      <c r="AU304" s="56"/>
      <c r="AV304" s="56"/>
      <c r="AW304" s="172"/>
      <c r="AX304" s="56"/>
      <c r="AY304" s="56"/>
      <c r="AZ304" s="56"/>
      <c r="BA304" s="172"/>
      <c r="BB304" s="56"/>
      <c r="BC304" s="10"/>
      <c r="BD304" s="56"/>
      <c r="BE304" s="56"/>
      <c r="BF304" s="56"/>
      <c r="BG304" s="56"/>
      <c r="BO304" s="145"/>
      <c r="CI304" s="145"/>
      <c r="CY304" s="145"/>
    </row>
    <row r="305" spans="1:103" s="97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65"/>
      <c r="M305" s="10"/>
      <c r="N305" s="56"/>
      <c r="O305" s="56"/>
      <c r="P305" s="162"/>
      <c r="Q305" s="178"/>
      <c r="R305" s="168"/>
      <c r="S305" s="56"/>
      <c r="T305" s="56"/>
      <c r="U305" s="56"/>
      <c r="V305" s="162"/>
      <c r="W305" s="178"/>
      <c r="X305" s="172"/>
      <c r="Y305" s="10"/>
      <c r="Z305" s="56"/>
      <c r="AA305" s="56"/>
      <c r="AB305" s="56"/>
      <c r="AC305" s="56"/>
      <c r="AD305" s="56"/>
      <c r="AE305" s="174"/>
      <c r="AF305" s="56"/>
      <c r="AG305" s="56"/>
      <c r="AH305" s="172"/>
      <c r="AI305" s="56"/>
      <c r="AJ305" s="56"/>
      <c r="AK305" s="56"/>
      <c r="AL305" s="56"/>
      <c r="AM305" s="56"/>
      <c r="AN305" s="56"/>
      <c r="AO305" s="172"/>
      <c r="AP305" s="56"/>
      <c r="AQ305" s="56"/>
      <c r="AR305" s="56"/>
      <c r="AS305" s="56"/>
      <c r="AT305" s="56"/>
      <c r="AU305" s="56"/>
      <c r="AV305" s="56"/>
      <c r="AW305" s="172"/>
      <c r="AX305" s="56"/>
      <c r="AY305" s="56"/>
      <c r="AZ305" s="56"/>
      <c r="BA305" s="172"/>
      <c r="BB305" s="56"/>
      <c r="BC305" s="10"/>
      <c r="BD305" s="56"/>
      <c r="BE305" s="56"/>
      <c r="BF305" s="56"/>
      <c r="BG305" s="56"/>
      <c r="BO305" s="145"/>
      <c r="CI305" s="145"/>
      <c r="CY305" s="145"/>
    </row>
    <row r="306" spans="1:103" s="97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65"/>
      <c r="M306" s="10"/>
      <c r="N306" s="56"/>
      <c r="O306" s="56"/>
      <c r="P306" s="162"/>
      <c r="Q306" s="178"/>
      <c r="R306" s="168"/>
      <c r="S306" s="56"/>
      <c r="T306" s="56"/>
      <c r="U306" s="56"/>
      <c r="V306" s="162"/>
      <c r="W306" s="178"/>
      <c r="X306" s="172"/>
      <c r="Y306" s="10"/>
      <c r="Z306" s="56"/>
      <c r="AA306" s="56"/>
      <c r="AB306" s="56"/>
      <c r="AC306" s="56"/>
      <c r="AD306" s="56"/>
      <c r="AE306" s="174"/>
      <c r="AF306" s="56"/>
      <c r="AG306" s="56"/>
      <c r="AH306" s="172"/>
      <c r="AI306" s="56"/>
      <c r="AJ306" s="56"/>
      <c r="AK306" s="56"/>
      <c r="AL306" s="56"/>
      <c r="AM306" s="56"/>
      <c r="AN306" s="56"/>
      <c r="AO306" s="172"/>
      <c r="AP306" s="56"/>
      <c r="AQ306" s="56"/>
      <c r="AR306" s="56"/>
      <c r="AS306" s="56"/>
      <c r="AT306" s="56"/>
      <c r="AU306" s="56"/>
      <c r="AV306" s="56"/>
      <c r="AW306" s="172"/>
      <c r="AX306" s="56"/>
      <c r="AY306" s="56"/>
      <c r="AZ306" s="56"/>
      <c r="BA306" s="172"/>
      <c r="BB306" s="56"/>
      <c r="BC306" s="10"/>
      <c r="BD306" s="56"/>
      <c r="BE306" s="56"/>
      <c r="BF306" s="56"/>
      <c r="BG306" s="56"/>
      <c r="BO306" s="145"/>
      <c r="CI306" s="145"/>
      <c r="CY306" s="145"/>
    </row>
    <row r="307" spans="1:103" s="97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65"/>
      <c r="M307" s="10"/>
      <c r="N307" s="56"/>
      <c r="O307" s="56"/>
      <c r="P307" s="162"/>
      <c r="Q307" s="178"/>
      <c r="R307" s="168"/>
      <c r="S307" s="56"/>
      <c r="T307" s="56"/>
      <c r="U307" s="56"/>
      <c r="V307" s="162"/>
      <c r="W307" s="178"/>
      <c r="X307" s="172"/>
      <c r="Y307" s="10"/>
      <c r="Z307" s="56"/>
      <c r="AA307" s="56"/>
      <c r="AB307" s="56"/>
      <c r="AC307" s="56"/>
      <c r="AD307" s="56"/>
      <c r="AE307" s="174"/>
      <c r="AF307" s="56"/>
      <c r="AG307" s="56"/>
      <c r="AH307" s="172"/>
      <c r="AI307" s="56"/>
      <c r="AJ307" s="56"/>
      <c r="AK307" s="56"/>
      <c r="AL307" s="56"/>
      <c r="AM307" s="56"/>
      <c r="AN307" s="56"/>
      <c r="AO307" s="172"/>
      <c r="AP307" s="56"/>
      <c r="AQ307" s="56"/>
      <c r="AR307" s="56"/>
      <c r="AS307" s="56"/>
      <c r="AT307" s="56"/>
      <c r="AU307" s="56"/>
      <c r="AV307" s="56"/>
      <c r="AW307" s="172"/>
      <c r="AX307" s="56"/>
      <c r="AY307" s="56"/>
      <c r="AZ307" s="56"/>
      <c r="BA307" s="172"/>
      <c r="BB307" s="56"/>
      <c r="BC307" s="10"/>
      <c r="BD307" s="56"/>
      <c r="BE307" s="56"/>
      <c r="BF307" s="56"/>
      <c r="BG307" s="56"/>
      <c r="BO307" s="145"/>
      <c r="CI307" s="145"/>
      <c r="CY307" s="145"/>
    </row>
    <row r="308" spans="1:103" s="97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65"/>
      <c r="M308" s="10"/>
      <c r="N308" s="56"/>
      <c r="O308" s="56"/>
      <c r="P308" s="162"/>
      <c r="Q308" s="178"/>
      <c r="R308" s="168"/>
      <c r="S308" s="56"/>
      <c r="T308" s="56"/>
      <c r="U308" s="56"/>
      <c r="V308" s="162"/>
      <c r="W308" s="178"/>
      <c r="X308" s="172"/>
      <c r="Y308" s="10"/>
      <c r="Z308" s="56"/>
      <c r="AA308" s="56"/>
      <c r="AB308" s="56"/>
      <c r="AC308" s="56"/>
      <c r="AD308" s="56"/>
      <c r="AE308" s="174"/>
      <c r="AF308" s="56"/>
      <c r="AG308" s="56"/>
      <c r="AH308" s="172"/>
      <c r="AI308" s="56"/>
      <c r="AJ308" s="56"/>
      <c r="AK308" s="56"/>
      <c r="AL308" s="56"/>
      <c r="AM308" s="56"/>
      <c r="AN308" s="56"/>
      <c r="AO308" s="172"/>
      <c r="AP308" s="56"/>
      <c r="AQ308" s="56"/>
      <c r="AR308" s="56"/>
      <c r="AS308" s="56"/>
      <c r="AT308" s="56"/>
      <c r="AU308" s="56"/>
      <c r="AV308" s="56"/>
      <c r="AW308" s="172"/>
      <c r="AX308" s="56"/>
      <c r="AY308" s="56"/>
      <c r="AZ308" s="56"/>
      <c r="BA308" s="172"/>
      <c r="BB308" s="56"/>
      <c r="BC308" s="10"/>
      <c r="BD308" s="56"/>
      <c r="BE308" s="56"/>
      <c r="BF308" s="56"/>
      <c r="BG308" s="56"/>
      <c r="BO308" s="145"/>
      <c r="CI308" s="145"/>
      <c r="CY308" s="145"/>
    </row>
    <row r="309" spans="1:103" s="97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65"/>
      <c r="M309" s="10"/>
      <c r="N309" s="56"/>
      <c r="O309" s="56"/>
      <c r="P309" s="162"/>
      <c r="Q309" s="178"/>
      <c r="R309" s="168"/>
      <c r="S309" s="56"/>
      <c r="T309" s="56"/>
      <c r="U309" s="56"/>
      <c r="V309" s="162"/>
      <c r="W309" s="178"/>
      <c r="X309" s="172"/>
      <c r="Y309" s="10"/>
      <c r="Z309" s="56"/>
      <c r="AA309" s="56"/>
      <c r="AB309" s="56"/>
      <c r="AC309" s="56"/>
      <c r="AD309" s="56"/>
      <c r="AE309" s="174"/>
      <c r="AF309" s="56"/>
      <c r="AG309" s="56"/>
      <c r="AH309" s="172"/>
      <c r="AI309" s="56"/>
      <c r="AJ309" s="56"/>
      <c r="AK309" s="56"/>
      <c r="AL309" s="56"/>
      <c r="AM309" s="56"/>
      <c r="AN309" s="56"/>
      <c r="AO309" s="172"/>
      <c r="AP309" s="56"/>
      <c r="AQ309" s="56"/>
      <c r="AR309" s="56"/>
      <c r="AS309" s="56"/>
      <c r="AT309" s="56"/>
      <c r="AU309" s="56"/>
      <c r="AV309" s="56"/>
      <c r="AW309" s="172"/>
      <c r="AX309" s="56"/>
      <c r="AY309" s="56"/>
      <c r="AZ309" s="56"/>
      <c r="BA309" s="172"/>
      <c r="BB309" s="56"/>
      <c r="BC309" s="10"/>
      <c r="BD309" s="56"/>
      <c r="BE309" s="56"/>
      <c r="BF309" s="56"/>
      <c r="BG309" s="56"/>
      <c r="BO309" s="145"/>
      <c r="CI309" s="145"/>
      <c r="CY309" s="145"/>
    </row>
    <row r="310" spans="1:103" s="97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65"/>
      <c r="M310" s="10"/>
      <c r="N310" s="56"/>
      <c r="O310" s="56"/>
      <c r="P310" s="162"/>
      <c r="Q310" s="178"/>
      <c r="R310" s="168"/>
      <c r="S310" s="56"/>
      <c r="T310" s="56"/>
      <c r="U310" s="56"/>
      <c r="V310" s="162"/>
      <c r="W310" s="178"/>
      <c r="X310" s="172"/>
      <c r="Y310" s="10"/>
      <c r="Z310" s="56"/>
      <c r="AA310" s="56"/>
      <c r="AB310" s="56"/>
      <c r="AC310" s="56"/>
      <c r="AD310" s="56"/>
      <c r="AE310" s="174"/>
      <c r="AF310" s="56"/>
      <c r="AG310" s="56"/>
      <c r="AH310" s="172"/>
      <c r="AI310" s="56"/>
      <c r="AJ310" s="56"/>
      <c r="AK310" s="56"/>
      <c r="AL310" s="56"/>
      <c r="AM310" s="56"/>
      <c r="AN310" s="56"/>
      <c r="AO310" s="172"/>
      <c r="AP310" s="56"/>
      <c r="AQ310" s="56"/>
      <c r="AR310" s="56"/>
      <c r="AS310" s="56"/>
      <c r="AT310" s="56"/>
      <c r="AU310" s="56"/>
      <c r="AV310" s="56"/>
      <c r="AW310" s="172"/>
      <c r="AX310" s="56"/>
      <c r="AY310" s="56"/>
      <c r="AZ310" s="56"/>
      <c r="BA310" s="172"/>
      <c r="BB310" s="56"/>
      <c r="BC310" s="10"/>
      <c r="BD310" s="56"/>
      <c r="BE310" s="56"/>
      <c r="BF310" s="56"/>
      <c r="BG310" s="56"/>
      <c r="BO310" s="145"/>
      <c r="CI310" s="145"/>
      <c r="CY310" s="145"/>
    </row>
    <row r="311" spans="1:103" s="97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65"/>
      <c r="M311" s="10"/>
      <c r="N311" s="56"/>
      <c r="O311" s="56"/>
      <c r="P311" s="162"/>
      <c r="Q311" s="178"/>
      <c r="R311" s="168"/>
      <c r="S311" s="56"/>
      <c r="T311" s="56"/>
      <c r="U311" s="56"/>
      <c r="V311" s="162"/>
      <c r="W311" s="178"/>
      <c r="X311" s="172"/>
      <c r="Y311" s="10"/>
      <c r="Z311" s="56"/>
      <c r="AA311" s="56"/>
      <c r="AB311" s="56"/>
      <c r="AC311" s="56"/>
      <c r="AD311" s="56"/>
      <c r="AE311" s="174"/>
      <c r="AF311" s="56"/>
      <c r="AG311" s="56"/>
      <c r="AH311" s="172"/>
      <c r="AI311" s="56"/>
      <c r="AJ311" s="56"/>
      <c r="AK311" s="56"/>
      <c r="AL311" s="56"/>
      <c r="AM311" s="56"/>
      <c r="AN311" s="56"/>
      <c r="AO311" s="172"/>
      <c r="AP311" s="56"/>
      <c r="AQ311" s="56"/>
      <c r="AR311" s="56"/>
      <c r="AS311" s="56"/>
      <c r="AT311" s="56"/>
      <c r="AU311" s="56"/>
      <c r="AV311" s="56"/>
      <c r="AW311" s="172"/>
      <c r="AX311" s="56"/>
      <c r="AY311" s="56"/>
      <c r="AZ311" s="56"/>
      <c r="BA311" s="172"/>
      <c r="BB311" s="56"/>
      <c r="BC311" s="10"/>
      <c r="BD311" s="56"/>
      <c r="BE311" s="56"/>
      <c r="BF311" s="56"/>
      <c r="BG311" s="56"/>
      <c r="BO311" s="145"/>
      <c r="CI311" s="145"/>
      <c r="CY311" s="145"/>
    </row>
    <row r="312" spans="1:103" s="97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65"/>
      <c r="M312" s="10"/>
      <c r="N312" s="56"/>
      <c r="O312" s="56"/>
      <c r="P312" s="162"/>
      <c r="Q312" s="178"/>
      <c r="R312" s="168"/>
      <c r="S312" s="56"/>
      <c r="T312" s="56"/>
      <c r="U312" s="56"/>
      <c r="V312" s="162"/>
      <c r="W312" s="178"/>
      <c r="X312" s="172"/>
      <c r="Y312" s="10"/>
      <c r="Z312" s="56"/>
      <c r="AA312" s="56"/>
      <c r="AB312" s="56"/>
      <c r="AC312" s="56"/>
      <c r="AD312" s="56"/>
      <c r="AE312" s="174"/>
      <c r="AF312" s="56"/>
      <c r="AG312" s="56"/>
      <c r="AH312" s="172"/>
      <c r="AI312" s="56"/>
      <c r="AJ312" s="56"/>
      <c r="AK312" s="56"/>
      <c r="AL312" s="56"/>
      <c r="AM312" s="56"/>
      <c r="AN312" s="56"/>
      <c r="AO312" s="172"/>
      <c r="AP312" s="56"/>
      <c r="AQ312" s="56"/>
      <c r="AR312" s="56"/>
      <c r="AS312" s="56"/>
      <c r="AT312" s="56"/>
      <c r="AU312" s="56"/>
      <c r="AV312" s="56"/>
      <c r="AW312" s="172"/>
      <c r="AX312" s="56"/>
      <c r="AY312" s="56"/>
      <c r="AZ312" s="56"/>
      <c r="BA312" s="172"/>
      <c r="BB312" s="56"/>
      <c r="BC312" s="10"/>
      <c r="BD312" s="56"/>
      <c r="BE312" s="56"/>
      <c r="BF312" s="56"/>
      <c r="BG312" s="56"/>
      <c r="BO312" s="145"/>
      <c r="CI312" s="145"/>
      <c r="CY312" s="145"/>
    </row>
    <row r="313" spans="1:103" s="97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65"/>
      <c r="M313" s="10"/>
      <c r="N313" s="56"/>
      <c r="O313" s="56"/>
      <c r="P313" s="162"/>
      <c r="Q313" s="178"/>
      <c r="R313" s="168"/>
      <c r="S313" s="56"/>
      <c r="T313" s="56"/>
      <c r="U313" s="56"/>
      <c r="V313" s="162"/>
      <c r="W313" s="178"/>
      <c r="X313" s="172"/>
      <c r="Y313" s="10"/>
      <c r="Z313" s="56"/>
      <c r="AA313" s="56"/>
      <c r="AB313" s="56"/>
      <c r="AC313" s="56"/>
      <c r="AD313" s="56"/>
      <c r="AE313" s="174"/>
      <c r="AF313" s="56"/>
      <c r="AG313" s="56"/>
      <c r="AH313" s="172"/>
      <c r="AI313" s="56"/>
      <c r="AJ313" s="56"/>
      <c r="AK313" s="56"/>
      <c r="AL313" s="56"/>
      <c r="AM313" s="56"/>
      <c r="AN313" s="56"/>
      <c r="AO313" s="172"/>
      <c r="AP313" s="56"/>
      <c r="AQ313" s="56"/>
      <c r="AR313" s="56"/>
      <c r="AS313" s="56"/>
      <c r="AT313" s="56"/>
      <c r="AU313" s="56"/>
      <c r="AV313" s="56"/>
      <c r="AW313" s="172"/>
      <c r="AX313" s="56"/>
      <c r="AY313" s="56"/>
      <c r="AZ313" s="56"/>
      <c r="BA313" s="172"/>
      <c r="BB313" s="56"/>
      <c r="BC313" s="10"/>
      <c r="BD313" s="56"/>
      <c r="BE313" s="56"/>
      <c r="BF313" s="56"/>
      <c r="BG313" s="56"/>
      <c r="BO313" s="145"/>
      <c r="CI313" s="145"/>
      <c r="CY313" s="145"/>
    </row>
    <row r="314" spans="1:103" s="97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65"/>
      <c r="M314" s="10"/>
      <c r="N314" s="56"/>
      <c r="O314" s="56"/>
      <c r="P314" s="162"/>
      <c r="Q314" s="178"/>
      <c r="R314" s="168"/>
      <c r="S314" s="56"/>
      <c r="T314" s="56"/>
      <c r="U314" s="56"/>
      <c r="V314" s="162"/>
      <c r="W314" s="178"/>
      <c r="X314" s="172"/>
      <c r="Y314" s="10"/>
      <c r="Z314" s="56"/>
      <c r="AA314" s="56"/>
      <c r="AB314" s="56"/>
      <c r="AC314" s="56"/>
      <c r="AD314" s="56"/>
      <c r="AE314" s="174"/>
      <c r="AF314" s="56"/>
      <c r="AG314" s="56"/>
      <c r="AH314" s="172"/>
      <c r="AI314" s="56"/>
      <c r="AJ314" s="56"/>
      <c r="AK314" s="56"/>
      <c r="AL314" s="56"/>
      <c r="AM314" s="56"/>
      <c r="AN314" s="56"/>
      <c r="AO314" s="172"/>
      <c r="AP314" s="56"/>
      <c r="AQ314" s="56"/>
      <c r="AR314" s="56"/>
      <c r="AS314" s="56"/>
      <c r="AT314" s="56"/>
      <c r="AU314" s="56"/>
      <c r="AV314" s="56"/>
      <c r="AW314" s="172"/>
      <c r="AX314" s="56"/>
      <c r="AY314" s="56"/>
      <c r="AZ314" s="56"/>
      <c r="BA314" s="172"/>
      <c r="BB314" s="56"/>
      <c r="BC314" s="10"/>
      <c r="BD314" s="56"/>
      <c r="BE314" s="56"/>
      <c r="BF314" s="56"/>
      <c r="BG314" s="56"/>
      <c r="BO314" s="145"/>
      <c r="CI314" s="145"/>
      <c r="CY314" s="145"/>
    </row>
    <row r="315" spans="1:103" s="97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65"/>
      <c r="M315" s="10"/>
      <c r="N315" s="56"/>
      <c r="O315" s="56"/>
      <c r="P315" s="162"/>
      <c r="Q315" s="178"/>
      <c r="R315" s="168"/>
      <c r="S315" s="56"/>
      <c r="T315" s="56"/>
      <c r="U315" s="56"/>
      <c r="V315" s="162"/>
      <c r="W315" s="178"/>
      <c r="X315" s="172"/>
      <c r="Y315" s="10"/>
      <c r="Z315" s="56"/>
      <c r="AA315" s="56"/>
      <c r="AB315" s="56"/>
      <c r="AC315" s="56"/>
      <c r="AD315" s="56"/>
      <c r="AE315" s="174"/>
      <c r="AF315" s="56"/>
      <c r="AG315" s="56"/>
      <c r="AH315" s="172"/>
      <c r="AI315" s="56"/>
      <c r="AJ315" s="56"/>
      <c r="AK315" s="56"/>
      <c r="AL315" s="56"/>
      <c r="AM315" s="56"/>
      <c r="AN315" s="56"/>
      <c r="AO315" s="172"/>
      <c r="AP315" s="56"/>
      <c r="AQ315" s="56"/>
      <c r="AR315" s="56"/>
      <c r="AS315" s="56"/>
      <c r="AT315" s="56"/>
      <c r="AU315" s="56"/>
      <c r="AV315" s="56"/>
      <c r="AW315" s="172"/>
      <c r="AX315" s="56"/>
      <c r="AY315" s="56"/>
      <c r="AZ315" s="56"/>
      <c r="BA315" s="172"/>
      <c r="BB315" s="56"/>
      <c r="BC315" s="10"/>
      <c r="BD315" s="56"/>
      <c r="BE315" s="56"/>
      <c r="BF315" s="56"/>
      <c r="BG315" s="56"/>
      <c r="BO315" s="145"/>
      <c r="CI315" s="145"/>
      <c r="CY315" s="145"/>
    </row>
    <row r="316" spans="1:103" s="97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65"/>
      <c r="M316" s="10"/>
      <c r="N316" s="56"/>
      <c r="O316" s="56"/>
      <c r="P316" s="162"/>
      <c r="Q316" s="178"/>
      <c r="R316" s="168"/>
      <c r="S316" s="56"/>
      <c r="T316" s="56"/>
      <c r="U316" s="56"/>
      <c r="V316" s="162"/>
      <c r="W316" s="178"/>
      <c r="X316" s="172"/>
      <c r="Y316" s="10"/>
      <c r="Z316" s="56"/>
      <c r="AA316" s="56"/>
      <c r="AB316" s="56"/>
      <c r="AC316" s="56"/>
      <c r="AD316" s="56"/>
      <c r="AE316" s="174"/>
      <c r="AF316" s="56"/>
      <c r="AG316" s="56"/>
      <c r="AH316" s="172"/>
      <c r="AI316" s="56"/>
      <c r="AJ316" s="56"/>
      <c r="AK316" s="56"/>
      <c r="AL316" s="56"/>
      <c r="AM316" s="56"/>
      <c r="AN316" s="56"/>
      <c r="AO316" s="172"/>
      <c r="AP316" s="56"/>
      <c r="AQ316" s="56"/>
      <c r="AR316" s="56"/>
      <c r="AS316" s="56"/>
      <c r="AT316" s="56"/>
      <c r="AU316" s="56"/>
      <c r="AV316" s="56"/>
      <c r="AW316" s="172"/>
      <c r="AX316" s="56"/>
      <c r="AY316" s="56"/>
      <c r="AZ316" s="56"/>
      <c r="BA316" s="172"/>
      <c r="BB316" s="56"/>
      <c r="BC316" s="10"/>
      <c r="BD316" s="56"/>
      <c r="BE316" s="56"/>
      <c r="BF316" s="56"/>
      <c r="BG316" s="56"/>
      <c r="BO316" s="145"/>
      <c r="CI316" s="145"/>
      <c r="CY316" s="145"/>
    </row>
    <row r="317" spans="1:103" s="97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65"/>
      <c r="M317" s="10"/>
      <c r="N317" s="56"/>
      <c r="O317" s="56"/>
      <c r="P317" s="162"/>
      <c r="Q317" s="178"/>
      <c r="R317" s="168"/>
      <c r="S317" s="56"/>
      <c r="T317" s="56"/>
      <c r="U317" s="56"/>
      <c r="V317" s="162"/>
      <c r="W317" s="178"/>
      <c r="X317" s="172"/>
      <c r="Y317" s="10"/>
      <c r="Z317" s="56"/>
      <c r="AA317" s="56"/>
      <c r="AB317" s="56"/>
      <c r="AC317" s="56"/>
      <c r="AD317" s="56"/>
      <c r="AE317" s="174"/>
      <c r="AF317" s="56"/>
      <c r="AG317" s="56"/>
      <c r="AH317" s="172"/>
      <c r="AI317" s="56"/>
      <c r="AJ317" s="56"/>
      <c r="AK317" s="56"/>
      <c r="AL317" s="56"/>
      <c r="AM317" s="56"/>
      <c r="AN317" s="56"/>
      <c r="AO317" s="172"/>
      <c r="AP317" s="56"/>
      <c r="AQ317" s="56"/>
      <c r="AR317" s="56"/>
      <c r="AS317" s="56"/>
      <c r="AT317" s="56"/>
      <c r="AU317" s="56"/>
      <c r="AV317" s="56"/>
      <c r="AW317" s="172"/>
      <c r="AX317" s="56"/>
      <c r="AY317" s="56"/>
      <c r="AZ317" s="56"/>
      <c r="BA317" s="172"/>
      <c r="BB317" s="56"/>
      <c r="BC317" s="10"/>
      <c r="BD317" s="56"/>
      <c r="BE317" s="56"/>
      <c r="BF317" s="56"/>
      <c r="BG317" s="56"/>
      <c r="BO317" s="145"/>
      <c r="CI317" s="145"/>
      <c r="CY317" s="145"/>
    </row>
    <row r="318" spans="1:103" s="97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65"/>
      <c r="M318" s="10"/>
      <c r="N318" s="56"/>
      <c r="O318" s="56"/>
      <c r="P318" s="162"/>
      <c r="Q318" s="178"/>
      <c r="R318" s="168"/>
      <c r="S318" s="56"/>
      <c r="T318" s="56"/>
      <c r="U318" s="56"/>
      <c r="V318" s="162"/>
      <c r="W318" s="178"/>
      <c r="X318" s="172"/>
      <c r="Y318" s="10"/>
      <c r="Z318" s="56"/>
      <c r="AA318" s="56"/>
      <c r="AB318" s="56"/>
      <c r="AC318" s="56"/>
      <c r="AD318" s="56"/>
      <c r="AE318" s="174"/>
      <c r="AF318" s="56"/>
      <c r="AG318" s="56"/>
      <c r="AH318" s="172"/>
      <c r="AI318" s="56"/>
      <c r="AJ318" s="56"/>
      <c r="AK318" s="56"/>
      <c r="AL318" s="56"/>
      <c r="AM318" s="56"/>
      <c r="AN318" s="56"/>
      <c r="AO318" s="172"/>
      <c r="AP318" s="56"/>
      <c r="AQ318" s="56"/>
      <c r="AR318" s="56"/>
      <c r="AS318" s="56"/>
      <c r="AT318" s="56"/>
      <c r="AU318" s="56"/>
      <c r="AV318" s="56"/>
      <c r="AW318" s="172"/>
      <c r="AX318" s="56"/>
      <c r="AY318" s="56"/>
      <c r="AZ318" s="56"/>
      <c r="BA318" s="172"/>
      <c r="BB318" s="56"/>
      <c r="BC318" s="10"/>
      <c r="BD318" s="56"/>
      <c r="BE318" s="56"/>
      <c r="BF318" s="56"/>
      <c r="BG318" s="56"/>
      <c r="BO318" s="145"/>
      <c r="CI318" s="145"/>
      <c r="CY318" s="145"/>
    </row>
    <row r="319" spans="1:103" s="97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65"/>
      <c r="M319" s="10"/>
      <c r="N319" s="56"/>
      <c r="O319" s="56"/>
      <c r="P319" s="162"/>
      <c r="Q319" s="178"/>
      <c r="R319" s="168"/>
      <c r="S319" s="56"/>
      <c r="T319" s="56"/>
      <c r="U319" s="56"/>
      <c r="V319" s="162"/>
      <c r="W319" s="178"/>
      <c r="X319" s="172"/>
      <c r="Y319" s="10"/>
      <c r="Z319" s="56"/>
      <c r="AA319" s="56"/>
      <c r="AB319" s="56"/>
      <c r="AC319" s="56"/>
      <c r="AD319" s="56"/>
      <c r="AE319" s="174"/>
      <c r="AF319" s="56"/>
      <c r="AG319" s="56"/>
      <c r="AH319" s="172"/>
      <c r="AI319" s="56"/>
      <c r="AJ319" s="56"/>
      <c r="AK319" s="56"/>
      <c r="AL319" s="56"/>
      <c r="AM319" s="56"/>
      <c r="AN319" s="56"/>
      <c r="AO319" s="172"/>
      <c r="AP319" s="56"/>
      <c r="AQ319" s="56"/>
      <c r="AR319" s="56"/>
      <c r="AS319" s="56"/>
      <c r="AT319" s="56"/>
      <c r="AU319" s="56"/>
      <c r="AV319" s="56"/>
      <c r="AW319" s="172"/>
      <c r="AX319" s="56"/>
      <c r="AY319" s="56"/>
      <c r="AZ319" s="56"/>
      <c r="BA319" s="172"/>
      <c r="BB319" s="56"/>
      <c r="BC319" s="10"/>
      <c r="BD319" s="56"/>
      <c r="BE319" s="56"/>
      <c r="BF319" s="56"/>
      <c r="BG319" s="56"/>
      <c r="BO319" s="145"/>
      <c r="CI319" s="145"/>
      <c r="CY319" s="145"/>
    </row>
    <row r="320" spans="1:103" s="97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65"/>
      <c r="M320" s="10"/>
      <c r="N320" s="56"/>
      <c r="O320" s="56"/>
      <c r="P320" s="162"/>
      <c r="Q320" s="178"/>
      <c r="R320" s="168"/>
      <c r="S320" s="56"/>
      <c r="T320" s="56"/>
      <c r="U320" s="56"/>
      <c r="V320" s="162"/>
      <c r="W320" s="178"/>
      <c r="X320" s="172"/>
      <c r="Y320" s="10"/>
      <c r="Z320" s="56"/>
      <c r="AA320" s="56"/>
      <c r="AB320" s="56"/>
      <c r="AC320" s="56"/>
      <c r="AD320" s="56"/>
      <c r="AE320" s="174"/>
      <c r="AF320" s="56"/>
      <c r="AG320" s="56"/>
      <c r="AH320" s="172"/>
      <c r="AI320" s="56"/>
      <c r="AJ320" s="56"/>
      <c r="AK320" s="56"/>
      <c r="AL320" s="56"/>
      <c r="AM320" s="56"/>
      <c r="AN320" s="56"/>
      <c r="AO320" s="172"/>
      <c r="AP320" s="56"/>
      <c r="AQ320" s="56"/>
      <c r="AR320" s="56"/>
      <c r="AS320" s="56"/>
      <c r="AT320" s="56"/>
      <c r="AU320" s="56"/>
      <c r="AV320" s="56"/>
      <c r="AW320" s="172"/>
      <c r="AX320" s="56"/>
      <c r="AY320" s="56"/>
      <c r="AZ320" s="56"/>
      <c r="BA320" s="172"/>
      <c r="BB320" s="56"/>
      <c r="BC320" s="10"/>
      <c r="BD320" s="56"/>
      <c r="BE320" s="56"/>
      <c r="BF320" s="56"/>
      <c r="BG320" s="56"/>
      <c r="BO320" s="145"/>
      <c r="CI320" s="145"/>
      <c r="CY320" s="145"/>
    </row>
    <row r="321" spans="1:103" s="97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65"/>
      <c r="M321" s="10"/>
      <c r="N321" s="56"/>
      <c r="O321" s="56"/>
      <c r="P321" s="162"/>
      <c r="Q321" s="178"/>
      <c r="R321" s="168"/>
      <c r="S321" s="56"/>
      <c r="T321" s="56"/>
      <c r="U321" s="56"/>
      <c r="V321" s="162"/>
      <c r="W321" s="178"/>
      <c r="X321" s="172"/>
      <c r="Y321" s="10"/>
      <c r="Z321" s="56"/>
      <c r="AA321" s="56"/>
      <c r="AB321" s="56"/>
      <c r="AC321" s="56"/>
      <c r="AD321" s="56"/>
      <c r="AE321" s="174"/>
      <c r="AF321" s="56"/>
      <c r="AG321" s="56"/>
      <c r="AH321" s="172"/>
      <c r="AI321" s="56"/>
      <c r="AJ321" s="56"/>
      <c r="AK321" s="56"/>
      <c r="AL321" s="56"/>
      <c r="AM321" s="56"/>
      <c r="AN321" s="56"/>
      <c r="AO321" s="172"/>
      <c r="AP321" s="56"/>
      <c r="AQ321" s="56"/>
      <c r="AR321" s="56"/>
      <c r="AS321" s="56"/>
      <c r="AT321" s="56"/>
      <c r="AU321" s="56"/>
      <c r="AV321" s="56"/>
      <c r="AW321" s="172"/>
      <c r="AX321" s="56"/>
      <c r="AY321" s="56"/>
      <c r="AZ321" s="56"/>
      <c r="BA321" s="172"/>
      <c r="BB321" s="56"/>
      <c r="BC321" s="10"/>
      <c r="BD321" s="56"/>
      <c r="BE321" s="56"/>
      <c r="BF321" s="56"/>
      <c r="BG321" s="56"/>
      <c r="BO321" s="145"/>
      <c r="CI321" s="145"/>
      <c r="CY321" s="145"/>
    </row>
    <row r="322" spans="1:103" s="97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65"/>
      <c r="M322" s="10"/>
      <c r="N322" s="56"/>
      <c r="O322" s="56"/>
      <c r="P322" s="162"/>
      <c r="Q322" s="178"/>
      <c r="R322" s="168"/>
      <c r="S322" s="56"/>
      <c r="T322" s="56"/>
      <c r="U322" s="56"/>
      <c r="V322" s="162"/>
      <c r="W322" s="178"/>
      <c r="X322" s="172"/>
      <c r="Y322" s="10"/>
      <c r="Z322" s="56"/>
      <c r="AA322" s="56"/>
      <c r="AB322" s="56"/>
      <c r="AC322" s="56"/>
      <c r="AD322" s="56"/>
      <c r="AE322" s="174"/>
      <c r="AF322" s="56"/>
      <c r="AG322" s="56"/>
      <c r="AH322" s="172"/>
      <c r="AI322" s="56"/>
      <c r="AJ322" s="56"/>
      <c r="AK322" s="56"/>
      <c r="AL322" s="56"/>
      <c r="AM322" s="56"/>
      <c r="AN322" s="56"/>
      <c r="AO322" s="172"/>
      <c r="AP322" s="56"/>
      <c r="AQ322" s="56"/>
      <c r="AR322" s="56"/>
      <c r="AS322" s="56"/>
      <c r="AT322" s="56"/>
      <c r="AU322" s="56"/>
      <c r="AV322" s="56"/>
      <c r="AW322" s="172"/>
      <c r="AX322" s="56"/>
      <c r="AY322" s="56"/>
      <c r="AZ322" s="56"/>
      <c r="BA322" s="172"/>
      <c r="BB322" s="56"/>
      <c r="BC322" s="10"/>
      <c r="BD322" s="56"/>
      <c r="BE322" s="56"/>
      <c r="BF322" s="56"/>
      <c r="BG322" s="56"/>
      <c r="BO322" s="145"/>
      <c r="CI322" s="145"/>
      <c r="CY322" s="145"/>
    </row>
    <row r="323" spans="1:103" s="97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65"/>
      <c r="M323" s="10"/>
      <c r="N323" s="56"/>
      <c r="O323" s="56"/>
      <c r="P323" s="162"/>
      <c r="Q323" s="178"/>
      <c r="R323" s="168"/>
      <c r="S323" s="56"/>
      <c r="T323" s="56"/>
      <c r="U323" s="56"/>
      <c r="V323" s="162"/>
      <c r="W323" s="178"/>
      <c r="X323" s="172"/>
      <c r="Y323" s="10"/>
      <c r="Z323" s="56"/>
      <c r="AA323" s="56"/>
      <c r="AB323" s="56"/>
      <c r="AC323" s="56"/>
      <c r="AD323" s="56"/>
      <c r="AE323" s="174"/>
      <c r="AF323" s="56"/>
      <c r="AG323" s="56"/>
      <c r="AH323" s="172"/>
      <c r="AI323" s="56"/>
      <c r="AJ323" s="56"/>
      <c r="AK323" s="56"/>
      <c r="AL323" s="56"/>
      <c r="AM323" s="56"/>
      <c r="AN323" s="56"/>
      <c r="AO323" s="172"/>
      <c r="AP323" s="56"/>
      <c r="AQ323" s="56"/>
      <c r="AR323" s="56"/>
      <c r="AS323" s="56"/>
      <c r="AT323" s="56"/>
      <c r="AU323" s="56"/>
      <c r="AV323" s="56"/>
      <c r="AW323" s="172"/>
      <c r="AX323" s="56"/>
      <c r="AY323" s="56"/>
      <c r="AZ323" s="56"/>
      <c r="BA323" s="172"/>
      <c r="BB323" s="56"/>
      <c r="BC323" s="10"/>
      <c r="BD323" s="56"/>
      <c r="BE323" s="56"/>
      <c r="BF323" s="56"/>
      <c r="BG323" s="56"/>
      <c r="BO323" s="145"/>
      <c r="CI323" s="145"/>
      <c r="CY323" s="145"/>
    </row>
    <row r="324" spans="1:103" s="97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65"/>
      <c r="M324" s="10"/>
      <c r="N324" s="56"/>
      <c r="O324" s="56"/>
      <c r="P324" s="162"/>
      <c r="Q324" s="178"/>
      <c r="R324" s="168"/>
      <c r="S324" s="56"/>
      <c r="T324" s="56"/>
      <c r="U324" s="56"/>
      <c r="V324" s="162"/>
      <c r="W324" s="178"/>
      <c r="X324" s="172"/>
      <c r="Y324" s="10"/>
      <c r="Z324" s="56"/>
      <c r="AA324" s="56"/>
      <c r="AB324" s="56"/>
      <c r="AC324" s="56"/>
      <c r="AD324" s="56"/>
      <c r="AE324" s="174"/>
      <c r="AF324" s="56"/>
      <c r="AG324" s="56"/>
      <c r="AH324" s="172"/>
      <c r="AI324" s="56"/>
      <c r="AJ324" s="56"/>
      <c r="AK324" s="56"/>
      <c r="AL324" s="56"/>
      <c r="AM324" s="56"/>
      <c r="AN324" s="56"/>
      <c r="AO324" s="172"/>
      <c r="AP324" s="56"/>
      <c r="AQ324" s="56"/>
      <c r="AR324" s="56"/>
      <c r="AS324" s="56"/>
      <c r="AT324" s="56"/>
      <c r="AU324" s="56"/>
      <c r="AV324" s="56"/>
      <c r="AW324" s="172"/>
      <c r="AX324" s="56"/>
      <c r="AY324" s="56"/>
      <c r="AZ324" s="56"/>
      <c r="BA324" s="172"/>
      <c r="BB324" s="56"/>
      <c r="BC324" s="10"/>
      <c r="BD324" s="56"/>
      <c r="BE324" s="56"/>
      <c r="BF324" s="56"/>
      <c r="BG324" s="56"/>
      <c r="BO324" s="145"/>
      <c r="CI324" s="145"/>
      <c r="CY324" s="145"/>
    </row>
    <row r="325" spans="1:103" s="97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65"/>
      <c r="M325" s="10"/>
      <c r="N325" s="56"/>
      <c r="O325" s="56"/>
      <c r="P325" s="162"/>
      <c r="Q325" s="178"/>
      <c r="R325" s="168"/>
      <c r="S325" s="56"/>
      <c r="T325" s="56"/>
      <c r="U325" s="56"/>
      <c r="V325" s="162"/>
      <c r="W325" s="178"/>
      <c r="X325" s="172"/>
      <c r="Y325" s="10"/>
      <c r="Z325" s="56"/>
      <c r="AA325" s="56"/>
      <c r="AB325" s="56"/>
      <c r="AC325" s="56"/>
      <c r="AD325" s="56"/>
      <c r="AE325" s="174"/>
      <c r="AF325" s="56"/>
      <c r="AG325" s="56"/>
      <c r="AH325" s="172"/>
      <c r="AI325" s="56"/>
      <c r="AJ325" s="56"/>
      <c r="AK325" s="56"/>
      <c r="AL325" s="56"/>
      <c r="AM325" s="56"/>
      <c r="AN325" s="56"/>
      <c r="AO325" s="172"/>
      <c r="AP325" s="56"/>
      <c r="AQ325" s="56"/>
      <c r="AR325" s="56"/>
      <c r="AS325" s="56"/>
      <c r="AT325" s="56"/>
      <c r="AU325" s="56"/>
      <c r="AV325" s="56"/>
      <c r="AW325" s="172"/>
      <c r="AX325" s="56"/>
      <c r="AY325" s="56"/>
      <c r="AZ325" s="56"/>
      <c r="BA325" s="172"/>
      <c r="BB325" s="56"/>
      <c r="BC325" s="10"/>
      <c r="BD325" s="56"/>
      <c r="BE325" s="56"/>
      <c r="BF325" s="56"/>
      <c r="BG325" s="56"/>
      <c r="BO325" s="145"/>
      <c r="CI325" s="145"/>
      <c r="CY325" s="145"/>
    </row>
    <row r="326" spans="1:103" s="97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65"/>
      <c r="M326" s="10"/>
      <c r="N326" s="56"/>
      <c r="O326" s="56"/>
      <c r="P326" s="162"/>
      <c r="Q326" s="178"/>
      <c r="R326" s="168"/>
      <c r="S326" s="56"/>
      <c r="T326" s="56"/>
      <c r="U326" s="56"/>
      <c r="V326" s="162"/>
      <c r="W326" s="178"/>
      <c r="X326" s="172"/>
      <c r="Y326" s="10"/>
      <c r="Z326" s="56"/>
      <c r="AA326" s="56"/>
      <c r="AB326" s="56"/>
      <c r="AC326" s="56"/>
      <c r="AD326" s="56"/>
      <c r="AE326" s="174"/>
      <c r="AF326" s="56"/>
      <c r="AG326" s="56"/>
      <c r="AH326" s="172"/>
      <c r="AI326" s="56"/>
      <c r="AJ326" s="56"/>
      <c r="AK326" s="56"/>
      <c r="AL326" s="56"/>
      <c r="AM326" s="56"/>
      <c r="AN326" s="56"/>
      <c r="AO326" s="172"/>
      <c r="AP326" s="56"/>
      <c r="AQ326" s="56"/>
      <c r="AR326" s="56"/>
      <c r="AS326" s="56"/>
      <c r="AT326" s="56"/>
      <c r="AU326" s="56"/>
      <c r="AV326" s="56"/>
      <c r="AW326" s="172"/>
      <c r="AX326" s="56"/>
      <c r="AY326" s="56"/>
      <c r="AZ326" s="56"/>
      <c r="BA326" s="172"/>
      <c r="BB326" s="56"/>
      <c r="BC326" s="10"/>
      <c r="BD326" s="56"/>
      <c r="BE326" s="56"/>
      <c r="BF326" s="56"/>
      <c r="BG326" s="56"/>
      <c r="BO326" s="145"/>
      <c r="CI326" s="145"/>
      <c r="CY326" s="145"/>
    </row>
    <row r="327" spans="1:103" s="97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65"/>
      <c r="M327" s="10"/>
      <c r="N327" s="56"/>
      <c r="O327" s="56"/>
      <c r="P327" s="162"/>
      <c r="Q327" s="178"/>
      <c r="R327" s="168"/>
      <c r="S327" s="56"/>
      <c r="T327" s="56"/>
      <c r="U327" s="56"/>
      <c r="V327" s="162"/>
      <c r="W327" s="178"/>
      <c r="X327" s="172"/>
      <c r="Y327" s="10"/>
      <c r="Z327" s="56"/>
      <c r="AA327" s="56"/>
      <c r="AB327" s="56"/>
      <c r="AC327" s="56"/>
      <c r="AD327" s="56"/>
      <c r="AE327" s="174"/>
      <c r="AF327" s="56"/>
      <c r="AG327" s="56"/>
      <c r="AH327" s="172"/>
      <c r="AI327" s="56"/>
      <c r="AJ327" s="56"/>
      <c r="AK327" s="56"/>
      <c r="AL327" s="56"/>
      <c r="AM327" s="56"/>
      <c r="AN327" s="56"/>
      <c r="AO327" s="172"/>
      <c r="AP327" s="56"/>
      <c r="AQ327" s="56"/>
      <c r="AR327" s="56"/>
      <c r="AS327" s="56"/>
      <c r="AT327" s="56"/>
      <c r="AU327" s="56"/>
      <c r="AV327" s="56"/>
      <c r="AW327" s="172"/>
      <c r="AX327" s="56"/>
      <c r="AY327" s="56"/>
      <c r="AZ327" s="56"/>
      <c r="BA327" s="172"/>
      <c r="BB327" s="56"/>
      <c r="BC327" s="10"/>
      <c r="BD327" s="56"/>
      <c r="BE327" s="56"/>
      <c r="BF327" s="56"/>
      <c r="BG327" s="56"/>
      <c r="BO327" s="145"/>
      <c r="CI327" s="145"/>
      <c r="CY327" s="145"/>
    </row>
    <row r="328" spans="1:103" s="97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65"/>
      <c r="M328" s="10"/>
      <c r="N328" s="56"/>
      <c r="O328" s="56"/>
      <c r="P328" s="162"/>
      <c r="Q328" s="178"/>
      <c r="R328" s="168"/>
      <c r="S328" s="56"/>
      <c r="T328" s="56"/>
      <c r="U328" s="56"/>
      <c r="V328" s="162"/>
      <c r="W328" s="178"/>
      <c r="X328" s="172"/>
      <c r="Y328" s="10"/>
      <c r="Z328" s="56"/>
      <c r="AA328" s="56"/>
      <c r="AB328" s="56"/>
      <c r="AC328" s="56"/>
      <c r="AD328" s="56"/>
      <c r="AE328" s="174"/>
      <c r="AF328" s="56"/>
      <c r="AG328" s="56"/>
      <c r="AH328" s="172"/>
      <c r="AI328" s="56"/>
      <c r="AJ328" s="56"/>
      <c r="AK328" s="56"/>
      <c r="AL328" s="56"/>
      <c r="AM328" s="56"/>
      <c r="AN328" s="56"/>
      <c r="AO328" s="172"/>
      <c r="AP328" s="56"/>
      <c r="AQ328" s="56"/>
      <c r="AR328" s="56"/>
      <c r="AS328" s="56"/>
      <c r="AT328" s="56"/>
      <c r="AU328" s="56"/>
      <c r="AV328" s="56"/>
      <c r="AW328" s="172"/>
      <c r="AX328" s="56"/>
      <c r="AY328" s="56"/>
      <c r="AZ328" s="56"/>
      <c r="BA328" s="172"/>
      <c r="BB328" s="56"/>
      <c r="BC328" s="10"/>
      <c r="BD328" s="56"/>
      <c r="BE328" s="56"/>
      <c r="BF328" s="56"/>
      <c r="BG328" s="56"/>
      <c r="BO328" s="145"/>
      <c r="CI328" s="145"/>
      <c r="CY328" s="145"/>
    </row>
    <row r="329" spans="1:103" s="97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65"/>
      <c r="M329" s="10"/>
      <c r="N329" s="56"/>
      <c r="O329" s="56"/>
      <c r="P329" s="162"/>
      <c r="Q329" s="178"/>
      <c r="R329" s="168"/>
      <c r="S329" s="56"/>
      <c r="T329" s="56"/>
      <c r="U329" s="56"/>
      <c r="V329" s="162"/>
      <c r="W329" s="178"/>
      <c r="X329" s="172"/>
      <c r="Y329" s="10"/>
      <c r="Z329" s="56"/>
      <c r="AA329" s="56"/>
      <c r="AB329" s="56"/>
      <c r="AC329" s="56"/>
      <c r="AD329" s="56"/>
      <c r="AE329" s="174"/>
      <c r="AF329" s="56"/>
      <c r="AG329" s="56"/>
      <c r="AH329" s="172"/>
      <c r="AI329" s="56"/>
      <c r="AJ329" s="56"/>
      <c r="AK329" s="56"/>
      <c r="AL329" s="56"/>
      <c r="AM329" s="56"/>
      <c r="AN329" s="56"/>
      <c r="AO329" s="172"/>
      <c r="AP329" s="56"/>
      <c r="AQ329" s="56"/>
      <c r="AR329" s="56"/>
      <c r="AS329" s="56"/>
      <c r="AT329" s="56"/>
      <c r="AU329" s="56"/>
      <c r="AV329" s="56"/>
      <c r="AW329" s="172"/>
      <c r="AX329" s="56"/>
      <c r="AY329" s="56"/>
      <c r="AZ329" s="56"/>
      <c r="BA329" s="172"/>
      <c r="BB329" s="56"/>
      <c r="BC329" s="10"/>
      <c r="BD329" s="56"/>
      <c r="BE329" s="56"/>
      <c r="BF329" s="56"/>
      <c r="BG329" s="56"/>
      <c r="BO329" s="145"/>
      <c r="CI329" s="145"/>
      <c r="CY329" s="145"/>
    </row>
    <row r="330" spans="1:103" s="97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65"/>
      <c r="M330" s="10"/>
      <c r="N330" s="56"/>
      <c r="O330" s="56"/>
      <c r="P330" s="162"/>
      <c r="Q330" s="178"/>
      <c r="R330" s="168"/>
      <c r="S330" s="56"/>
      <c r="T330" s="56"/>
      <c r="U330" s="56"/>
      <c r="V330" s="162"/>
      <c r="W330" s="178"/>
      <c r="X330" s="172"/>
      <c r="Y330" s="10"/>
      <c r="Z330" s="56"/>
      <c r="AA330" s="56"/>
      <c r="AB330" s="56"/>
      <c r="AC330" s="56"/>
      <c r="AD330" s="56"/>
      <c r="AE330" s="174"/>
      <c r="AF330" s="56"/>
      <c r="AG330" s="56"/>
      <c r="AH330" s="172"/>
      <c r="AI330" s="56"/>
      <c r="AJ330" s="56"/>
      <c r="AK330" s="56"/>
      <c r="AL330" s="56"/>
      <c r="AM330" s="56"/>
      <c r="AN330" s="56"/>
      <c r="AO330" s="172"/>
      <c r="AP330" s="56"/>
      <c r="AQ330" s="56"/>
      <c r="AR330" s="56"/>
      <c r="AS330" s="56"/>
      <c r="AT330" s="56"/>
      <c r="AU330" s="56"/>
      <c r="AV330" s="56"/>
      <c r="AW330" s="172"/>
      <c r="AX330" s="56"/>
      <c r="AY330" s="56"/>
      <c r="AZ330" s="56"/>
      <c r="BA330" s="172"/>
      <c r="BB330" s="56"/>
      <c r="BC330" s="10"/>
      <c r="BD330" s="56"/>
      <c r="BE330" s="56"/>
      <c r="BF330" s="56"/>
      <c r="BG330" s="56"/>
      <c r="BO330" s="145"/>
      <c r="CI330" s="145"/>
      <c r="CY330" s="145"/>
    </row>
    <row r="331" spans="1:103" s="97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65"/>
      <c r="M331" s="10"/>
      <c r="N331" s="56"/>
      <c r="O331" s="56"/>
      <c r="P331" s="162"/>
      <c r="Q331" s="178"/>
      <c r="R331" s="168"/>
      <c r="S331" s="56"/>
      <c r="T331" s="56"/>
      <c r="U331" s="56"/>
      <c r="V331" s="162"/>
      <c r="W331" s="178"/>
      <c r="X331" s="172"/>
      <c r="Y331" s="10"/>
      <c r="Z331" s="56"/>
      <c r="AA331" s="56"/>
      <c r="AB331" s="56"/>
      <c r="AC331" s="56"/>
      <c r="AD331" s="56"/>
      <c r="AE331" s="174"/>
      <c r="AF331" s="56"/>
      <c r="AG331" s="56"/>
      <c r="AH331" s="172"/>
      <c r="AI331" s="56"/>
      <c r="AJ331" s="56"/>
      <c r="AK331" s="56"/>
      <c r="AL331" s="56"/>
      <c r="AM331" s="56"/>
      <c r="AN331" s="56"/>
      <c r="AO331" s="172"/>
      <c r="AP331" s="56"/>
      <c r="AQ331" s="56"/>
      <c r="AR331" s="56"/>
      <c r="AS331" s="56"/>
      <c r="AT331" s="56"/>
      <c r="AU331" s="56"/>
      <c r="AV331" s="56"/>
      <c r="AW331" s="172"/>
      <c r="AX331" s="56"/>
      <c r="AY331" s="56"/>
      <c r="AZ331" s="56"/>
      <c r="BA331" s="172"/>
      <c r="BB331" s="56"/>
      <c r="BC331" s="10"/>
      <c r="BD331" s="56"/>
      <c r="BE331" s="56"/>
      <c r="BF331" s="56"/>
      <c r="BG331" s="56"/>
      <c r="BO331" s="145"/>
      <c r="CI331" s="145"/>
      <c r="CY331" s="145"/>
    </row>
    <row r="332" spans="1:103" s="97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65"/>
      <c r="M332" s="10"/>
      <c r="N332" s="56"/>
      <c r="O332" s="56"/>
      <c r="P332" s="162"/>
      <c r="Q332" s="178"/>
      <c r="R332" s="168"/>
      <c r="S332" s="56"/>
      <c r="T332" s="56"/>
      <c r="U332" s="56"/>
      <c r="V332" s="162"/>
      <c r="W332" s="178"/>
      <c r="X332" s="172"/>
      <c r="Y332" s="10"/>
      <c r="Z332" s="56"/>
      <c r="AA332" s="56"/>
      <c r="AB332" s="56"/>
      <c r="AC332" s="56"/>
      <c r="AD332" s="56"/>
      <c r="AE332" s="174"/>
      <c r="AF332" s="56"/>
      <c r="AG332" s="56"/>
      <c r="AH332" s="172"/>
      <c r="AI332" s="56"/>
      <c r="AJ332" s="56"/>
      <c r="AK332" s="56"/>
      <c r="AL332" s="56"/>
      <c r="AM332" s="56"/>
      <c r="AN332" s="56"/>
      <c r="AO332" s="172"/>
      <c r="AP332" s="56"/>
      <c r="AQ332" s="56"/>
      <c r="AR332" s="56"/>
      <c r="AS332" s="56"/>
      <c r="AT332" s="56"/>
      <c r="AU332" s="56"/>
      <c r="AV332" s="56"/>
      <c r="AW332" s="172"/>
      <c r="AX332" s="56"/>
      <c r="AY332" s="56"/>
      <c r="AZ332" s="56"/>
      <c r="BA332" s="172"/>
      <c r="BB332" s="56"/>
      <c r="BC332" s="10"/>
      <c r="BD332" s="56"/>
      <c r="BE332" s="56"/>
      <c r="BF332" s="56"/>
      <c r="BG332" s="56"/>
      <c r="BO332" s="145"/>
      <c r="CI332" s="145"/>
      <c r="CY332" s="145"/>
    </row>
    <row r="333" spans="1:103" s="97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65"/>
      <c r="M333" s="10"/>
      <c r="N333" s="56"/>
      <c r="O333" s="56"/>
      <c r="P333" s="162"/>
      <c r="Q333" s="178"/>
      <c r="R333" s="168"/>
      <c r="S333" s="56"/>
      <c r="T333" s="56"/>
      <c r="U333" s="56"/>
      <c r="V333" s="162"/>
      <c r="W333" s="178"/>
      <c r="X333" s="172"/>
      <c r="Y333" s="10"/>
      <c r="Z333" s="56"/>
      <c r="AA333" s="56"/>
      <c r="AB333" s="56"/>
      <c r="AC333" s="56"/>
      <c r="AD333" s="56"/>
      <c r="AE333" s="174"/>
      <c r="AF333" s="56"/>
      <c r="AG333" s="56"/>
      <c r="AH333" s="172"/>
      <c r="AI333" s="56"/>
      <c r="AJ333" s="56"/>
      <c r="AK333" s="56"/>
      <c r="AL333" s="56"/>
      <c r="AM333" s="56"/>
      <c r="AN333" s="56"/>
      <c r="AO333" s="172"/>
      <c r="AP333" s="56"/>
      <c r="AQ333" s="56"/>
      <c r="AR333" s="56"/>
      <c r="AS333" s="56"/>
      <c r="AT333" s="56"/>
      <c r="AU333" s="56"/>
      <c r="AV333" s="56"/>
      <c r="AW333" s="172"/>
      <c r="AX333" s="56"/>
      <c r="AY333" s="56"/>
      <c r="AZ333" s="56"/>
      <c r="BA333" s="172"/>
      <c r="BB333" s="56"/>
      <c r="BC333" s="10"/>
      <c r="BD333" s="56"/>
      <c r="BE333" s="56"/>
      <c r="BF333" s="56"/>
      <c r="BG333" s="56"/>
      <c r="BO333" s="145"/>
      <c r="CI333" s="145"/>
      <c r="CY333" s="145"/>
    </row>
    <row r="334" spans="1:103" s="97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65"/>
      <c r="M334" s="10"/>
      <c r="N334" s="56"/>
      <c r="O334" s="56"/>
      <c r="P334" s="162"/>
      <c r="Q334" s="178"/>
      <c r="R334" s="168"/>
      <c r="S334" s="56"/>
      <c r="T334" s="56"/>
      <c r="U334" s="56"/>
      <c r="V334" s="162"/>
      <c r="W334" s="178"/>
      <c r="X334" s="172"/>
      <c r="Y334" s="10"/>
      <c r="Z334" s="56"/>
      <c r="AA334" s="56"/>
      <c r="AB334" s="56"/>
      <c r="AC334" s="56"/>
      <c r="AD334" s="56"/>
      <c r="AE334" s="174"/>
      <c r="AF334" s="56"/>
      <c r="AG334" s="56"/>
      <c r="AH334" s="172"/>
      <c r="AI334" s="56"/>
      <c r="AJ334" s="56"/>
      <c r="AK334" s="56"/>
      <c r="AL334" s="56"/>
      <c r="AM334" s="56"/>
      <c r="AN334" s="56"/>
      <c r="AO334" s="172"/>
      <c r="AP334" s="56"/>
      <c r="AQ334" s="56"/>
      <c r="AR334" s="56"/>
      <c r="AS334" s="56"/>
      <c r="AT334" s="56"/>
      <c r="AU334" s="56"/>
      <c r="AV334" s="56"/>
      <c r="AW334" s="172"/>
      <c r="AX334" s="56"/>
      <c r="AY334" s="56"/>
      <c r="AZ334" s="56"/>
      <c r="BA334" s="172"/>
      <c r="BB334" s="56"/>
      <c r="BC334" s="10"/>
      <c r="BD334" s="56"/>
      <c r="BE334" s="56"/>
      <c r="BF334" s="56"/>
      <c r="BG334" s="56"/>
      <c r="BO334" s="145"/>
      <c r="CI334" s="145"/>
      <c r="CY334" s="145"/>
    </row>
    <row r="335" spans="1:103" s="97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65"/>
      <c r="M335" s="10"/>
      <c r="N335" s="56"/>
      <c r="O335" s="56"/>
      <c r="P335" s="162"/>
      <c r="Q335" s="178"/>
      <c r="R335" s="168"/>
      <c r="S335" s="56"/>
      <c r="T335" s="56"/>
      <c r="U335" s="56"/>
      <c r="V335" s="162"/>
      <c r="W335" s="178"/>
      <c r="X335" s="172"/>
      <c r="Y335" s="10"/>
      <c r="Z335" s="56"/>
      <c r="AA335" s="56"/>
      <c r="AB335" s="56"/>
      <c r="AC335" s="56"/>
      <c r="AD335" s="56"/>
      <c r="AE335" s="174"/>
      <c r="AF335" s="56"/>
      <c r="AG335" s="56"/>
      <c r="AH335" s="172"/>
      <c r="AI335" s="56"/>
      <c r="AJ335" s="56"/>
      <c r="AK335" s="56"/>
      <c r="AL335" s="56"/>
      <c r="AM335" s="56"/>
      <c r="AN335" s="56"/>
      <c r="AO335" s="172"/>
      <c r="AP335" s="56"/>
      <c r="AQ335" s="56"/>
      <c r="AR335" s="56"/>
      <c r="AS335" s="56"/>
      <c r="AT335" s="56"/>
      <c r="AU335" s="56"/>
      <c r="AV335" s="56"/>
      <c r="AW335" s="172"/>
      <c r="AX335" s="56"/>
      <c r="AY335" s="56"/>
      <c r="AZ335" s="56"/>
      <c r="BA335" s="172"/>
      <c r="BB335" s="56"/>
      <c r="BC335" s="10"/>
      <c r="BD335" s="56"/>
      <c r="BE335" s="56"/>
      <c r="BF335" s="56"/>
      <c r="BG335" s="56"/>
      <c r="BO335" s="145"/>
      <c r="CI335" s="145"/>
      <c r="CY335" s="145"/>
    </row>
    <row r="336" spans="1:103" s="97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65"/>
      <c r="M336" s="10"/>
      <c r="N336" s="56"/>
      <c r="O336" s="56"/>
      <c r="P336" s="162"/>
      <c r="Q336" s="178"/>
      <c r="R336" s="168"/>
      <c r="S336" s="56"/>
      <c r="T336" s="56"/>
      <c r="U336" s="56"/>
      <c r="V336" s="162"/>
      <c r="W336" s="178"/>
      <c r="X336" s="172"/>
      <c r="Y336" s="10"/>
      <c r="Z336" s="56"/>
      <c r="AA336" s="56"/>
      <c r="AB336" s="56"/>
      <c r="AC336" s="56"/>
      <c r="AD336" s="56"/>
      <c r="AE336" s="174"/>
      <c r="AF336" s="56"/>
      <c r="AG336" s="56"/>
      <c r="AH336" s="172"/>
      <c r="AI336" s="56"/>
      <c r="AJ336" s="56"/>
      <c r="AK336" s="56"/>
      <c r="AL336" s="56"/>
      <c r="AM336" s="56"/>
      <c r="AN336" s="56"/>
      <c r="AO336" s="172"/>
      <c r="AP336" s="56"/>
      <c r="AQ336" s="56"/>
      <c r="AR336" s="56"/>
      <c r="AS336" s="56"/>
      <c r="AT336" s="56"/>
      <c r="AU336" s="56"/>
      <c r="AV336" s="56"/>
      <c r="AW336" s="172"/>
      <c r="AX336" s="56"/>
      <c r="AY336" s="56"/>
      <c r="AZ336" s="56"/>
      <c r="BA336" s="172"/>
      <c r="BB336" s="56"/>
      <c r="BC336" s="10"/>
      <c r="BD336" s="56"/>
      <c r="BE336" s="56"/>
      <c r="BF336" s="56"/>
      <c r="BG336" s="56"/>
      <c r="BO336" s="145"/>
      <c r="CI336" s="145"/>
      <c r="CY336" s="145"/>
    </row>
    <row r="337" spans="1:103" s="97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65"/>
      <c r="M337" s="10"/>
      <c r="N337" s="56"/>
      <c r="O337" s="56"/>
      <c r="P337" s="162"/>
      <c r="Q337" s="178"/>
      <c r="R337" s="168"/>
      <c r="S337" s="56"/>
      <c r="T337" s="56"/>
      <c r="U337" s="56"/>
      <c r="V337" s="162"/>
      <c r="W337" s="178"/>
      <c r="X337" s="172"/>
      <c r="Y337" s="10"/>
      <c r="Z337" s="56"/>
      <c r="AA337" s="56"/>
      <c r="AB337" s="56"/>
      <c r="AC337" s="56"/>
      <c r="AD337" s="56"/>
      <c r="AE337" s="174"/>
      <c r="AF337" s="56"/>
      <c r="AG337" s="56"/>
      <c r="AH337" s="172"/>
      <c r="AI337" s="56"/>
      <c r="AJ337" s="56"/>
      <c r="AK337" s="56"/>
      <c r="AL337" s="56"/>
      <c r="AM337" s="56"/>
      <c r="AN337" s="56"/>
      <c r="AO337" s="172"/>
      <c r="AP337" s="56"/>
      <c r="AQ337" s="56"/>
      <c r="AR337" s="56"/>
      <c r="AS337" s="56"/>
      <c r="AT337" s="56"/>
      <c r="AU337" s="56"/>
      <c r="AV337" s="56"/>
      <c r="AW337" s="172"/>
      <c r="AX337" s="56"/>
      <c r="AY337" s="56"/>
      <c r="AZ337" s="56"/>
      <c r="BA337" s="172"/>
      <c r="BB337" s="56"/>
      <c r="BC337" s="10"/>
      <c r="BD337" s="56"/>
      <c r="BE337" s="56"/>
      <c r="BF337" s="56"/>
      <c r="BG337" s="56"/>
      <c r="BO337" s="145"/>
      <c r="CI337" s="145"/>
      <c r="CY337" s="145"/>
    </row>
    <row r="338" spans="1:103" s="97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65"/>
      <c r="M338" s="10"/>
      <c r="N338" s="56"/>
      <c r="O338" s="56"/>
      <c r="P338" s="162"/>
      <c r="Q338" s="178"/>
      <c r="R338" s="168"/>
      <c r="S338" s="56"/>
      <c r="T338" s="56"/>
      <c r="U338" s="56"/>
      <c r="V338" s="162"/>
      <c r="W338" s="178"/>
      <c r="X338" s="172"/>
      <c r="Y338" s="10"/>
      <c r="Z338" s="56"/>
      <c r="AA338" s="56"/>
      <c r="AB338" s="56"/>
      <c r="AC338" s="56"/>
      <c r="AD338" s="56"/>
      <c r="AE338" s="174"/>
      <c r="AF338" s="56"/>
      <c r="AG338" s="56"/>
      <c r="AH338" s="172"/>
      <c r="AI338" s="56"/>
      <c r="AJ338" s="56"/>
      <c r="AK338" s="56"/>
      <c r="AL338" s="56"/>
      <c r="AM338" s="56"/>
      <c r="AN338" s="56"/>
      <c r="AO338" s="172"/>
      <c r="AP338" s="56"/>
      <c r="AQ338" s="56"/>
      <c r="AR338" s="56"/>
      <c r="AS338" s="56"/>
      <c r="AT338" s="56"/>
      <c r="AU338" s="56"/>
      <c r="AV338" s="56"/>
      <c r="AW338" s="172"/>
      <c r="AX338" s="56"/>
      <c r="AY338" s="56"/>
      <c r="AZ338" s="56"/>
      <c r="BA338" s="172"/>
      <c r="BB338" s="56"/>
      <c r="BC338" s="10"/>
      <c r="BD338" s="56"/>
      <c r="BE338" s="56"/>
      <c r="BF338" s="56"/>
      <c r="BG338" s="56"/>
      <c r="BO338" s="145"/>
      <c r="CI338" s="145"/>
      <c r="CY338" s="145"/>
    </row>
    <row r="339" spans="1:103" s="97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65"/>
      <c r="M339" s="10"/>
      <c r="N339" s="56"/>
      <c r="O339" s="56"/>
      <c r="P339" s="162"/>
      <c r="Q339" s="178"/>
      <c r="R339" s="168"/>
      <c r="S339" s="56"/>
      <c r="T339" s="56"/>
      <c r="U339" s="56"/>
      <c r="V339" s="162"/>
      <c r="W339" s="178"/>
      <c r="X339" s="172"/>
      <c r="Y339" s="10"/>
      <c r="Z339" s="56"/>
      <c r="AA339" s="56"/>
      <c r="AB339" s="56"/>
      <c r="AC339" s="56"/>
      <c r="AD339" s="56"/>
      <c r="AE339" s="174"/>
      <c r="AF339" s="56"/>
      <c r="AG339" s="56"/>
      <c r="AH339" s="172"/>
      <c r="AI339" s="56"/>
      <c r="AJ339" s="56"/>
      <c r="AK339" s="56"/>
      <c r="AL339" s="56"/>
      <c r="AM339" s="56"/>
      <c r="AN339" s="56"/>
      <c r="AO339" s="172"/>
      <c r="AP339" s="56"/>
      <c r="AQ339" s="56"/>
      <c r="AR339" s="56"/>
      <c r="AS339" s="56"/>
      <c r="AT339" s="56"/>
      <c r="AU339" s="56"/>
      <c r="AV339" s="56"/>
      <c r="AW339" s="172"/>
      <c r="AX339" s="56"/>
      <c r="AY339" s="56"/>
      <c r="AZ339" s="56"/>
      <c r="BA339" s="172"/>
      <c r="BB339" s="56"/>
      <c r="BC339" s="10"/>
      <c r="BD339" s="56"/>
      <c r="BE339" s="56"/>
      <c r="BF339" s="56"/>
      <c r="BG339" s="56"/>
      <c r="BO339" s="145"/>
      <c r="CI339" s="145"/>
      <c r="CY339" s="145"/>
    </row>
    <row r="340" spans="1:103" s="97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65"/>
      <c r="M340" s="10"/>
      <c r="N340" s="56"/>
      <c r="O340" s="56"/>
      <c r="P340" s="162"/>
      <c r="Q340" s="178"/>
      <c r="R340" s="168"/>
      <c r="S340" s="56"/>
      <c r="T340" s="56"/>
      <c r="U340" s="56"/>
      <c r="V340" s="162"/>
      <c r="W340" s="178"/>
      <c r="X340" s="172"/>
      <c r="Y340" s="10"/>
      <c r="Z340" s="56"/>
      <c r="AA340" s="56"/>
      <c r="AB340" s="56"/>
      <c r="AC340" s="56"/>
      <c r="AD340" s="56"/>
      <c r="AE340" s="174"/>
      <c r="AF340" s="56"/>
      <c r="AG340" s="56"/>
      <c r="AH340" s="172"/>
      <c r="AI340" s="56"/>
      <c r="AJ340" s="56"/>
      <c r="AK340" s="56"/>
      <c r="AL340" s="56"/>
      <c r="AM340" s="56"/>
      <c r="AN340" s="56"/>
      <c r="AO340" s="172"/>
      <c r="AP340" s="56"/>
      <c r="AQ340" s="56"/>
      <c r="AR340" s="56"/>
      <c r="AS340" s="56"/>
      <c r="AT340" s="56"/>
      <c r="AU340" s="56"/>
      <c r="AV340" s="56"/>
      <c r="AW340" s="172"/>
      <c r="AX340" s="56"/>
      <c r="AY340" s="56"/>
      <c r="AZ340" s="56"/>
      <c r="BA340" s="172"/>
      <c r="BB340" s="56"/>
      <c r="BC340" s="10"/>
      <c r="BD340" s="56"/>
      <c r="BE340" s="56"/>
      <c r="BF340" s="56"/>
      <c r="BG340" s="56"/>
      <c r="BO340" s="145"/>
      <c r="CI340" s="145"/>
      <c r="CY340" s="145"/>
    </row>
    <row r="341" spans="1:103" s="97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65"/>
      <c r="M341" s="10"/>
      <c r="N341" s="56"/>
      <c r="O341" s="56"/>
      <c r="P341" s="162"/>
      <c r="Q341" s="178"/>
      <c r="R341" s="168"/>
      <c r="S341" s="56"/>
      <c r="T341" s="56"/>
      <c r="U341" s="56"/>
      <c r="V341" s="162"/>
      <c r="W341" s="178"/>
      <c r="X341" s="172"/>
      <c r="Y341" s="10"/>
      <c r="Z341" s="56"/>
      <c r="AA341" s="56"/>
      <c r="AB341" s="56"/>
      <c r="AC341" s="56"/>
      <c r="AD341" s="56"/>
      <c r="AE341" s="174"/>
      <c r="AF341" s="56"/>
      <c r="AG341" s="56"/>
      <c r="AH341" s="172"/>
      <c r="AI341" s="56"/>
      <c r="AJ341" s="56"/>
      <c r="AK341" s="56"/>
      <c r="AL341" s="56"/>
      <c r="AM341" s="56"/>
      <c r="AN341" s="56"/>
      <c r="AO341" s="172"/>
      <c r="AP341" s="56"/>
      <c r="AQ341" s="56"/>
      <c r="AR341" s="56"/>
      <c r="AS341" s="56"/>
      <c r="AT341" s="56"/>
      <c r="AU341" s="56"/>
      <c r="AV341" s="56"/>
      <c r="AW341" s="172"/>
      <c r="AX341" s="56"/>
      <c r="AY341" s="56"/>
      <c r="AZ341" s="56"/>
      <c r="BA341" s="172"/>
      <c r="BB341" s="56"/>
      <c r="BC341" s="10"/>
      <c r="BD341" s="56"/>
      <c r="BE341" s="56"/>
      <c r="BF341" s="56"/>
      <c r="BG341" s="56"/>
      <c r="BO341" s="145"/>
      <c r="CI341" s="145"/>
      <c r="CY341" s="145"/>
    </row>
    <row r="342" spans="1:103" s="97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65"/>
      <c r="M342" s="10"/>
      <c r="N342" s="56"/>
      <c r="O342" s="56"/>
      <c r="P342" s="162"/>
      <c r="Q342" s="178"/>
      <c r="R342" s="168"/>
      <c r="S342" s="56"/>
      <c r="T342" s="56"/>
      <c r="U342" s="56"/>
      <c r="V342" s="162"/>
      <c r="W342" s="178"/>
      <c r="X342" s="172"/>
      <c r="Y342" s="10"/>
      <c r="Z342" s="56"/>
      <c r="AA342" s="56"/>
      <c r="AB342" s="56"/>
      <c r="AC342" s="56"/>
      <c r="AD342" s="56"/>
      <c r="AE342" s="174"/>
      <c r="AF342" s="56"/>
      <c r="AG342" s="56"/>
      <c r="AH342" s="172"/>
      <c r="AI342" s="56"/>
      <c r="AJ342" s="56"/>
      <c r="AK342" s="56"/>
      <c r="AL342" s="56"/>
      <c r="AM342" s="56"/>
      <c r="AN342" s="56"/>
      <c r="AO342" s="172"/>
      <c r="AP342" s="56"/>
      <c r="AQ342" s="56"/>
      <c r="AR342" s="56"/>
      <c r="AS342" s="56"/>
      <c r="AT342" s="56"/>
      <c r="AU342" s="56"/>
      <c r="AV342" s="56"/>
      <c r="AW342" s="172"/>
      <c r="AX342" s="56"/>
      <c r="AY342" s="56"/>
      <c r="AZ342" s="56"/>
      <c r="BA342" s="172"/>
      <c r="BB342" s="56"/>
      <c r="BC342" s="10"/>
      <c r="BD342" s="56"/>
      <c r="BE342" s="56"/>
      <c r="BF342" s="56"/>
      <c r="BG342" s="56"/>
      <c r="BO342" s="145"/>
      <c r="CI342" s="145"/>
      <c r="CY342" s="145"/>
    </row>
    <row r="343" spans="1:103" s="97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65"/>
      <c r="M343" s="10"/>
      <c r="N343" s="56"/>
      <c r="O343" s="56"/>
      <c r="P343" s="162"/>
      <c r="Q343" s="178"/>
      <c r="R343" s="168"/>
      <c r="S343" s="56"/>
      <c r="T343" s="56"/>
      <c r="U343" s="56"/>
      <c r="V343" s="162"/>
      <c r="W343" s="178"/>
      <c r="X343" s="172"/>
      <c r="Y343" s="10"/>
      <c r="Z343" s="56"/>
      <c r="AA343" s="56"/>
      <c r="AB343" s="56"/>
      <c r="AC343" s="56"/>
      <c r="AD343" s="56"/>
      <c r="AE343" s="174"/>
      <c r="AF343" s="56"/>
      <c r="AG343" s="56"/>
      <c r="AH343" s="172"/>
      <c r="AI343" s="56"/>
      <c r="AJ343" s="56"/>
      <c r="AK343" s="56"/>
      <c r="AL343" s="56"/>
      <c r="AM343" s="56"/>
      <c r="AN343" s="56"/>
      <c r="AO343" s="172"/>
      <c r="AP343" s="56"/>
      <c r="AQ343" s="56"/>
      <c r="AR343" s="56"/>
      <c r="AS343" s="56"/>
      <c r="AT343" s="56"/>
      <c r="AU343" s="56"/>
      <c r="AV343" s="56"/>
      <c r="AW343" s="172"/>
      <c r="AX343" s="56"/>
      <c r="AY343" s="56"/>
      <c r="AZ343" s="56"/>
      <c r="BA343" s="172"/>
      <c r="BB343" s="56"/>
      <c r="BC343" s="10"/>
      <c r="BD343" s="56"/>
      <c r="BE343" s="56"/>
      <c r="BF343" s="56"/>
      <c r="BG343" s="56"/>
      <c r="BO343" s="145"/>
      <c r="CI343" s="145"/>
      <c r="CY343" s="145"/>
    </row>
    <row r="344" spans="1:103" s="97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65"/>
      <c r="M344" s="10"/>
      <c r="N344" s="56"/>
      <c r="O344" s="56"/>
      <c r="P344" s="162"/>
      <c r="Q344" s="178"/>
      <c r="R344" s="168"/>
      <c r="S344" s="56"/>
      <c r="T344" s="56"/>
      <c r="U344" s="56"/>
      <c r="V344" s="162"/>
      <c r="W344" s="178"/>
      <c r="X344" s="172"/>
      <c r="Y344" s="10"/>
      <c r="Z344" s="56"/>
      <c r="AA344" s="56"/>
      <c r="AB344" s="56"/>
      <c r="AC344" s="56"/>
      <c r="AD344" s="56"/>
      <c r="AE344" s="174"/>
      <c r="AF344" s="56"/>
      <c r="AG344" s="56"/>
      <c r="AH344" s="172"/>
      <c r="AI344" s="56"/>
      <c r="AJ344" s="56"/>
      <c r="AK344" s="56"/>
      <c r="AL344" s="56"/>
      <c r="AM344" s="56"/>
      <c r="AN344" s="56"/>
      <c r="AO344" s="172"/>
      <c r="AP344" s="56"/>
      <c r="AQ344" s="56"/>
      <c r="AR344" s="56"/>
      <c r="AS344" s="56"/>
      <c r="AT344" s="56"/>
      <c r="AU344" s="56"/>
      <c r="AV344" s="56"/>
      <c r="AW344" s="172"/>
      <c r="AX344" s="56"/>
      <c r="AY344" s="56"/>
      <c r="AZ344" s="56"/>
      <c r="BA344" s="172"/>
      <c r="BB344" s="56"/>
      <c r="BC344" s="10"/>
      <c r="BD344" s="56"/>
      <c r="BE344" s="56"/>
      <c r="BF344" s="56"/>
      <c r="BG344" s="56"/>
      <c r="BO344" s="145"/>
      <c r="CI344" s="145"/>
      <c r="CY344" s="145"/>
    </row>
    <row r="345" spans="1:103" s="97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65"/>
      <c r="M345" s="10"/>
      <c r="N345" s="56"/>
      <c r="O345" s="56"/>
      <c r="P345" s="162"/>
      <c r="Q345" s="178"/>
      <c r="R345" s="168"/>
      <c r="S345" s="56"/>
      <c r="T345" s="56"/>
      <c r="U345" s="56"/>
      <c r="V345" s="162"/>
      <c r="W345" s="178"/>
      <c r="X345" s="172"/>
      <c r="Y345" s="10"/>
      <c r="Z345" s="56"/>
      <c r="AA345" s="56"/>
      <c r="AB345" s="56"/>
      <c r="AC345" s="56"/>
      <c r="AD345" s="56"/>
      <c r="AE345" s="174"/>
      <c r="AF345" s="56"/>
      <c r="AG345" s="56"/>
      <c r="AH345" s="172"/>
      <c r="AI345" s="56"/>
      <c r="AJ345" s="56"/>
      <c r="AK345" s="56"/>
      <c r="AL345" s="56"/>
      <c r="AM345" s="56"/>
      <c r="AN345" s="56"/>
      <c r="AO345" s="172"/>
      <c r="AP345" s="56"/>
      <c r="AQ345" s="56"/>
      <c r="AR345" s="56"/>
      <c r="AS345" s="56"/>
      <c r="AT345" s="56"/>
      <c r="AU345" s="56"/>
      <c r="AV345" s="56"/>
      <c r="AW345" s="172"/>
      <c r="AX345" s="56"/>
      <c r="AY345" s="56"/>
      <c r="AZ345" s="56"/>
      <c r="BA345" s="172"/>
      <c r="BB345" s="56"/>
      <c r="BC345" s="10"/>
      <c r="BD345" s="56"/>
      <c r="BE345" s="56"/>
      <c r="BF345" s="56"/>
      <c r="BG345" s="56"/>
      <c r="BO345" s="145"/>
      <c r="CI345" s="145"/>
      <c r="CY345" s="145"/>
    </row>
    <row r="346" spans="1:103" s="97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65"/>
      <c r="M346" s="10"/>
      <c r="N346" s="56"/>
      <c r="O346" s="56"/>
      <c r="P346" s="162"/>
      <c r="Q346" s="178"/>
      <c r="R346" s="168"/>
      <c r="S346" s="56"/>
      <c r="T346" s="56"/>
      <c r="U346" s="56"/>
      <c r="V346" s="162"/>
      <c r="W346" s="178"/>
      <c r="X346" s="172"/>
      <c r="Y346" s="10"/>
      <c r="Z346" s="56"/>
      <c r="AA346" s="56"/>
      <c r="AB346" s="56"/>
      <c r="AC346" s="56"/>
      <c r="AD346" s="56"/>
      <c r="AE346" s="174"/>
      <c r="AF346" s="56"/>
      <c r="AG346" s="56"/>
      <c r="AH346" s="172"/>
      <c r="AI346" s="56"/>
      <c r="AJ346" s="56"/>
      <c r="AK346" s="56"/>
      <c r="AL346" s="56"/>
      <c r="AM346" s="56"/>
      <c r="AN346" s="56"/>
      <c r="AO346" s="172"/>
      <c r="AP346" s="56"/>
      <c r="AQ346" s="56"/>
      <c r="AR346" s="56"/>
      <c r="AS346" s="56"/>
      <c r="AT346" s="56"/>
      <c r="AU346" s="56"/>
      <c r="AV346" s="56"/>
      <c r="AW346" s="172"/>
      <c r="AX346" s="56"/>
      <c r="AY346" s="56"/>
      <c r="AZ346" s="56"/>
      <c r="BA346" s="172"/>
      <c r="BB346" s="56"/>
      <c r="BC346" s="10"/>
      <c r="BD346" s="56"/>
      <c r="BE346" s="56"/>
      <c r="BF346" s="56"/>
      <c r="BG346" s="56"/>
      <c r="BO346" s="145"/>
      <c r="CI346" s="145"/>
      <c r="CY346" s="145"/>
    </row>
    <row r="347" spans="1:103" s="97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65"/>
      <c r="M347" s="10"/>
      <c r="N347" s="56"/>
      <c r="O347" s="56"/>
      <c r="P347" s="162"/>
      <c r="Q347" s="178"/>
      <c r="R347" s="168"/>
      <c r="S347" s="56"/>
      <c r="T347" s="56"/>
      <c r="U347" s="56"/>
      <c r="V347" s="162"/>
      <c r="W347" s="178"/>
      <c r="X347" s="172"/>
      <c r="Y347" s="10"/>
      <c r="Z347" s="56"/>
      <c r="AA347" s="56"/>
      <c r="AB347" s="56"/>
      <c r="AC347" s="56"/>
      <c r="AD347" s="56"/>
      <c r="AE347" s="174"/>
      <c r="AF347" s="56"/>
      <c r="AG347" s="56"/>
      <c r="AH347" s="172"/>
      <c r="AI347" s="56"/>
      <c r="AJ347" s="56"/>
      <c r="AK347" s="56"/>
      <c r="AL347" s="56"/>
      <c r="AM347" s="56"/>
      <c r="AN347" s="56"/>
      <c r="AO347" s="172"/>
      <c r="AP347" s="56"/>
      <c r="AQ347" s="56"/>
      <c r="AR347" s="56"/>
      <c r="AS347" s="56"/>
      <c r="AT347" s="56"/>
      <c r="AU347" s="56"/>
      <c r="AV347" s="56"/>
      <c r="AW347" s="172"/>
      <c r="AX347" s="56"/>
      <c r="AY347" s="56"/>
      <c r="AZ347" s="56"/>
      <c r="BA347" s="172"/>
      <c r="BB347" s="56"/>
      <c r="BC347" s="10"/>
      <c r="BD347" s="56"/>
      <c r="BE347" s="56"/>
      <c r="BF347" s="56"/>
      <c r="BG347" s="56"/>
      <c r="BO347" s="145"/>
      <c r="CI347" s="145"/>
      <c r="CY347" s="145"/>
    </row>
    <row r="348" spans="1:103" s="97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65"/>
      <c r="M348" s="10"/>
      <c r="N348" s="56"/>
      <c r="O348" s="56"/>
      <c r="P348" s="162"/>
      <c r="Q348" s="178"/>
      <c r="R348" s="168"/>
      <c r="S348" s="56"/>
      <c r="T348" s="56"/>
      <c r="U348" s="56"/>
      <c r="V348" s="162"/>
      <c r="W348" s="178"/>
      <c r="X348" s="172"/>
      <c r="Y348" s="10"/>
      <c r="Z348" s="56"/>
      <c r="AA348" s="56"/>
      <c r="AB348" s="56"/>
      <c r="AC348" s="56"/>
      <c r="AD348" s="56"/>
      <c r="AE348" s="174"/>
      <c r="AF348" s="56"/>
      <c r="AG348" s="56"/>
      <c r="AH348" s="172"/>
      <c r="AI348" s="56"/>
      <c r="AJ348" s="56"/>
      <c r="AK348" s="56"/>
      <c r="AL348" s="56"/>
      <c r="AM348" s="56"/>
      <c r="AN348" s="56"/>
      <c r="AO348" s="172"/>
      <c r="AP348" s="56"/>
      <c r="AQ348" s="56"/>
      <c r="AR348" s="56"/>
      <c r="AS348" s="56"/>
      <c r="AT348" s="56"/>
      <c r="AU348" s="56"/>
      <c r="AV348" s="56"/>
      <c r="AW348" s="172"/>
      <c r="AX348" s="56"/>
      <c r="AY348" s="56"/>
      <c r="AZ348" s="56"/>
      <c r="BA348" s="172"/>
      <c r="BB348" s="56"/>
      <c r="BC348" s="10"/>
      <c r="BD348" s="56"/>
      <c r="BE348" s="56"/>
      <c r="BF348" s="56"/>
      <c r="BG348" s="56"/>
      <c r="BO348" s="145"/>
      <c r="CI348" s="145"/>
      <c r="CY348" s="145"/>
    </row>
    <row r="349" spans="1:103" s="97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65"/>
      <c r="M349" s="10"/>
      <c r="N349" s="56"/>
      <c r="O349" s="56"/>
      <c r="P349" s="162"/>
      <c r="Q349" s="178"/>
      <c r="R349" s="168"/>
      <c r="S349" s="56"/>
      <c r="T349" s="56"/>
      <c r="U349" s="56"/>
      <c r="V349" s="162"/>
      <c r="W349" s="178"/>
      <c r="X349" s="172"/>
      <c r="Y349" s="10"/>
      <c r="Z349" s="56"/>
      <c r="AA349" s="56"/>
      <c r="AB349" s="56"/>
      <c r="AC349" s="56"/>
      <c r="AD349" s="56"/>
      <c r="AE349" s="174"/>
      <c r="AF349" s="56"/>
      <c r="AG349" s="56"/>
      <c r="AH349" s="172"/>
      <c r="AI349" s="56"/>
      <c r="AJ349" s="56"/>
      <c r="AK349" s="56"/>
      <c r="AL349" s="56"/>
      <c r="AM349" s="56"/>
      <c r="AN349" s="56"/>
      <c r="AO349" s="172"/>
      <c r="AP349" s="56"/>
      <c r="AQ349" s="56"/>
      <c r="AR349" s="56"/>
      <c r="AS349" s="56"/>
      <c r="AT349" s="56"/>
      <c r="AU349" s="56"/>
      <c r="AV349" s="56"/>
      <c r="AW349" s="172"/>
      <c r="AX349" s="56"/>
      <c r="AY349" s="56"/>
      <c r="AZ349" s="56"/>
      <c r="BA349" s="172"/>
      <c r="BB349" s="56"/>
      <c r="BC349" s="10"/>
      <c r="BD349" s="56"/>
      <c r="BE349" s="56"/>
      <c r="BF349" s="56"/>
      <c r="BG349" s="56"/>
      <c r="BO349" s="145"/>
      <c r="CI349" s="145"/>
      <c r="CY349" s="145"/>
    </row>
    <row r="350" spans="1:103" s="97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65"/>
      <c r="M350" s="10"/>
      <c r="N350" s="56"/>
      <c r="O350" s="56"/>
      <c r="P350" s="162"/>
      <c r="Q350" s="178"/>
      <c r="R350" s="168"/>
      <c r="S350" s="56"/>
      <c r="T350" s="56"/>
      <c r="U350" s="56"/>
      <c r="V350" s="162"/>
      <c r="W350" s="178"/>
      <c r="X350" s="172"/>
      <c r="Y350" s="10"/>
      <c r="Z350" s="56"/>
      <c r="AA350" s="56"/>
      <c r="AB350" s="56"/>
      <c r="AC350" s="56"/>
      <c r="AD350" s="56"/>
      <c r="AE350" s="174"/>
      <c r="AF350" s="56"/>
      <c r="AG350" s="56"/>
      <c r="AH350" s="172"/>
      <c r="AI350" s="56"/>
      <c r="AJ350" s="56"/>
      <c r="AK350" s="56"/>
      <c r="AL350" s="56"/>
      <c r="AM350" s="56"/>
      <c r="AN350" s="56"/>
      <c r="AO350" s="172"/>
      <c r="AP350" s="56"/>
      <c r="AQ350" s="56"/>
      <c r="AR350" s="56"/>
      <c r="AS350" s="56"/>
      <c r="AT350" s="56"/>
      <c r="AU350" s="56"/>
      <c r="AV350" s="56"/>
      <c r="AW350" s="172"/>
      <c r="AX350" s="56"/>
      <c r="AY350" s="56"/>
      <c r="AZ350" s="56"/>
      <c r="BA350" s="172"/>
      <c r="BB350" s="56"/>
      <c r="BC350" s="10"/>
      <c r="BD350" s="56"/>
      <c r="BE350" s="56"/>
      <c r="BF350" s="56"/>
      <c r="BG350" s="56"/>
      <c r="BO350" s="145"/>
      <c r="CI350" s="145"/>
      <c r="CY350" s="145"/>
    </row>
    <row r="351" spans="1:103" s="97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65"/>
      <c r="M351" s="10"/>
      <c r="N351" s="56"/>
      <c r="O351" s="56"/>
      <c r="P351" s="162"/>
      <c r="Q351" s="178"/>
      <c r="R351" s="168"/>
      <c r="S351" s="56"/>
      <c r="T351" s="56"/>
      <c r="U351" s="56"/>
      <c r="V351" s="162"/>
      <c r="W351" s="178"/>
      <c r="X351" s="172"/>
      <c r="Y351" s="10"/>
      <c r="Z351" s="56"/>
      <c r="AA351" s="56"/>
      <c r="AB351" s="56"/>
      <c r="AC351" s="56"/>
      <c r="AD351" s="56"/>
      <c r="AE351" s="174"/>
      <c r="AF351" s="56"/>
      <c r="AG351" s="56"/>
      <c r="AH351" s="172"/>
      <c r="AI351" s="56"/>
      <c r="AJ351" s="56"/>
      <c r="AK351" s="56"/>
      <c r="AL351" s="56"/>
      <c r="AM351" s="56"/>
      <c r="AN351" s="56"/>
      <c r="AO351" s="172"/>
      <c r="AP351" s="56"/>
      <c r="AQ351" s="56"/>
      <c r="AR351" s="56"/>
      <c r="AS351" s="56"/>
      <c r="AT351" s="56"/>
      <c r="AU351" s="56"/>
      <c r="AV351" s="56"/>
      <c r="AW351" s="172"/>
      <c r="AX351" s="56"/>
      <c r="AY351" s="56"/>
      <c r="AZ351" s="56"/>
      <c r="BA351" s="172"/>
      <c r="BB351" s="56"/>
      <c r="BC351" s="10"/>
      <c r="BD351" s="56"/>
      <c r="BE351" s="56"/>
      <c r="BF351" s="56"/>
      <c r="BG351" s="56"/>
      <c r="BO351" s="145"/>
      <c r="CI351" s="145"/>
      <c r="CY351" s="145"/>
    </row>
    <row r="352" spans="1:103" s="97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65"/>
      <c r="M352" s="10"/>
      <c r="N352" s="56"/>
      <c r="O352" s="56"/>
      <c r="P352" s="162"/>
      <c r="Q352" s="178"/>
      <c r="R352" s="168"/>
      <c r="S352" s="56"/>
      <c r="T352" s="56"/>
      <c r="U352" s="56"/>
      <c r="V352" s="162"/>
      <c r="W352" s="178"/>
      <c r="X352" s="172"/>
      <c r="Y352" s="10"/>
      <c r="Z352" s="56"/>
      <c r="AA352" s="56"/>
      <c r="AB352" s="56"/>
      <c r="AC352" s="56"/>
      <c r="AD352" s="56"/>
      <c r="AE352" s="174"/>
      <c r="AF352" s="56"/>
      <c r="AG352" s="56"/>
      <c r="AH352" s="172"/>
      <c r="AI352" s="56"/>
      <c r="AJ352" s="56"/>
      <c r="AK352" s="56"/>
      <c r="AL352" s="56"/>
      <c r="AM352" s="56"/>
      <c r="AN352" s="56"/>
      <c r="AO352" s="172"/>
      <c r="AP352" s="56"/>
      <c r="AQ352" s="56"/>
      <c r="AR352" s="56"/>
      <c r="AS352" s="56"/>
      <c r="AT352" s="56"/>
      <c r="AU352" s="56"/>
      <c r="AV352" s="56"/>
      <c r="AW352" s="172"/>
      <c r="AX352" s="56"/>
      <c r="AY352" s="56"/>
      <c r="AZ352" s="56"/>
      <c r="BA352" s="172"/>
      <c r="BB352" s="56"/>
      <c r="BC352" s="10"/>
      <c r="BD352" s="56"/>
      <c r="BE352" s="56"/>
      <c r="BF352" s="56"/>
      <c r="BG352" s="56"/>
      <c r="BO352" s="145"/>
      <c r="CI352" s="145"/>
      <c r="CY352" s="145"/>
    </row>
    <row r="353" spans="1:103" s="97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65"/>
      <c r="M353" s="10"/>
      <c r="N353" s="56"/>
      <c r="O353" s="56"/>
      <c r="P353" s="162"/>
      <c r="Q353" s="178"/>
      <c r="R353" s="168"/>
      <c r="S353" s="56"/>
      <c r="T353" s="56"/>
      <c r="U353" s="56"/>
      <c r="V353" s="162"/>
      <c r="W353" s="178"/>
      <c r="X353" s="172"/>
      <c r="Y353" s="10"/>
      <c r="Z353" s="56"/>
      <c r="AA353" s="56"/>
      <c r="AB353" s="56"/>
      <c r="AC353" s="56"/>
      <c r="AD353" s="56"/>
      <c r="AE353" s="174"/>
      <c r="AF353" s="56"/>
      <c r="AG353" s="56"/>
      <c r="AH353" s="172"/>
      <c r="AI353" s="56"/>
      <c r="AJ353" s="56"/>
      <c r="AK353" s="56"/>
      <c r="AL353" s="56"/>
      <c r="AM353" s="56"/>
      <c r="AN353" s="56"/>
      <c r="AO353" s="172"/>
      <c r="AP353" s="56"/>
      <c r="AQ353" s="56"/>
      <c r="AR353" s="56"/>
      <c r="AS353" s="56"/>
      <c r="AT353" s="56"/>
      <c r="AU353" s="56"/>
      <c r="AV353" s="56"/>
      <c r="AW353" s="172"/>
      <c r="AX353" s="56"/>
      <c r="AY353" s="56"/>
      <c r="AZ353" s="56"/>
      <c r="BA353" s="172"/>
      <c r="BB353" s="56"/>
      <c r="BC353" s="10"/>
      <c r="BD353" s="56"/>
      <c r="BE353" s="56"/>
      <c r="BF353" s="56"/>
      <c r="BG353" s="56"/>
      <c r="BO353" s="145"/>
      <c r="CI353" s="145"/>
      <c r="CY353" s="145"/>
    </row>
    <row r="354" spans="1:103" s="97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65"/>
      <c r="M354" s="10"/>
      <c r="N354" s="56"/>
      <c r="O354" s="56"/>
      <c r="P354" s="162"/>
      <c r="Q354" s="178"/>
      <c r="R354" s="168"/>
      <c r="S354" s="56"/>
      <c r="T354" s="56"/>
      <c r="U354" s="56"/>
      <c r="V354" s="162"/>
      <c r="W354" s="178"/>
      <c r="X354" s="172"/>
      <c r="Y354" s="10"/>
      <c r="Z354" s="56"/>
      <c r="AA354" s="56"/>
      <c r="AB354" s="56"/>
      <c r="AC354" s="56"/>
      <c r="AD354" s="56"/>
      <c r="AE354" s="174"/>
      <c r="AF354" s="56"/>
      <c r="AG354" s="56"/>
      <c r="AH354" s="172"/>
      <c r="AI354" s="56"/>
      <c r="AJ354" s="56"/>
      <c r="AK354" s="56"/>
      <c r="AL354" s="56"/>
      <c r="AM354" s="56"/>
      <c r="AN354" s="56"/>
      <c r="AO354" s="172"/>
      <c r="AP354" s="56"/>
      <c r="AQ354" s="56"/>
      <c r="AR354" s="56"/>
      <c r="AS354" s="56"/>
      <c r="AT354" s="56"/>
      <c r="AU354" s="56"/>
      <c r="AV354" s="56"/>
      <c r="AW354" s="172"/>
      <c r="AX354" s="56"/>
      <c r="AY354" s="56"/>
      <c r="AZ354" s="56"/>
      <c r="BA354" s="172"/>
      <c r="BB354" s="56"/>
      <c r="BC354" s="10"/>
      <c r="BD354" s="56"/>
      <c r="BE354" s="56"/>
      <c r="BF354" s="56"/>
      <c r="BG354" s="56"/>
      <c r="BO354" s="145"/>
      <c r="CI354" s="145"/>
      <c r="CY354" s="145"/>
    </row>
    <row r="355" spans="1:103" s="97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65"/>
      <c r="M355" s="10"/>
      <c r="N355" s="56"/>
      <c r="O355" s="56"/>
      <c r="P355" s="162"/>
      <c r="Q355" s="178"/>
      <c r="R355" s="168"/>
      <c r="S355" s="56"/>
      <c r="T355" s="56"/>
      <c r="U355" s="56"/>
      <c r="V355" s="162"/>
      <c r="W355" s="178"/>
      <c r="X355" s="172"/>
      <c r="Y355" s="10"/>
      <c r="Z355" s="56"/>
      <c r="AA355" s="56"/>
      <c r="AB355" s="56"/>
      <c r="AC355" s="56"/>
      <c r="AD355" s="56"/>
      <c r="AE355" s="174"/>
      <c r="AF355" s="56"/>
      <c r="AG355" s="56"/>
      <c r="AH355" s="172"/>
      <c r="AI355" s="56"/>
      <c r="AJ355" s="56"/>
      <c r="AK355" s="56"/>
      <c r="AL355" s="56"/>
      <c r="AM355" s="56"/>
      <c r="AN355" s="56"/>
      <c r="AO355" s="172"/>
      <c r="AP355" s="56"/>
      <c r="AQ355" s="56"/>
      <c r="AR355" s="56"/>
      <c r="AS355" s="56"/>
      <c r="AT355" s="56"/>
      <c r="AU355" s="56"/>
      <c r="AV355" s="56"/>
      <c r="AW355" s="172"/>
      <c r="AX355" s="56"/>
      <c r="AY355" s="56"/>
      <c r="AZ355" s="56"/>
      <c r="BA355" s="172"/>
      <c r="BB355" s="56"/>
      <c r="BC355" s="10"/>
      <c r="BD355" s="56"/>
      <c r="BE355" s="56"/>
      <c r="BF355" s="56"/>
      <c r="BG355" s="56"/>
      <c r="BO355" s="145"/>
      <c r="CI355" s="145"/>
      <c r="CY355" s="145"/>
    </row>
    <row r="356" spans="1:103" s="97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65"/>
      <c r="M356" s="10"/>
      <c r="N356" s="56"/>
      <c r="O356" s="56"/>
      <c r="P356" s="162"/>
      <c r="Q356" s="178"/>
      <c r="R356" s="168"/>
      <c r="S356" s="56"/>
      <c r="T356" s="56"/>
      <c r="U356" s="56"/>
      <c r="V356" s="162"/>
      <c r="W356" s="178"/>
      <c r="X356" s="172"/>
      <c r="Y356" s="10"/>
      <c r="Z356" s="56"/>
      <c r="AA356" s="56"/>
      <c r="AB356" s="56"/>
      <c r="AC356" s="56"/>
      <c r="AD356" s="56"/>
      <c r="AE356" s="174"/>
      <c r="AF356" s="56"/>
      <c r="AG356" s="56"/>
      <c r="AH356" s="172"/>
      <c r="AI356" s="56"/>
      <c r="AJ356" s="56"/>
      <c r="AK356" s="56"/>
      <c r="AL356" s="56"/>
      <c r="AM356" s="56"/>
      <c r="AN356" s="56"/>
      <c r="AO356" s="172"/>
      <c r="AP356" s="56"/>
      <c r="AQ356" s="56"/>
      <c r="AR356" s="56"/>
      <c r="AS356" s="56"/>
      <c r="AT356" s="56"/>
      <c r="AU356" s="56"/>
      <c r="AV356" s="56"/>
      <c r="AW356" s="172"/>
      <c r="AX356" s="56"/>
      <c r="AY356" s="56"/>
      <c r="AZ356" s="56"/>
      <c r="BA356" s="172"/>
      <c r="BB356" s="56"/>
      <c r="BC356" s="10"/>
      <c r="BD356" s="56"/>
      <c r="BE356" s="56"/>
      <c r="BF356" s="56"/>
      <c r="BG356" s="56"/>
      <c r="BO356" s="145"/>
      <c r="CI356" s="145"/>
      <c r="CY356" s="145"/>
    </row>
    <row r="357" spans="1:103" s="97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65"/>
      <c r="M357" s="10"/>
      <c r="N357" s="56"/>
      <c r="O357" s="56"/>
      <c r="P357" s="162"/>
      <c r="Q357" s="178"/>
      <c r="R357" s="168"/>
      <c r="S357" s="56"/>
      <c r="T357" s="56"/>
      <c r="U357" s="56"/>
      <c r="V357" s="162"/>
      <c r="W357" s="178"/>
      <c r="X357" s="172"/>
      <c r="Y357" s="10"/>
      <c r="Z357" s="56"/>
      <c r="AA357" s="56"/>
      <c r="AB357" s="56"/>
      <c r="AC357" s="56"/>
      <c r="AD357" s="56"/>
      <c r="AE357" s="174"/>
      <c r="AF357" s="56"/>
      <c r="AG357" s="56"/>
      <c r="AH357" s="172"/>
      <c r="AI357" s="56"/>
      <c r="AJ357" s="56"/>
      <c r="AK357" s="56"/>
      <c r="AL357" s="56"/>
      <c r="AM357" s="56"/>
      <c r="AN357" s="56"/>
      <c r="AO357" s="172"/>
      <c r="AP357" s="56"/>
      <c r="AQ357" s="56"/>
      <c r="AR357" s="56"/>
      <c r="AS357" s="56"/>
      <c r="AT357" s="56"/>
      <c r="AU357" s="56"/>
      <c r="AV357" s="56"/>
      <c r="AW357" s="172"/>
      <c r="AX357" s="56"/>
      <c r="AY357" s="56"/>
      <c r="AZ357" s="56"/>
      <c r="BA357" s="172"/>
      <c r="BB357" s="56"/>
      <c r="BC357" s="10"/>
      <c r="BD357" s="56"/>
      <c r="BE357" s="56"/>
      <c r="BF357" s="56"/>
      <c r="BG357" s="56"/>
      <c r="BO357" s="145"/>
      <c r="CI357" s="145"/>
      <c r="CY357" s="145"/>
    </row>
    <row r="358" spans="1:103" s="97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65"/>
      <c r="M358" s="10"/>
      <c r="N358" s="56"/>
      <c r="O358" s="56"/>
      <c r="P358" s="162"/>
      <c r="Q358" s="178"/>
      <c r="R358" s="168"/>
      <c r="S358" s="56"/>
      <c r="T358" s="56"/>
      <c r="U358" s="56"/>
      <c r="V358" s="162"/>
      <c r="W358" s="178"/>
      <c r="X358" s="172"/>
      <c r="Y358" s="10"/>
      <c r="Z358" s="56"/>
      <c r="AA358" s="56"/>
      <c r="AB358" s="56"/>
      <c r="AC358" s="56"/>
      <c r="AD358" s="56"/>
      <c r="AE358" s="174"/>
      <c r="AF358" s="56"/>
      <c r="AG358" s="56"/>
      <c r="AH358" s="172"/>
      <c r="AI358" s="56"/>
      <c r="AJ358" s="56"/>
      <c r="AK358" s="56"/>
      <c r="AL358" s="56"/>
      <c r="AM358" s="56"/>
      <c r="AN358" s="56"/>
      <c r="AO358" s="172"/>
      <c r="AP358" s="56"/>
      <c r="AQ358" s="56"/>
      <c r="AR358" s="56"/>
      <c r="AS358" s="56"/>
      <c r="AT358" s="56"/>
      <c r="AU358" s="56"/>
      <c r="AV358" s="56"/>
      <c r="AW358" s="172"/>
      <c r="AX358" s="56"/>
      <c r="AY358" s="56"/>
      <c r="AZ358" s="56"/>
      <c r="BA358" s="172"/>
      <c r="BB358" s="56"/>
      <c r="BC358" s="10"/>
      <c r="BD358" s="56"/>
      <c r="BE358" s="56"/>
      <c r="BF358" s="56"/>
      <c r="BG358" s="56"/>
      <c r="BO358" s="145"/>
      <c r="CI358" s="145"/>
      <c r="CY358" s="145"/>
    </row>
    <row r="359" spans="1:103" s="97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65"/>
      <c r="M359" s="10"/>
      <c r="N359" s="56"/>
      <c r="O359" s="56"/>
      <c r="P359" s="162"/>
      <c r="Q359" s="178"/>
      <c r="R359" s="168"/>
      <c r="S359" s="56"/>
      <c r="T359" s="56"/>
      <c r="U359" s="56"/>
      <c r="V359" s="162"/>
      <c r="W359" s="178"/>
      <c r="X359" s="172"/>
      <c r="Y359" s="10"/>
      <c r="Z359" s="56"/>
      <c r="AA359" s="56"/>
      <c r="AB359" s="56"/>
      <c r="AC359" s="56"/>
      <c r="AD359" s="56"/>
      <c r="AE359" s="174"/>
      <c r="AF359" s="56"/>
      <c r="AG359" s="56"/>
      <c r="AH359" s="172"/>
      <c r="AI359" s="56"/>
      <c r="AJ359" s="56"/>
      <c r="AK359" s="56"/>
      <c r="AL359" s="56"/>
      <c r="AM359" s="56"/>
      <c r="AN359" s="56"/>
      <c r="AO359" s="172"/>
      <c r="AP359" s="56"/>
      <c r="AQ359" s="56"/>
      <c r="AR359" s="56"/>
      <c r="AS359" s="56"/>
      <c r="AT359" s="56"/>
      <c r="AU359" s="56"/>
      <c r="AV359" s="56"/>
      <c r="AW359" s="172"/>
      <c r="AX359" s="56"/>
      <c r="AY359" s="56"/>
      <c r="AZ359" s="56"/>
      <c r="BA359" s="172"/>
      <c r="BB359" s="56"/>
      <c r="BC359" s="10"/>
      <c r="BD359" s="56"/>
      <c r="BE359" s="56"/>
      <c r="BF359" s="56"/>
      <c r="BG359" s="56"/>
      <c r="BO359" s="145"/>
      <c r="CI359" s="145"/>
      <c r="CY359" s="145"/>
    </row>
    <row r="360" spans="1:103" s="97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65"/>
      <c r="M360" s="10"/>
      <c r="N360" s="56"/>
      <c r="O360" s="56"/>
      <c r="P360" s="162"/>
      <c r="Q360" s="178"/>
      <c r="R360" s="168"/>
      <c r="S360" s="56"/>
      <c r="T360" s="56"/>
      <c r="U360" s="56"/>
      <c r="V360" s="162"/>
      <c r="W360" s="178"/>
      <c r="X360" s="172"/>
      <c r="Y360" s="10"/>
      <c r="Z360" s="56"/>
      <c r="AA360" s="56"/>
      <c r="AB360" s="56"/>
      <c r="AC360" s="56"/>
      <c r="AD360" s="56"/>
      <c r="AE360" s="174"/>
      <c r="AF360" s="56"/>
      <c r="AG360" s="56"/>
      <c r="AH360" s="172"/>
      <c r="AI360" s="56"/>
      <c r="AJ360" s="56"/>
      <c r="AK360" s="56"/>
      <c r="AL360" s="56"/>
      <c r="AM360" s="56"/>
      <c r="AN360" s="56"/>
      <c r="AO360" s="172"/>
      <c r="AP360" s="56"/>
      <c r="AQ360" s="56"/>
      <c r="AR360" s="56"/>
      <c r="AS360" s="56"/>
      <c r="AT360" s="56"/>
      <c r="AU360" s="56"/>
      <c r="AV360" s="56"/>
      <c r="AW360" s="172"/>
      <c r="AX360" s="56"/>
      <c r="AY360" s="56"/>
      <c r="AZ360" s="56"/>
      <c r="BA360" s="172"/>
      <c r="BB360" s="56"/>
      <c r="BC360" s="10"/>
      <c r="BD360" s="56"/>
      <c r="BE360" s="56"/>
      <c r="BF360" s="56"/>
      <c r="BG360" s="56"/>
      <c r="BO360" s="145"/>
      <c r="CI360" s="145"/>
      <c r="CY360" s="145"/>
    </row>
    <row r="361" spans="1:103" s="97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65"/>
      <c r="M361" s="10"/>
      <c r="N361" s="56"/>
      <c r="O361" s="56"/>
      <c r="P361" s="162"/>
      <c r="Q361" s="178"/>
      <c r="R361" s="168"/>
      <c r="S361" s="56"/>
      <c r="T361" s="56"/>
      <c r="U361" s="56"/>
      <c r="V361" s="162"/>
      <c r="W361" s="178"/>
      <c r="X361" s="172"/>
      <c r="Y361" s="10"/>
      <c r="Z361" s="56"/>
      <c r="AA361" s="56"/>
      <c r="AB361" s="56"/>
      <c r="AC361" s="56"/>
      <c r="AD361" s="56"/>
      <c r="AE361" s="174"/>
      <c r="AF361" s="56"/>
      <c r="AG361" s="56"/>
      <c r="AH361" s="172"/>
      <c r="AI361" s="56"/>
      <c r="AJ361" s="56"/>
      <c r="AK361" s="56"/>
      <c r="AL361" s="56"/>
      <c r="AM361" s="56"/>
      <c r="AN361" s="56"/>
      <c r="AO361" s="172"/>
      <c r="AP361" s="56"/>
      <c r="AQ361" s="56"/>
      <c r="AR361" s="56"/>
      <c r="AS361" s="56"/>
      <c r="AT361" s="56"/>
      <c r="AU361" s="56"/>
      <c r="AV361" s="56"/>
      <c r="AW361" s="172"/>
      <c r="AX361" s="56"/>
      <c r="AY361" s="56"/>
      <c r="AZ361" s="56"/>
      <c r="BA361" s="172"/>
      <c r="BB361" s="56"/>
      <c r="BC361" s="10"/>
      <c r="BD361" s="56"/>
      <c r="BE361" s="56"/>
      <c r="BF361" s="56"/>
      <c r="BG361" s="56"/>
      <c r="BO361" s="145"/>
      <c r="CI361" s="145"/>
      <c r="CY361" s="145"/>
    </row>
    <row r="362" spans="1:103" s="97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65"/>
      <c r="M362" s="10"/>
      <c r="N362" s="56"/>
      <c r="O362" s="56"/>
      <c r="P362" s="162"/>
      <c r="Q362" s="178"/>
      <c r="R362" s="168"/>
      <c r="S362" s="56"/>
      <c r="T362" s="56"/>
      <c r="U362" s="56"/>
      <c r="V362" s="162"/>
      <c r="W362" s="178"/>
      <c r="X362" s="172"/>
      <c r="Y362" s="10"/>
      <c r="Z362" s="56"/>
      <c r="AA362" s="56"/>
      <c r="AB362" s="56"/>
      <c r="AC362" s="56"/>
      <c r="AD362" s="56"/>
      <c r="AE362" s="174"/>
      <c r="AF362" s="56"/>
      <c r="AG362" s="56"/>
      <c r="AH362" s="172"/>
      <c r="AI362" s="56"/>
      <c r="AJ362" s="56"/>
      <c r="AK362" s="56"/>
      <c r="AL362" s="56"/>
      <c r="AM362" s="56"/>
      <c r="AN362" s="56"/>
      <c r="AO362" s="172"/>
      <c r="AP362" s="56"/>
      <c r="AQ362" s="56"/>
      <c r="AR362" s="56"/>
      <c r="AS362" s="56"/>
      <c r="AT362" s="56"/>
      <c r="AU362" s="56"/>
      <c r="AV362" s="56"/>
      <c r="AW362" s="172"/>
      <c r="AX362" s="56"/>
      <c r="AY362" s="56"/>
      <c r="AZ362" s="56"/>
      <c r="BA362" s="172"/>
      <c r="BB362" s="56"/>
      <c r="BC362" s="10"/>
      <c r="BD362" s="56"/>
      <c r="BE362" s="56"/>
      <c r="BF362" s="56"/>
      <c r="BG362" s="56"/>
      <c r="BO362" s="145"/>
      <c r="CI362" s="145"/>
      <c r="CY362" s="145"/>
    </row>
    <row r="363" spans="1:103" s="97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65"/>
      <c r="M363" s="10"/>
      <c r="N363" s="56"/>
      <c r="O363" s="56"/>
      <c r="P363" s="162"/>
      <c r="Q363" s="178"/>
      <c r="R363" s="168"/>
      <c r="S363" s="56"/>
      <c r="T363" s="56"/>
      <c r="U363" s="56"/>
      <c r="V363" s="162"/>
      <c r="W363" s="178"/>
      <c r="X363" s="172"/>
      <c r="Y363" s="10"/>
      <c r="Z363" s="56"/>
      <c r="AA363" s="56"/>
      <c r="AB363" s="56"/>
      <c r="AC363" s="56"/>
      <c r="AD363" s="56"/>
      <c r="AE363" s="174"/>
      <c r="AF363" s="56"/>
      <c r="AG363" s="56"/>
      <c r="AH363" s="172"/>
      <c r="AI363" s="56"/>
      <c r="AJ363" s="56"/>
      <c r="AK363" s="56"/>
      <c r="AL363" s="56"/>
      <c r="AM363" s="56"/>
      <c r="AN363" s="56"/>
      <c r="AO363" s="172"/>
      <c r="AP363" s="56"/>
      <c r="AQ363" s="56"/>
      <c r="AR363" s="56"/>
      <c r="AS363" s="56"/>
      <c r="AT363" s="56"/>
      <c r="AU363" s="56"/>
      <c r="AV363" s="56"/>
      <c r="AW363" s="172"/>
      <c r="AX363" s="56"/>
      <c r="AY363" s="56"/>
      <c r="AZ363" s="56"/>
      <c r="BA363" s="172"/>
      <c r="BB363" s="56"/>
      <c r="BC363" s="10"/>
      <c r="BD363" s="56"/>
      <c r="BE363" s="56"/>
      <c r="BF363" s="56"/>
      <c r="BG363" s="56"/>
      <c r="BO363" s="145"/>
      <c r="CI363" s="145"/>
      <c r="CY363" s="145"/>
    </row>
    <row r="364" spans="1:103" s="97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65"/>
      <c r="M364" s="10"/>
      <c r="N364" s="56"/>
      <c r="O364" s="56"/>
      <c r="P364" s="162"/>
      <c r="Q364" s="178"/>
      <c r="R364" s="168"/>
      <c r="S364" s="56"/>
      <c r="T364" s="56"/>
      <c r="U364" s="56"/>
      <c r="V364" s="162"/>
      <c r="W364" s="178"/>
      <c r="X364" s="172"/>
      <c r="Y364" s="10"/>
      <c r="Z364" s="56"/>
      <c r="AA364" s="56"/>
      <c r="AB364" s="56"/>
      <c r="AC364" s="56"/>
      <c r="AD364" s="56"/>
      <c r="AE364" s="174"/>
      <c r="AF364" s="56"/>
      <c r="AG364" s="56"/>
      <c r="AH364" s="172"/>
      <c r="AI364" s="56"/>
      <c r="AJ364" s="56"/>
      <c r="AK364" s="56"/>
      <c r="AL364" s="56"/>
      <c r="AM364" s="56"/>
      <c r="AN364" s="56"/>
      <c r="AO364" s="172"/>
      <c r="AP364" s="56"/>
      <c r="AQ364" s="56"/>
      <c r="AR364" s="56"/>
      <c r="AS364" s="56"/>
      <c r="AT364" s="56"/>
      <c r="AU364" s="56"/>
      <c r="AV364" s="56"/>
      <c r="AW364" s="172"/>
      <c r="AX364" s="56"/>
      <c r="AY364" s="56"/>
      <c r="AZ364" s="56"/>
      <c r="BA364" s="172"/>
      <c r="BB364" s="56"/>
      <c r="BC364" s="10"/>
      <c r="BD364" s="56"/>
      <c r="BE364" s="56"/>
      <c r="BF364" s="56"/>
      <c r="BG364" s="56"/>
      <c r="BO364" s="145"/>
      <c r="CI364" s="145"/>
      <c r="CY364" s="145"/>
    </row>
    <row r="365" spans="1:103" s="97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65"/>
      <c r="M365" s="10"/>
      <c r="N365" s="56"/>
      <c r="O365" s="56"/>
      <c r="P365" s="162"/>
      <c r="Q365" s="178"/>
      <c r="R365" s="168"/>
      <c r="S365" s="56"/>
      <c r="T365" s="56"/>
      <c r="U365" s="56"/>
      <c r="V365" s="162"/>
      <c r="W365" s="178"/>
      <c r="X365" s="172"/>
      <c r="Y365" s="10"/>
      <c r="Z365" s="56"/>
      <c r="AA365" s="56"/>
      <c r="AB365" s="56"/>
      <c r="AC365" s="56"/>
      <c r="AD365" s="56"/>
      <c r="AE365" s="174"/>
      <c r="AF365" s="56"/>
      <c r="AG365" s="56"/>
      <c r="AH365" s="172"/>
      <c r="AI365" s="56"/>
      <c r="AJ365" s="56"/>
      <c r="AK365" s="56"/>
      <c r="AL365" s="56"/>
      <c r="AM365" s="56"/>
      <c r="AN365" s="56"/>
      <c r="AO365" s="172"/>
      <c r="AP365" s="56"/>
      <c r="AQ365" s="56"/>
      <c r="AR365" s="56"/>
      <c r="AS365" s="56"/>
      <c r="AT365" s="56"/>
      <c r="AU365" s="56"/>
      <c r="AV365" s="56"/>
      <c r="AW365" s="172"/>
      <c r="AX365" s="56"/>
      <c r="AY365" s="56"/>
      <c r="AZ365" s="56"/>
      <c r="BA365" s="172"/>
      <c r="BB365" s="56"/>
      <c r="BC365" s="10"/>
      <c r="BD365" s="56"/>
      <c r="BE365" s="56"/>
      <c r="BF365" s="56"/>
      <c r="BG365" s="56"/>
      <c r="BO365" s="145"/>
      <c r="CI365" s="145"/>
      <c r="CY365" s="145"/>
    </row>
    <row r="366" spans="1:103" s="97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65"/>
      <c r="M366" s="10"/>
      <c r="N366" s="56"/>
      <c r="O366" s="56"/>
      <c r="P366" s="162"/>
      <c r="Q366" s="178"/>
      <c r="R366" s="168"/>
      <c r="S366" s="56"/>
      <c r="T366" s="56"/>
      <c r="U366" s="56"/>
      <c r="V366" s="162"/>
      <c r="W366" s="178"/>
      <c r="X366" s="172"/>
      <c r="Y366" s="10"/>
      <c r="Z366" s="56"/>
      <c r="AA366" s="56"/>
      <c r="AB366" s="56"/>
      <c r="AC366" s="56"/>
      <c r="AD366" s="56"/>
      <c r="AE366" s="174"/>
      <c r="AF366" s="56"/>
      <c r="AG366" s="56"/>
      <c r="AH366" s="172"/>
      <c r="AI366" s="56"/>
      <c r="AJ366" s="56"/>
      <c r="AK366" s="56"/>
      <c r="AL366" s="56"/>
      <c r="AM366" s="56"/>
      <c r="AN366" s="56"/>
      <c r="AO366" s="172"/>
      <c r="AP366" s="56"/>
      <c r="AQ366" s="56"/>
      <c r="AR366" s="56"/>
      <c r="AS366" s="56"/>
      <c r="AT366" s="56"/>
      <c r="AU366" s="56"/>
      <c r="AV366" s="56"/>
      <c r="AW366" s="172"/>
      <c r="AX366" s="56"/>
      <c r="AY366" s="56"/>
      <c r="AZ366" s="56"/>
      <c r="BA366" s="172"/>
      <c r="BB366" s="56"/>
      <c r="BC366" s="10"/>
      <c r="BD366" s="56"/>
      <c r="BE366" s="56"/>
      <c r="BF366" s="56"/>
      <c r="BG366" s="56"/>
      <c r="BO366" s="145"/>
      <c r="CI366" s="145"/>
      <c r="CY366" s="145"/>
    </row>
    <row r="367" spans="1:103" s="97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65"/>
      <c r="M367" s="10"/>
      <c r="N367" s="56"/>
      <c r="O367" s="56"/>
      <c r="P367" s="162"/>
      <c r="Q367" s="178"/>
      <c r="R367" s="168"/>
      <c r="S367" s="56"/>
      <c r="T367" s="56"/>
      <c r="U367" s="56"/>
      <c r="V367" s="162"/>
      <c r="W367" s="178"/>
      <c r="X367" s="172"/>
      <c r="Y367" s="10"/>
      <c r="Z367" s="56"/>
      <c r="AA367" s="56"/>
      <c r="AB367" s="56"/>
      <c r="AC367" s="56"/>
      <c r="AD367" s="56"/>
      <c r="AE367" s="174"/>
      <c r="AF367" s="56"/>
      <c r="AG367" s="56"/>
      <c r="AH367" s="172"/>
      <c r="AI367" s="56"/>
      <c r="AJ367" s="56"/>
      <c r="AK367" s="56"/>
      <c r="AL367" s="56"/>
      <c r="AM367" s="56"/>
      <c r="AN367" s="56"/>
      <c r="AO367" s="172"/>
      <c r="AP367" s="56"/>
      <c r="AQ367" s="56"/>
      <c r="AR367" s="56"/>
      <c r="AS367" s="56"/>
      <c r="AT367" s="56"/>
      <c r="AU367" s="56"/>
      <c r="AV367" s="56"/>
      <c r="AW367" s="172"/>
      <c r="AX367" s="56"/>
      <c r="AY367" s="56"/>
      <c r="AZ367" s="56"/>
      <c r="BA367" s="172"/>
      <c r="BB367" s="56"/>
      <c r="BC367" s="10"/>
      <c r="BD367" s="56"/>
      <c r="BE367" s="56"/>
      <c r="BF367" s="56"/>
      <c r="BG367" s="56"/>
      <c r="BO367" s="145"/>
      <c r="CI367" s="145"/>
      <c r="CY367" s="145"/>
    </row>
    <row r="368" spans="1:103" s="97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65"/>
      <c r="M368" s="10"/>
      <c r="N368" s="56"/>
      <c r="O368" s="56"/>
      <c r="P368" s="162"/>
      <c r="Q368" s="178"/>
      <c r="R368" s="168"/>
      <c r="S368" s="56"/>
      <c r="T368" s="56"/>
      <c r="U368" s="56"/>
      <c r="V368" s="162"/>
      <c r="W368" s="178"/>
      <c r="X368" s="172"/>
      <c r="Y368" s="10"/>
      <c r="Z368" s="56"/>
      <c r="AA368" s="56"/>
      <c r="AB368" s="56"/>
      <c r="AC368" s="56"/>
      <c r="AD368" s="56"/>
      <c r="AE368" s="174"/>
      <c r="AF368" s="56"/>
      <c r="AG368" s="56"/>
      <c r="AH368" s="172"/>
      <c r="AI368" s="56"/>
      <c r="AJ368" s="56"/>
      <c r="AK368" s="56"/>
      <c r="AL368" s="56"/>
      <c r="AM368" s="56"/>
      <c r="AN368" s="56"/>
      <c r="AO368" s="172"/>
      <c r="AP368" s="56"/>
      <c r="AQ368" s="56"/>
      <c r="AR368" s="56"/>
      <c r="AS368" s="56"/>
      <c r="AT368" s="56"/>
      <c r="AU368" s="56"/>
      <c r="AV368" s="56"/>
      <c r="AW368" s="172"/>
      <c r="AX368" s="56"/>
      <c r="AY368" s="56"/>
      <c r="AZ368" s="56"/>
      <c r="BA368" s="172"/>
      <c r="BB368" s="56"/>
      <c r="BC368" s="10"/>
      <c r="BD368" s="56"/>
      <c r="BE368" s="56"/>
      <c r="BF368" s="56"/>
      <c r="BG368" s="56"/>
      <c r="BO368" s="145"/>
      <c r="CI368" s="145"/>
      <c r="CY368" s="145"/>
    </row>
    <row r="369" spans="1:103" s="97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65"/>
      <c r="M369" s="10"/>
      <c r="N369" s="56"/>
      <c r="O369" s="56"/>
      <c r="P369" s="162"/>
      <c r="Q369" s="178"/>
      <c r="R369" s="168"/>
      <c r="S369" s="56"/>
      <c r="T369" s="56"/>
      <c r="U369" s="56"/>
      <c r="V369" s="162"/>
      <c r="W369" s="178"/>
      <c r="X369" s="172"/>
      <c r="Y369" s="10"/>
      <c r="Z369" s="56"/>
      <c r="AA369" s="56"/>
      <c r="AB369" s="56"/>
      <c r="AC369" s="56"/>
      <c r="AD369" s="56"/>
      <c r="AE369" s="174"/>
      <c r="AF369" s="56"/>
      <c r="AG369" s="56"/>
      <c r="AH369" s="172"/>
      <c r="AI369" s="56"/>
      <c r="AJ369" s="56"/>
      <c r="AK369" s="56"/>
      <c r="AL369" s="56"/>
      <c r="AM369" s="56"/>
      <c r="AN369" s="56"/>
      <c r="AO369" s="172"/>
      <c r="AP369" s="56"/>
      <c r="AQ369" s="56"/>
      <c r="AR369" s="56"/>
      <c r="AS369" s="56"/>
      <c r="AT369" s="56"/>
      <c r="AU369" s="56"/>
      <c r="AV369" s="56"/>
      <c r="AW369" s="172"/>
      <c r="AX369" s="56"/>
      <c r="AY369" s="56"/>
      <c r="AZ369" s="56"/>
      <c r="BA369" s="172"/>
      <c r="BB369" s="56"/>
      <c r="BC369" s="10"/>
      <c r="BD369" s="56"/>
      <c r="BE369" s="56"/>
      <c r="BF369" s="56"/>
      <c r="BG369" s="56"/>
      <c r="BO369" s="145"/>
      <c r="CI369" s="145"/>
      <c r="CY369" s="145"/>
    </row>
    <row r="370" spans="1:103" s="97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65"/>
      <c r="M370" s="10"/>
      <c r="N370" s="56"/>
      <c r="O370" s="56"/>
      <c r="P370" s="162"/>
      <c r="Q370" s="178"/>
      <c r="R370" s="168"/>
      <c r="S370" s="56"/>
      <c r="T370" s="56"/>
      <c r="U370" s="56"/>
      <c r="V370" s="162"/>
      <c r="W370" s="178"/>
      <c r="X370" s="172"/>
      <c r="Y370" s="10"/>
      <c r="Z370" s="56"/>
      <c r="AA370" s="56"/>
      <c r="AB370" s="56"/>
      <c r="AC370" s="56"/>
      <c r="AD370" s="56"/>
      <c r="AE370" s="174"/>
      <c r="AF370" s="56"/>
      <c r="AG370" s="56"/>
      <c r="AH370" s="172"/>
      <c r="AI370" s="56"/>
      <c r="AJ370" s="56"/>
      <c r="AK370" s="56"/>
      <c r="AL370" s="56"/>
      <c r="AM370" s="56"/>
      <c r="AN370" s="56"/>
      <c r="AO370" s="172"/>
      <c r="AP370" s="56"/>
      <c r="AQ370" s="56"/>
      <c r="AR370" s="56"/>
      <c r="AS370" s="56"/>
      <c r="AT370" s="56"/>
      <c r="AU370" s="56"/>
      <c r="AV370" s="56"/>
      <c r="AW370" s="172"/>
      <c r="AX370" s="56"/>
      <c r="AY370" s="56"/>
      <c r="AZ370" s="56"/>
      <c r="BA370" s="172"/>
      <c r="BB370" s="56"/>
      <c r="BC370" s="10"/>
      <c r="BD370" s="56"/>
      <c r="BE370" s="56"/>
      <c r="BF370" s="56"/>
      <c r="BG370" s="56"/>
      <c r="BO370" s="145"/>
      <c r="CI370" s="145"/>
      <c r="CY370" s="145"/>
    </row>
    <row r="371" spans="1:103" s="97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65"/>
      <c r="M371" s="10"/>
      <c r="N371" s="56"/>
      <c r="O371" s="56"/>
      <c r="P371" s="162"/>
      <c r="Q371" s="178"/>
      <c r="R371" s="168"/>
      <c r="S371" s="56"/>
      <c r="T371" s="56"/>
      <c r="U371" s="56"/>
      <c r="V371" s="162"/>
      <c r="W371" s="178"/>
      <c r="X371" s="172"/>
      <c r="Y371" s="10"/>
      <c r="Z371" s="56"/>
      <c r="AA371" s="56"/>
      <c r="AB371" s="56"/>
      <c r="AC371" s="56"/>
      <c r="AD371" s="56"/>
      <c r="AE371" s="174"/>
      <c r="AF371" s="56"/>
      <c r="AG371" s="56"/>
      <c r="AH371" s="172"/>
      <c r="AI371" s="56"/>
      <c r="AJ371" s="56"/>
      <c r="AK371" s="56"/>
      <c r="AL371" s="56"/>
      <c r="AM371" s="56"/>
      <c r="AN371" s="56"/>
      <c r="AO371" s="172"/>
      <c r="AP371" s="56"/>
      <c r="AQ371" s="56"/>
      <c r="AR371" s="56"/>
      <c r="AS371" s="56"/>
      <c r="AT371" s="56"/>
      <c r="AU371" s="56"/>
      <c r="AV371" s="56"/>
      <c r="AW371" s="172"/>
      <c r="AX371" s="56"/>
      <c r="AY371" s="56"/>
      <c r="AZ371" s="56"/>
      <c r="BA371" s="172"/>
      <c r="BB371" s="56"/>
      <c r="BC371" s="10"/>
      <c r="BD371" s="56"/>
      <c r="BE371" s="56"/>
      <c r="BF371" s="56"/>
      <c r="BG371" s="56"/>
      <c r="BO371" s="145"/>
      <c r="CI371" s="145"/>
      <c r="CY371" s="145"/>
    </row>
    <row r="372" spans="1:103" s="97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65"/>
      <c r="M372" s="10"/>
      <c r="N372" s="56"/>
      <c r="O372" s="56"/>
      <c r="P372" s="162"/>
      <c r="Q372" s="178"/>
      <c r="R372" s="168"/>
      <c r="S372" s="56"/>
      <c r="T372" s="56"/>
      <c r="U372" s="56"/>
      <c r="V372" s="162"/>
      <c r="W372" s="178"/>
      <c r="X372" s="172"/>
      <c r="Y372" s="10"/>
      <c r="Z372" s="56"/>
      <c r="AA372" s="56"/>
      <c r="AB372" s="56"/>
      <c r="AC372" s="56"/>
      <c r="AD372" s="56"/>
      <c r="AE372" s="174"/>
      <c r="AF372" s="56"/>
      <c r="AG372" s="56"/>
      <c r="AH372" s="172"/>
      <c r="AI372" s="56"/>
      <c r="AJ372" s="56"/>
      <c r="AK372" s="56"/>
      <c r="AL372" s="56"/>
      <c r="AM372" s="56"/>
      <c r="AN372" s="56"/>
      <c r="AO372" s="172"/>
      <c r="AP372" s="56"/>
      <c r="AQ372" s="56"/>
      <c r="AR372" s="56"/>
      <c r="AS372" s="56"/>
      <c r="AT372" s="56"/>
      <c r="AU372" s="56"/>
      <c r="AV372" s="56"/>
      <c r="AW372" s="172"/>
      <c r="AX372" s="56"/>
      <c r="AY372" s="56"/>
      <c r="AZ372" s="56"/>
      <c r="BA372" s="172"/>
      <c r="BB372" s="56"/>
      <c r="BC372" s="10"/>
      <c r="BD372" s="56"/>
      <c r="BE372" s="56"/>
      <c r="BF372" s="56"/>
      <c r="BG372" s="56"/>
      <c r="BO372" s="145"/>
      <c r="CI372" s="145"/>
      <c r="CY372" s="145"/>
    </row>
    <row r="373" spans="1:103" s="97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65"/>
      <c r="M373" s="10"/>
      <c r="N373" s="56"/>
      <c r="O373" s="56"/>
      <c r="P373" s="162"/>
      <c r="Q373" s="178"/>
      <c r="R373" s="168"/>
      <c r="S373" s="56"/>
      <c r="T373" s="56"/>
      <c r="U373" s="56"/>
      <c r="V373" s="162"/>
      <c r="W373" s="178"/>
      <c r="X373" s="172"/>
      <c r="Y373" s="10"/>
      <c r="Z373" s="56"/>
      <c r="AA373" s="56"/>
      <c r="AB373" s="56"/>
      <c r="AC373" s="56"/>
      <c r="AD373" s="56"/>
      <c r="AE373" s="174"/>
      <c r="AF373" s="56"/>
      <c r="AG373" s="56"/>
      <c r="AH373" s="172"/>
      <c r="AI373" s="56"/>
      <c r="AJ373" s="56"/>
      <c r="AK373" s="56"/>
      <c r="AL373" s="56"/>
      <c r="AM373" s="56"/>
      <c r="AN373" s="56"/>
      <c r="AO373" s="172"/>
      <c r="AP373" s="56"/>
      <c r="AQ373" s="56"/>
      <c r="AR373" s="56"/>
      <c r="AS373" s="56"/>
      <c r="AT373" s="56"/>
      <c r="AU373" s="56"/>
      <c r="AV373" s="56"/>
      <c r="AW373" s="172"/>
      <c r="AX373" s="56"/>
      <c r="AY373" s="56"/>
      <c r="AZ373" s="56"/>
      <c r="BA373" s="172"/>
      <c r="BB373" s="56"/>
      <c r="BC373" s="10"/>
      <c r="BD373" s="56"/>
      <c r="BE373" s="56"/>
      <c r="BF373" s="56"/>
      <c r="BG373" s="56"/>
      <c r="BO373" s="145"/>
      <c r="CI373" s="145"/>
      <c r="CY373" s="145"/>
    </row>
    <row r="374" spans="1:103" s="97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65"/>
      <c r="M374" s="10"/>
      <c r="N374" s="56"/>
      <c r="O374" s="56"/>
      <c r="P374" s="162"/>
      <c r="Q374" s="178"/>
      <c r="R374" s="168"/>
      <c r="S374" s="56"/>
      <c r="T374" s="56"/>
      <c r="U374" s="56"/>
      <c r="V374" s="162"/>
      <c r="W374" s="178"/>
      <c r="X374" s="172"/>
      <c r="Y374" s="10"/>
      <c r="Z374" s="56"/>
      <c r="AA374" s="56"/>
      <c r="AB374" s="56"/>
      <c r="AC374" s="56"/>
      <c r="AD374" s="56"/>
      <c r="AE374" s="174"/>
      <c r="AF374" s="56"/>
      <c r="AG374" s="56"/>
      <c r="AH374" s="172"/>
      <c r="AI374" s="56"/>
      <c r="AJ374" s="56"/>
      <c r="AK374" s="56"/>
      <c r="AL374" s="56"/>
      <c r="AM374" s="56"/>
      <c r="AN374" s="56"/>
      <c r="AO374" s="172"/>
      <c r="AP374" s="56"/>
      <c r="AQ374" s="56"/>
      <c r="AR374" s="56"/>
      <c r="AS374" s="56"/>
      <c r="AT374" s="56"/>
      <c r="AU374" s="56"/>
      <c r="AV374" s="56"/>
      <c r="AW374" s="172"/>
      <c r="AX374" s="56"/>
      <c r="AY374" s="56"/>
      <c r="AZ374" s="56"/>
      <c r="BA374" s="172"/>
      <c r="BB374" s="56"/>
      <c r="BC374" s="10"/>
      <c r="BD374" s="56"/>
      <c r="BE374" s="56"/>
      <c r="BF374" s="56"/>
      <c r="BG374" s="56"/>
      <c r="BO374" s="145"/>
      <c r="CI374" s="145"/>
      <c r="CY374" s="145"/>
    </row>
    <row r="375" spans="1:103" s="97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65"/>
      <c r="M375" s="10"/>
      <c r="N375" s="56"/>
      <c r="O375" s="56"/>
      <c r="P375" s="162"/>
      <c r="Q375" s="178"/>
      <c r="R375" s="168"/>
      <c r="S375" s="56"/>
      <c r="T375" s="56"/>
      <c r="U375" s="56"/>
      <c r="V375" s="162"/>
      <c r="W375" s="178"/>
      <c r="X375" s="172"/>
      <c r="Y375" s="10"/>
      <c r="Z375" s="56"/>
      <c r="AA375" s="56"/>
      <c r="AB375" s="56"/>
      <c r="AC375" s="56"/>
      <c r="AD375" s="56"/>
      <c r="AE375" s="174"/>
      <c r="AF375" s="56"/>
      <c r="AG375" s="56"/>
      <c r="AH375" s="172"/>
      <c r="AI375" s="56"/>
      <c r="AJ375" s="56"/>
      <c r="AK375" s="56"/>
      <c r="AL375" s="56"/>
      <c r="AM375" s="56"/>
      <c r="AN375" s="56"/>
      <c r="AO375" s="172"/>
      <c r="AP375" s="56"/>
      <c r="AQ375" s="56"/>
      <c r="AR375" s="56"/>
      <c r="AS375" s="56"/>
      <c r="AT375" s="56"/>
      <c r="AU375" s="56"/>
      <c r="AV375" s="56"/>
      <c r="AW375" s="172"/>
      <c r="AX375" s="56"/>
      <c r="AY375" s="56"/>
      <c r="AZ375" s="56"/>
      <c r="BA375" s="172"/>
      <c r="BB375" s="56"/>
      <c r="BC375" s="10"/>
      <c r="BD375" s="56"/>
      <c r="BE375" s="56"/>
      <c r="BF375" s="56"/>
      <c r="BG375" s="56"/>
      <c r="BO375" s="145"/>
      <c r="CI375" s="145"/>
      <c r="CY375" s="145"/>
    </row>
    <row r="376" spans="1:103" s="97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65"/>
      <c r="M376" s="10"/>
      <c r="N376" s="56"/>
      <c r="O376" s="56"/>
      <c r="P376" s="162"/>
      <c r="Q376" s="178"/>
      <c r="R376" s="168"/>
      <c r="S376" s="56"/>
      <c r="T376" s="56"/>
      <c r="U376" s="56"/>
      <c r="V376" s="162"/>
      <c r="W376" s="178"/>
      <c r="X376" s="172"/>
      <c r="Y376" s="10"/>
      <c r="Z376" s="56"/>
      <c r="AA376" s="56"/>
      <c r="AB376" s="56"/>
      <c r="AC376" s="56"/>
      <c r="AD376" s="56"/>
      <c r="AE376" s="174"/>
      <c r="AF376" s="56"/>
      <c r="AG376" s="56"/>
      <c r="AH376" s="172"/>
      <c r="AI376" s="56"/>
      <c r="AJ376" s="56"/>
      <c r="AK376" s="56"/>
      <c r="AL376" s="56"/>
      <c r="AM376" s="56"/>
      <c r="AN376" s="56"/>
      <c r="AO376" s="172"/>
      <c r="AP376" s="56"/>
      <c r="AQ376" s="56"/>
      <c r="AR376" s="56"/>
      <c r="AS376" s="56"/>
      <c r="AT376" s="56"/>
      <c r="AU376" s="56"/>
      <c r="AV376" s="56"/>
      <c r="AW376" s="172"/>
      <c r="AX376" s="56"/>
      <c r="AY376" s="56"/>
      <c r="AZ376" s="56"/>
      <c r="BA376" s="172"/>
      <c r="BB376" s="56"/>
      <c r="BC376" s="10"/>
      <c r="BD376" s="56"/>
      <c r="BE376" s="56"/>
      <c r="BF376" s="56"/>
      <c r="BG376" s="56"/>
      <c r="BO376" s="145"/>
      <c r="CI376" s="145"/>
      <c r="CY376" s="145"/>
    </row>
    <row r="377" spans="1:103" s="97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65"/>
      <c r="M377" s="10"/>
      <c r="N377" s="56"/>
      <c r="O377" s="56"/>
      <c r="P377" s="162"/>
      <c r="Q377" s="178"/>
      <c r="R377" s="168"/>
      <c r="S377" s="56"/>
      <c r="T377" s="56"/>
      <c r="U377" s="56"/>
      <c r="V377" s="162"/>
      <c r="W377" s="178"/>
      <c r="X377" s="172"/>
      <c r="Y377" s="10"/>
      <c r="Z377" s="56"/>
      <c r="AA377" s="56"/>
      <c r="AB377" s="56"/>
      <c r="AC377" s="56"/>
      <c r="AD377" s="56"/>
      <c r="AE377" s="174"/>
      <c r="AF377" s="56"/>
      <c r="AG377" s="56"/>
      <c r="AH377" s="172"/>
      <c r="AI377" s="56"/>
      <c r="AJ377" s="56"/>
      <c r="AK377" s="56"/>
      <c r="AL377" s="56"/>
      <c r="AM377" s="56"/>
      <c r="AN377" s="56"/>
      <c r="AO377" s="172"/>
      <c r="AP377" s="56"/>
      <c r="AQ377" s="56"/>
      <c r="AR377" s="56"/>
      <c r="AS377" s="56"/>
      <c r="AT377" s="56"/>
      <c r="AU377" s="56"/>
      <c r="AV377" s="56"/>
      <c r="AW377" s="172"/>
      <c r="AX377" s="56"/>
      <c r="AY377" s="56"/>
      <c r="AZ377" s="56"/>
      <c r="BA377" s="172"/>
      <c r="BB377" s="56"/>
      <c r="BC377" s="10"/>
      <c r="BD377" s="56"/>
      <c r="BE377" s="56"/>
      <c r="BF377" s="56"/>
      <c r="BG377" s="56"/>
      <c r="BO377" s="145"/>
      <c r="CI377" s="145"/>
      <c r="CY377" s="145"/>
    </row>
    <row r="378" spans="1:103" s="97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65"/>
      <c r="M378" s="10"/>
      <c r="N378" s="56"/>
      <c r="O378" s="56"/>
      <c r="P378" s="162"/>
      <c r="Q378" s="178"/>
      <c r="R378" s="168"/>
      <c r="S378" s="56"/>
      <c r="T378" s="56"/>
      <c r="U378" s="56"/>
      <c r="V378" s="162"/>
      <c r="W378" s="178"/>
      <c r="X378" s="172"/>
      <c r="Y378" s="10"/>
      <c r="Z378" s="56"/>
      <c r="AA378" s="56"/>
      <c r="AB378" s="56"/>
      <c r="AC378" s="56"/>
      <c r="AD378" s="56"/>
      <c r="AE378" s="174"/>
      <c r="AF378" s="56"/>
      <c r="AG378" s="56"/>
      <c r="AH378" s="172"/>
      <c r="AI378" s="56"/>
      <c r="AJ378" s="56"/>
      <c r="AK378" s="56"/>
      <c r="AL378" s="56"/>
      <c r="AM378" s="56"/>
      <c r="AN378" s="56"/>
      <c r="AO378" s="172"/>
      <c r="AP378" s="56"/>
      <c r="AQ378" s="56"/>
      <c r="AR378" s="56"/>
      <c r="AS378" s="56"/>
      <c r="AT378" s="56"/>
      <c r="AU378" s="56"/>
      <c r="AV378" s="56"/>
      <c r="AW378" s="172"/>
      <c r="AX378" s="56"/>
      <c r="AY378" s="56"/>
      <c r="AZ378" s="56"/>
      <c r="BA378" s="172"/>
      <c r="BB378" s="56"/>
      <c r="BC378" s="10"/>
      <c r="BD378" s="56"/>
      <c r="BE378" s="56"/>
      <c r="BF378" s="56"/>
      <c r="BG378" s="56"/>
      <c r="BO378" s="145"/>
      <c r="CI378" s="145"/>
      <c r="CY378" s="145"/>
    </row>
    <row r="379" spans="1:103" s="97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65"/>
      <c r="M379" s="10"/>
      <c r="N379" s="56"/>
      <c r="O379" s="56"/>
      <c r="P379" s="162"/>
      <c r="Q379" s="178"/>
      <c r="R379" s="168"/>
      <c r="S379" s="56"/>
      <c r="T379" s="56"/>
      <c r="U379" s="56"/>
      <c r="V379" s="162"/>
      <c r="W379" s="178"/>
      <c r="X379" s="172"/>
      <c r="Y379" s="10"/>
      <c r="Z379" s="56"/>
      <c r="AA379" s="56"/>
      <c r="AB379" s="56"/>
      <c r="AC379" s="56"/>
      <c r="AD379" s="56"/>
      <c r="AE379" s="174"/>
      <c r="AF379" s="56"/>
      <c r="AG379" s="56"/>
      <c r="AH379" s="172"/>
      <c r="AI379" s="56"/>
      <c r="AJ379" s="56"/>
      <c r="AK379" s="56"/>
      <c r="AL379" s="56"/>
      <c r="AM379" s="56"/>
      <c r="AN379" s="56"/>
      <c r="AO379" s="172"/>
      <c r="AP379" s="56"/>
      <c r="AQ379" s="56"/>
      <c r="AR379" s="56"/>
      <c r="AS379" s="56"/>
      <c r="AT379" s="56"/>
      <c r="AU379" s="56"/>
      <c r="AV379" s="56"/>
      <c r="AW379" s="172"/>
      <c r="AX379" s="56"/>
      <c r="AY379" s="56"/>
      <c r="AZ379" s="56"/>
      <c r="BA379" s="172"/>
      <c r="BB379" s="56"/>
      <c r="BC379" s="10"/>
      <c r="BD379" s="56"/>
      <c r="BE379" s="56"/>
      <c r="BF379" s="56"/>
      <c r="BG379" s="56"/>
      <c r="BO379" s="145"/>
      <c r="CI379" s="145"/>
      <c r="CY379" s="145"/>
    </row>
    <row r="380" spans="1:103" s="97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65"/>
      <c r="M380" s="10"/>
      <c r="N380" s="56"/>
      <c r="O380" s="56"/>
      <c r="P380" s="162"/>
      <c r="Q380" s="178"/>
      <c r="R380" s="168"/>
      <c r="S380" s="56"/>
      <c r="T380" s="56"/>
      <c r="U380" s="56"/>
      <c r="V380" s="162"/>
      <c r="W380" s="178"/>
      <c r="X380" s="172"/>
      <c r="Y380" s="10"/>
      <c r="Z380" s="56"/>
      <c r="AA380" s="56"/>
      <c r="AB380" s="56"/>
      <c r="AC380" s="56"/>
      <c r="AD380" s="56"/>
      <c r="AE380" s="174"/>
      <c r="AF380" s="56"/>
      <c r="AG380" s="56"/>
      <c r="AH380" s="172"/>
      <c r="AI380" s="56"/>
      <c r="AJ380" s="56"/>
      <c r="AK380" s="56"/>
      <c r="AL380" s="56"/>
      <c r="AM380" s="56"/>
      <c r="AN380" s="56"/>
      <c r="AO380" s="172"/>
      <c r="AP380" s="56"/>
      <c r="AQ380" s="56"/>
      <c r="AR380" s="56"/>
      <c r="AS380" s="56"/>
      <c r="AT380" s="56"/>
      <c r="AU380" s="56"/>
      <c r="AV380" s="56"/>
      <c r="AW380" s="172"/>
      <c r="AX380" s="56"/>
      <c r="AY380" s="56"/>
      <c r="AZ380" s="56"/>
      <c r="BA380" s="172"/>
      <c r="BB380" s="56"/>
      <c r="BC380" s="10"/>
      <c r="BD380" s="56"/>
      <c r="BE380" s="56"/>
      <c r="BF380" s="56"/>
      <c r="BG380" s="56"/>
      <c r="BO380" s="145"/>
      <c r="CI380" s="145"/>
      <c r="CY380" s="145"/>
    </row>
    <row r="381" spans="1:103" s="97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65"/>
      <c r="M381" s="10"/>
      <c r="N381" s="56"/>
      <c r="O381" s="56"/>
      <c r="P381" s="162"/>
      <c r="Q381" s="178"/>
      <c r="R381" s="168"/>
      <c r="S381" s="56"/>
      <c r="T381" s="56"/>
      <c r="U381" s="56"/>
      <c r="V381" s="162"/>
      <c r="W381" s="178"/>
      <c r="X381" s="172"/>
      <c r="Y381" s="10"/>
      <c r="Z381" s="56"/>
      <c r="AA381" s="56"/>
      <c r="AB381" s="56"/>
      <c r="AC381" s="56"/>
      <c r="AD381" s="56"/>
      <c r="AE381" s="174"/>
      <c r="AF381" s="56"/>
      <c r="AG381" s="56"/>
      <c r="AH381" s="172"/>
      <c r="AI381" s="56"/>
      <c r="AJ381" s="56"/>
      <c r="AK381" s="56"/>
      <c r="AL381" s="56"/>
      <c r="AM381" s="56"/>
      <c r="AN381" s="56"/>
      <c r="AO381" s="172"/>
      <c r="AP381" s="56"/>
      <c r="AQ381" s="56"/>
      <c r="AR381" s="56"/>
      <c r="AS381" s="56"/>
      <c r="AT381" s="56"/>
      <c r="AU381" s="56"/>
      <c r="AV381" s="56"/>
      <c r="AW381" s="172"/>
      <c r="AX381" s="56"/>
      <c r="AY381" s="56"/>
      <c r="AZ381" s="56"/>
      <c r="BA381" s="172"/>
      <c r="BB381" s="56"/>
      <c r="BC381" s="10"/>
      <c r="BD381" s="56"/>
      <c r="BE381" s="56"/>
      <c r="BF381" s="56"/>
      <c r="BG381" s="56"/>
      <c r="BO381" s="145"/>
      <c r="CI381" s="145"/>
      <c r="CY381" s="145"/>
    </row>
    <row r="382" spans="1:103" s="97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65"/>
      <c r="M382" s="10"/>
      <c r="N382" s="56"/>
      <c r="O382" s="56"/>
      <c r="P382" s="162"/>
      <c r="Q382" s="178"/>
      <c r="R382" s="168"/>
      <c r="S382" s="56"/>
      <c r="T382" s="56"/>
      <c r="U382" s="56"/>
      <c r="V382" s="162"/>
      <c r="W382" s="178"/>
      <c r="X382" s="172"/>
      <c r="Y382" s="10"/>
      <c r="Z382" s="56"/>
      <c r="AA382" s="56"/>
      <c r="AB382" s="56"/>
      <c r="AC382" s="56"/>
      <c r="AD382" s="56"/>
      <c r="AE382" s="174"/>
      <c r="AF382" s="56"/>
      <c r="AG382" s="56"/>
      <c r="AH382" s="172"/>
      <c r="AI382" s="56"/>
      <c r="AJ382" s="56"/>
      <c r="AK382" s="56"/>
      <c r="AL382" s="56"/>
      <c r="AM382" s="56"/>
      <c r="AN382" s="56"/>
      <c r="AO382" s="172"/>
      <c r="AP382" s="56"/>
      <c r="AQ382" s="56"/>
      <c r="AR382" s="56"/>
      <c r="AS382" s="56"/>
      <c r="AT382" s="56"/>
      <c r="AU382" s="56"/>
      <c r="AV382" s="56"/>
      <c r="AW382" s="172"/>
      <c r="AX382" s="56"/>
      <c r="AY382" s="56"/>
      <c r="AZ382" s="56"/>
      <c r="BA382" s="172"/>
      <c r="BB382" s="56"/>
      <c r="BC382" s="10"/>
      <c r="BD382" s="56"/>
      <c r="BE382" s="56"/>
      <c r="BF382" s="56"/>
      <c r="BG382" s="56"/>
      <c r="BO382" s="145"/>
      <c r="CI382" s="145"/>
      <c r="CY382" s="145"/>
    </row>
    <row r="383" spans="1:103" s="97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65"/>
      <c r="M383" s="10"/>
      <c r="N383" s="56"/>
      <c r="O383" s="56"/>
      <c r="P383" s="162"/>
      <c r="Q383" s="178"/>
      <c r="R383" s="168"/>
      <c r="S383" s="56"/>
      <c r="T383" s="56"/>
      <c r="U383" s="56"/>
      <c r="V383" s="162"/>
      <c r="W383" s="178"/>
      <c r="X383" s="172"/>
      <c r="Y383" s="10"/>
      <c r="Z383" s="56"/>
      <c r="AA383" s="56"/>
      <c r="AB383" s="56"/>
      <c r="AC383" s="56"/>
      <c r="AD383" s="56"/>
      <c r="AE383" s="174"/>
      <c r="AF383" s="56"/>
      <c r="AG383" s="56"/>
      <c r="AH383" s="172"/>
      <c r="AI383" s="56"/>
      <c r="AJ383" s="56"/>
      <c r="AK383" s="56"/>
      <c r="AL383" s="56"/>
      <c r="AM383" s="56"/>
      <c r="AN383" s="56"/>
      <c r="AO383" s="172"/>
      <c r="AP383" s="56"/>
      <c r="AQ383" s="56"/>
      <c r="AR383" s="56"/>
      <c r="AS383" s="56"/>
      <c r="AT383" s="56"/>
      <c r="AU383" s="56"/>
      <c r="AV383" s="56"/>
      <c r="AW383" s="172"/>
      <c r="AX383" s="56"/>
      <c r="AY383" s="56"/>
      <c r="AZ383" s="56"/>
      <c r="BA383" s="172"/>
      <c r="BB383" s="56"/>
      <c r="BC383" s="10"/>
      <c r="BD383" s="56"/>
      <c r="BE383" s="56"/>
      <c r="BF383" s="56"/>
      <c r="BG383" s="56"/>
      <c r="BO383" s="145"/>
      <c r="CI383" s="145"/>
      <c r="CY383" s="145"/>
    </row>
    <row r="384" spans="1:103" s="97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65"/>
      <c r="M384" s="10"/>
      <c r="N384" s="56"/>
      <c r="O384" s="56"/>
      <c r="P384" s="162"/>
      <c r="Q384" s="178"/>
      <c r="R384" s="168"/>
      <c r="S384" s="56"/>
      <c r="T384" s="56"/>
      <c r="U384" s="56"/>
      <c r="V384" s="162"/>
      <c r="W384" s="178"/>
      <c r="X384" s="172"/>
      <c r="Y384" s="10"/>
      <c r="Z384" s="56"/>
      <c r="AA384" s="56"/>
      <c r="AB384" s="56"/>
      <c r="AC384" s="56"/>
      <c r="AD384" s="56"/>
      <c r="AE384" s="174"/>
      <c r="AF384" s="56"/>
      <c r="AG384" s="56"/>
      <c r="AH384" s="172"/>
      <c r="AI384" s="56"/>
      <c r="AJ384" s="56"/>
      <c r="AK384" s="56"/>
      <c r="AL384" s="56"/>
      <c r="AM384" s="56"/>
      <c r="AN384" s="56"/>
      <c r="AO384" s="172"/>
      <c r="AP384" s="56"/>
      <c r="AQ384" s="56"/>
      <c r="AR384" s="56"/>
      <c r="AS384" s="56"/>
      <c r="AT384" s="56"/>
      <c r="AU384" s="56"/>
      <c r="AV384" s="56"/>
      <c r="AW384" s="172"/>
      <c r="AX384" s="56"/>
      <c r="AY384" s="56"/>
      <c r="AZ384" s="56"/>
      <c r="BA384" s="172"/>
      <c r="BB384" s="56"/>
      <c r="BC384" s="10"/>
      <c r="BD384" s="56"/>
      <c r="BE384" s="56"/>
      <c r="BF384" s="56"/>
      <c r="BG384" s="56"/>
      <c r="BO384" s="145"/>
      <c r="CI384" s="145"/>
      <c r="CY384" s="145"/>
    </row>
    <row r="385" spans="1:103" s="97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65"/>
      <c r="M385" s="10"/>
      <c r="N385" s="56"/>
      <c r="O385" s="56"/>
      <c r="P385" s="162"/>
      <c r="Q385" s="178"/>
      <c r="R385" s="168"/>
      <c r="S385" s="56"/>
      <c r="T385" s="56"/>
      <c r="U385" s="56"/>
      <c r="V385" s="162"/>
      <c r="W385" s="178"/>
      <c r="X385" s="172"/>
      <c r="Y385" s="10"/>
      <c r="Z385" s="56"/>
      <c r="AA385" s="56"/>
      <c r="AB385" s="56"/>
      <c r="AC385" s="56"/>
      <c r="AD385" s="56"/>
      <c r="AE385" s="174"/>
      <c r="AF385" s="56"/>
      <c r="AG385" s="56"/>
      <c r="AH385" s="172"/>
      <c r="AI385" s="56"/>
      <c r="AJ385" s="56"/>
      <c r="AK385" s="56"/>
      <c r="AL385" s="56"/>
      <c r="AM385" s="56"/>
      <c r="AN385" s="56"/>
      <c r="AO385" s="172"/>
      <c r="AP385" s="56"/>
      <c r="AQ385" s="56"/>
      <c r="AR385" s="56"/>
      <c r="AS385" s="56"/>
      <c r="AT385" s="56"/>
      <c r="AU385" s="56"/>
      <c r="AV385" s="56"/>
      <c r="AW385" s="172"/>
      <c r="AX385" s="56"/>
      <c r="AY385" s="56"/>
      <c r="AZ385" s="56"/>
      <c r="BA385" s="172"/>
      <c r="BB385" s="56"/>
      <c r="BC385" s="10"/>
      <c r="BD385" s="56"/>
      <c r="BE385" s="56"/>
      <c r="BF385" s="56"/>
      <c r="BG385" s="56"/>
      <c r="BO385" s="145"/>
      <c r="CI385" s="145"/>
      <c r="CY385" s="145"/>
    </row>
    <row r="386" spans="1:103" s="97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65"/>
      <c r="M386" s="10"/>
      <c r="N386" s="56"/>
      <c r="O386" s="56"/>
      <c r="P386" s="162"/>
      <c r="Q386" s="178"/>
      <c r="R386" s="168"/>
      <c r="S386" s="56"/>
      <c r="T386" s="56"/>
      <c r="U386" s="56"/>
      <c r="V386" s="162"/>
      <c r="W386" s="178"/>
      <c r="X386" s="172"/>
      <c r="Y386" s="10"/>
      <c r="Z386" s="56"/>
      <c r="AA386" s="56"/>
      <c r="AB386" s="56"/>
      <c r="AC386" s="56"/>
      <c r="AD386" s="56"/>
      <c r="AE386" s="174"/>
      <c r="AF386" s="56"/>
      <c r="AG386" s="56"/>
      <c r="AH386" s="172"/>
      <c r="AI386" s="56"/>
      <c r="AJ386" s="56"/>
      <c r="AK386" s="56"/>
      <c r="AL386" s="56"/>
      <c r="AM386" s="56"/>
      <c r="AN386" s="56"/>
      <c r="AO386" s="172"/>
      <c r="AP386" s="56"/>
      <c r="AQ386" s="56"/>
      <c r="AR386" s="56"/>
      <c r="AS386" s="56"/>
      <c r="AT386" s="56"/>
      <c r="AU386" s="56"/>
      <c r="AV386" s="56"/>
      <c r="AW386" s="172"/>
      <c r="AX386" s="56"/>
      <c r="AY386" s="56"/>
      <c r="AZ386" s="56"/>
      <c r="BA386" s="172"/>
      <c r="BB386" s="56"/>
      <c r="BC386" s="10"/>
      <c r="BD386" s="56"/>
      <c r="BE386" s="56"/>
      <c r="BF386" s="56"/>
      <c r="BG386" s="56"/>
      <c r="BO386" s="145"/>
      <c r="CI386" s="145"/>
      <c r="CY386" s="145"/>
    </row>
    <row r="387" spans="1:103" s="97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65"/>
      <c r="M387" s="10"/>
      <c r="N387" s="56"/>
      <c r="O387" s="56"/>
      <c r="P387" s="162"/>
      <c r="Q387" s="178"/>
      <c r="R387" s="168"/>
      <c r="S387" s="56"/>
      <c r="T387" s="56"/>
      <c r="U387" s="56"/>
      <c r="V387" s="162"/>
      <c r="W387" s="178"/>
      <c r="X387" s="172"/>
      <c r="Y387" s="10"/>
      <c r="Z387" s="56"/>
      <c r="AA387" s="56"/>
      <c r="AB387" s="56"/>
      <c r="AC387" s="56"/>
      <c r="AD387" s="56"/>
      <c r="AE387" s="174"/>
      <c r="AF387" s="56"/>
      <c r="AG387" s="56"/>
      <c r="AH387" s="172"/>
      <c r="AI387" s="56"/>
      <c r="AJ387" s="56"/>
      <c r="AK387" s="56"/>
      <c r="AL387" s="56"/>
      <c r="AM387" s="56"/>
      <c r="AN387" s="56"/>
      <c r="AO387" s="172"/>
      <c r="AP387" s="56"/>
      <c r="AQ387" s="56"/>
      <c r="AR387" s="56"/>
      <c r="AS387" s="56"/>
      <c r="AT387" s="56"/>
      <c r="AU387" s="56"/>
      <c r="AV387" s="56"/>
      <c r="AW387" s="172"/>
      <c r="AX387" s="56"/>
      <c r="AY387" s="56"/>
      <c r="AZ387" s="56"/>
      <c r="BA387" s="172"/>
      <c r="BB387" s="56"/>
      <c r="BC387" s="10"/>
      <c r="BD387" s="56"/>
      <c r="BE387" s="56"/>
      <c r="BF387" s="56"/>
      <c r="BG387" s="56"/>
      <c r="BO387" s="145"/>
      <c r="CI387" s="145"/>
      <c r="CY387" s="145"/>
    </row>
    <row r="388" spans="1:103" s="97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65"/>
      <c r="M388" s="10"/>
      <c r="N388" s="56"/>
      <c r="O388" s="56"/>
      <c r="P388" s="162"/>
      <c r="Q388" s="178"/>
      <c r="R388" s="168"/>
      <c r="S388" s="56"/>
      <c r="T388" s="56"/>
      <c r="U388" s="56"/>
      <c r="V388" s="162"/>
      <c r="W388" s="178"/>
      <c r="X388" s="172"/>
      <c r="Y388" s="10"/>
      <c r="Z388" s="56"/>
      <c r="AA388" s="56"/>
      <c r="AB388" s="56"/>
      <c r="AC388" s="56"/>
      <c r="AD388" s="56"/>
      <c r="AE388" s="174"/>
      <c r="AF388" s="56"/>
      <c r="AG388" s="56"/>
      <c r="AH388" s="172"/>
      <c r="AI388" s="56"/>
      <c r="AJ388" s="56"/>
      <c r="AK388" s="56"/>
      <c r="AL388" s="56"/>
      <c r="AM388" s="56"/>
      <c r="AN388" s="56"/>
      <c r="AO388" s="172"/>
      <c r="AP388" s="56"/>
      <c r="AQ388" s="56"/>
      <c r="AR388" s="56"/>
      <c r="AS388" s="56"/>
      <c r="AT388" s="56"/>
      <c r="AU388" s="56"/>
      <c r="AV388" s="56"/>
      <c r="AW388" s="172"/>
      <c r="AX388" s="56"/>
      <c r="AY388" s="56"/>
      <c r="AZ388" s="56"/>
      <c r="BA388" s="172"/>
      <c r="BB388" s="56"/>
      <c r="BC388" s="10"/>
      <c r="BD388" s="56"/>
      <c r="BE388" s="56"/>
      <c r="BF388" s="56"/>
      <c r="BG388" s="56"/>
      <c r="BO388" s="145"/>
      <c r="CI388" s="145"/>
      <c r="CY388" s="145"/>
    </row>
    <row r="389" spans="1:103" s="97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65"/>
      <c r="M389" s="10"/>
      <c r="N389" s="56"/>
      <c r="O389" s="56"/>
      <c r="P389" s="162"/>
      <c r="Q389" s="178"/>
      <c r="R389" s="168"/>
      <c r="S389" s="56"/>
      <c r="T389" s="56"/>
      <c r="U389" s="56"/>
      <c r="V389" s="162"/>
      <c r="W389" s="178"/>
      <c r="X389" s="172"/>
      <c r="Y389" s="10"/>
      <c r="Z389" s="56"/>
      <c r="AA389" s="56"/>
      <c r="AB389" s="56"/>
      <c r="AC389" s="56"/>
      <c r="AD389" s="56"/>
      <c r="AE389" s="174"/>
      <c r="AF389" s="56"/>
      <c r="AG389" s="56"/>
      <c r="AH389" s="172"/>
      <c r="AI389" s="56"/>
      <c r="AJ389" s="56"/>
      <c r="AK389" s="56"/>
      <c r="AL389" s="56"/>
      <c r="AM389" s="56"/>
      <c r="AN389" s="56"/>
      <c r="AO389" s="172"/>
      <c r="AP389" s="56"/>
      <c r="AQ389" s="56"/>
      <c r="AR389" s="56"/>
      <c r="AS389" s="56"/>
      <c r="AT389" s="56"/>
      <c r="AU389" s="56"/>
      <c r="AV389" s="56"/>
      <c r="AW389" s="172"/>
      <c r="AX389" s="56"/>
      <c r="AY389" s="56"/>
      <c r="AZ389" s="56"/>
      <c r="BA389" s="172"/>
      <c r="BB389" s="56"/>
      <c r="BC389" s="10"/>
      <c r="BD389" s="56"/>
      <c r="BE389" s="56"/>
      <c r="BF389" s="56"/>
      <c r="BG389" s="56"/>
      <c r="BO389" s="145"/>
      <c r="CI389" s="145"/>
      <c r="CY389" s="145"/>
    </row>
    <row r="390" spans="1:103" s="97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65"/>
      <c r="M390" s="10"/>
      <c r="N390" s="56"/>
      <c r="O390" s="56"/>
      <c r="P390" s="162"/>
      <c r="Q390" s="178"/>
      <c r="R390" s="168"/>
      <c r="S390" s="56"/>
      <c r="T390" s="56"/>
      <c r="U390" s="56"/>
      <c r="V390" s="162"/>
      <c r="W390" s="178"/>
      <c r="X390" s="172"/>
      <c r="Y390" s="10"/>
      <c r="Z390" s="56"/>
      <c r="AA390" s="56"/>
      <c r="AB390" s="56"/>
      <c r="AC390" s="56"/>
      <c r="AD390" s="56"/>
      <c r="AE390" s="174"/>
      <c r="AF390" s="56"/>
      <c r="AG390" s="56"/>
      <c r="AH390" s="172"/>
      <c r="AI390" s="56"/>
      <c r="AJ390" s="56"/>
      <c r="AK390" s="56"/>
      <c r="AL390" s="56"/>
      <c r="AM390" s="56"/>
      <c r="AN390" s="56"/>
      <c r="AO390" s="172"/>
      <c r="AP390" s="56"/>
      <c r="AQ390" s="56"/>
      <c r="AR390" s="56"/>
      <c r="AS390" s="56"/>
      <c r="AT390" s="56"/>
      <c r="AU390" s="56"/>
      <c r="AV390" s="56"/>
      <c r="AW390" s="172"/>
      <c r="AX390" s="56"/>
      <c r="AY390" s="56"/>
      <c r="AZ390" s="56"/>
      <c r="BA390" s="172"/>
      <c r="BB390" s="56"/>
      <c r="BC390" s="10"/>
      <c r="BD390" s="56"/>
      <c r="BE390" s="56"/>
      <c r="BF390" s="56"/>
      <c r="BG390" s="56"/>
      <c r="BO390" s="145"/>
      <c r="CI390" s="145"/>
      <c r="CY390" s="145"/>
    </row>
    <row r="391" spans="1:103" s="97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65"/>
      <c r="M391" s="10"/>
      <c r="N391" s="56"/>
      <c r="O391" s="56"/>
      <c r="P391" s="162"/>
      <c r="Q391" s="178"/>
      <c r="R391" s="168"/>
      <c r="S391" s="56"/>
      <c r="T391" s="56"/>
      <c r="U391" s="56"/>
      <c r="V391" s="162"/>
      <c r="W391" s="178"/>
      <c r="X391" s="172"/>
      <c r="Y391" s="10"/>
      <c r="Z391" s="56"/>
      <c r="AA391" s="56"/>
      <c r="AB391" s="56"/>
      <c r="AC391" s="56"/>
      <c r="AD391" s="56"/>
      <c r="AE391" s="174"/>
      <c r="AF391" s="56"/>
      <c r="AG391" s="56"/>
      <c r="AH391" s="172"/>
      <c r="AI391" s="56"/>
      <c r="AJ391" s="56"/>
      <c r="AK391" s="56"/>
      <c r="AL391" s="56"/>
      <c r="AM391" s="56"/>
      <c r="AN391" s="56"/>
      <c r="AO391" s="172"/>
      <c r="AP391" s="56"/>
      <c r="AQ391" s="56"/>
      <c r="AR391" s="56"/>
      <c r="AS391" s="56"/>
      <c r="AT391" s="56"/>
      <c r="AU391" s="56"/>
      <c r="AV391" s="56"/>
      <c r="AW391" s="172"/>
      <c r="AX391" s="56"/>
      <c r="AY391" s="56"/>
      <c r="AZ391" s="56"/>
      <c r="BA391" s="172"/>
      <c r="BB391" s="56"/>
      <c r="BC391" s="10"/>
      <c r="BD391" s="56"/>
      <c r="BE391" s="56"/>
      <c r="BF391" s="56"/>
      <c r="BG391" s="56"/>
      <c r="BO391" s="145"/>
      <c r="CI391" s="145"/>
      <c r="CY391" s="145"/>
    </row>
    <row r="392" spans="1:103" s="97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65"/>
      <c r="M392" s="10"/>
      <c r="N392" s="56"/>
      <c r="O392" s="56"/>
      <c r="P392" s="162"/>
      <c r="Q392" s="178"/>
      <c r="R392" s="168"/>
      <c r="S392" s="56"/>
      <c r="T392" s="56"/>
      <c r="U392" s="56"/>
      <c r="V392" s="162"/>
      <c r="W392" s="178"/>
      <c r="X392" s="172"/>
      <c r="Y392" s="10"/>
      <c r="Z392" s="56"/>
      <c r="AA392" s="56"/>
      <c r="AB392" s="56"/>
      <c r="AC392" s="56"/>
      <c r="AD392" s="56"/>
      <c r="AE392" s="174"/>
      <c r="AF392" s="56"/>
      <c r="AG392" s="56"/>
      <c r="AH392" s="172"/>
      <c r="AI392" s="56"/>
      <c r="AJ392" s="56"/>
      <c r="AK392" s="56"/>
      <c r="AL392" s="56"/>
      <c r="AM392" s="56"/>
      <c r="AN392" s="56"/>
      <c r="AO392" s="172"/>
      <c r="AP392" s="56"/>
      <c r="AQ392" s="56"/>
      <c r="AR392" s="56"/>
      <c r="AS392" s="56"/>
      <c r="AT392" s="56"/>
      <c r="AU392" s="56"/>
      <c r="AV392" s="56"/>
      <c r="AW392" s="172"/>
      <c r="AX392" s="56"/>
      <c r="AY392" s="56"/>
      <c r="AZ392" s="56"/>
      <c r="BA392" s="172"/>
      <c r="BB392" s="56"/>
      <c r="BC392" s="10"/>
      <c r="BD392" s="56"/>
      <c r="BE392" s="56"/>
      <c r="BF392" s="56"/>
      <c r="BG392" s="56"/>
      <c r="BO392" s="145"/>
      <c r="CI392" s="145"/>
      <c r="CY392" s="145"/>
    </row>
    <row r="393" spans="1:103" s="97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65"/>
      <c r="M393" s="10"/>
      <c r="N393" s="56"/>
      <c r="O393" s="56"/>
      <c r="P393" s="162"/>
      <c r="Q393" s="178"/>
      <c r="R393" s="168"/>
      <c r="S393" s="56"/>
      <c r="T393" s="56"/>
      <c r="U393" s="56"/>
      <c r="V393" s="162"/>
      <c r="W393" s="178"/>
      <c r="X393" s="172"/>
      <c r="Y393" s="10"/>
      <c r="Z393" s="56"/>
      <c r="AA393" s="56"/>
      <c r="AB393" s="56"/>
      <c r="AC393" s="56"/>
      <c r="AD393" s="56"/>
      <c r="AE393" s="174"/>
      <c r="AF393" s="56"/>
      <c r="AG393" s="56"/>
      <c r="AH393" s="172"/>
      <c r="AI393" s="56"/>
      <c r="AJ393" s="56"/>
      <c r="AK393" s="56"/>
      <c r="AL393" s="56"/>
      <c r="AM393" s="56"/>
      <c r="AN393" s="56"/>
      <c r="AO393" s="172"/>
      <c r="AP393" s="56"/>
      <c r="AQ393" s="56"/>
      <c r="AR393" s="56"/>
      <c r="AS393" s="56"/>
      <c r="AT393" s="56"/>
      <c r="AU393" s="56"/>
      <c r="AV393" s="56"/>
      <c r="AW393" s="172"/>
      <c r="AX393" s="56"/>
      <c r="AY393" s="56"/>
      <c r="AZ393" s="56"/>
      <c r="BA393" s="172"/>
      <c r="BB393" s="56"/>
      <c r="BC393" s="10"/>
      <c r="BD393" s="56"/>
      <c r="BE393" s="56"/>
      <c r="BF393" s="56"/>
      <c r="BG393" s="56"/>
      <c r="BO393" s="145"/>
      <c r="CI393" s="145"/>
      <c r="CY393" s="145"/>
    </row>
    <row r="394" spans="1:103" s="97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65"/>
      <c r="M394" s="10"/>
      <c r="N394" s="56"/>
      <c r="O394" s="56"/>
      <c r="P394" s="162"/>
      <c r="Q394" s="178"/>
      <c r="R394" s="168"/>
      <c r="S394" s="56"/>
      <c r="T394" s="56"/>
      <c r="U394" s="56"/>
      <c r="V394" s="162"/>
      <c r="W394" s="178"/>
      <c r="X394" s="172"/>
      <c r="Y394" s="10"/>
      <c r="Z394" s="56"/>
      <c r="AA394" s="56"/>
      <c r="AB394" s="56"/>
      <c r="AC394" s="56"/>
      <c r="AD394" s="56"/>
      <c r="AE394" s="174"/>
      <c r="AF394" s="56"/>
      <c r="AG394" s="56"/>
      <c r="AH394" s="172"/>
      <c r="AI394" s="56"/>
      <c r="AJ394" s="56"/>
      <c r="AK394" s="56"/>
      <c r="AL394" s="56"/>
      <c r="AM394" s="56"/>
      <c r="AN394" s="56"/>
      <c r="AO394" s="172"/>
      <c r="AP394" s="56"/>
      <c r="AQ394" s="56"/>
      <c r="AR394" s="56"/>
      <c r="AS394" s="56"/>
      <c r="AT394" s="56"/>
      <c r="AU394" s="56"/>
      <c r="AV394" s="56"/>
      <c r="AW394" s="172"/>
      <c r="AX394" s="56"/>
      <c r="AY394" s="56"/>
      <c r="AZ394" s="56"/>
      <c r="BA394" s="172"/>
      <c r="BB394" s="56"/>
      <c r="BC394" s="10"/>
      <c r="BD394" s="56"/>
      <c r="BE394" s="56"/>
      <c r="BF394" s="56"/>
      <c r="BG394" s="56"/>
      <c r="BO394" s="145"/>
      <c r="CI394" s="145"/>
      <c r="CY394" s="145"/>
    </row>
    <row r="395" spans="1:103" s="97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65"/>
      <c r="M395" s="10"/>
      <c r="N395" s="56"/>
      <c r="O395" s="56"/>
      <c r="P395" s="162"/>
      <c r="Q395" s="178"/>
      <c r="R395" s="168"/>
      <c r="S395" s="56"/>
      <c r="T395" s="56"/>
      <c r="U395" s="56"/>
      <c r="V395" s="162"/>
      <c r="W395" s="178"/>
      <c r="X395" s="172"/>
      <c r="Y395" s="10"/>
      <c r="Z395" s="56"/>
      <c r="AA395" s="56"/>
      <c r="AB395" s="56"/>
      <c r="AC395" s="56"/>
      <c r="AD395" s="56"/>
      <c r="AE395" s="174"/>
      <c r="AF395" s="56"/>
      <c r="AG395" s="56"/>
      <c r="AH395" s="172"/>
      <c r="AI395" s="56"/>
      <c r="AJ395" s="56"/>
      <c r="AK395" s="56"/>
      <c r="AL395" s="56"/>
      <c r="AM395" s="56"/>
      <c r="AN395" s="56"/>
      <c r="AO395" s="172"/>
      <c r="AP395" s="56"/>
      <c r="AQ395" s="56"/>
      <c r="AR395" s="56"/>
      <c r="AS395" s="56"/>
      <c r="AT395" s="56"/>
      <c r="AU395" s="56"/>
      <c r="AV395" s="56"/>
      <c r="AW395" s="172"/>
      <c r="AX395" s="56"/>
      <c r="AY395" s="56"/>
      <c r="AZ395" s="56"/>
      <c r="BA395" s="172"/>
      <c r="BB395" s="56"/>
      <c r="BC395" s="10"/>
      <c r="BD395" s="56"/>
      <c r="BE395" s="56"/>
      <c r="BF395" s="56"/>
      <c r="BG395" s="56"/>
      <c r="BO395" s="145"/>
      <c r="CI395" s="145"/>
      <c r="CY395" s="145"/>
    </row>
    <row r="396" spans="1:103" s="97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65"/>
      <c r="M396" s="10"/>
      <c r="N396" s="56"/>
      <c r="O396" s="56"/>
      <c r="P396" s="162"/>
      <c r="Q396" s="178"/>
      <c r="R396" s="168"/>
      <c r="S396" s="56"/>
      <c r="T396" s="56"/>
      <c r="U396" s="56"/>
      <c r="V396" s="162"/>
      <c r="W396" s="178"/>
      <c r="X396" s="172"/>
      <c r="Y396" s="10"/>
      <c r="Z396" s="56"/>
      <c r="AA396" s="56"/>
      <c r="AB396" s="56"/>
      <c r="AC396" s="56"/>
      <c r="AD396" s="56"/>
      <c r="AE396" s="174"/>
      <c r="AF396" s="56"/>
      <c r="AG396" s="56"/>
      <c r="AH396" s="172"/>
      <c r="AI396" s="56"/>
      <c r="AJ396" s="56"/>
      <c r="AK396" s="56"/>
      <c r="AL396" s="56"/>
      <c r="AM396" s="56"/>
      <c r="AN396" s="56"/>
      <c r="AO396" s="172"/>
      <c r="AP396" s="56"/>
      <c r="AQ396" s="56"/>
      <c r="AR396" s="56"/>
      <c r="AS396" s="56"/>
      <c r="AT396" s="56"/>
      <c r="AU396" s="56"/>
      <c r="AV396" s="56"/>
      <c r="AW396" s="172"/>
      <c r="AX396" s="56"/>
      <c r="AY396" s="56"/>
      <c r="AZ396" s="56"/>
      <c r="BA396" s="172"/>
      <c r="BB396" s="56"/>
      <c r="BC396" s="10"/>
      <c r="BD396" s="56"/>
      <c r="BE396" s="56"/>
      <c r="BF396" s="56"/>
      <c r="BG396" s="56"/>
      <c r="BO396" s="145"/>
      <c r="CI396" s="145"/>
      <c r="CY396" s="145"/>
    </row>
    <row r="397" spans="1:103" s="97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65"/>
      <c r="M397" s="10"/>
      <c r="N397" s="56"/>
      <c r="O397" s="56"/>
      <c r="P397" s="162"/>
      <c r="Q397" s="178"/>
      <c r="R397" s="168"/>
      <c r="S397" s="56"/>
      <c r="T397" s="56"/>
      <c r="U397" s="56"/>
      <c r="V397" s="162"/>
      <c r="W397" s="178"/>
      <c r="X397" s="172"/>
      <c r="Y397" s="10"/>
      <c r="Z397" s="56"/>
      <c r="AA397" s="56"/>
      <c r="AB397" s="56"/>
      <c r="AC397" s="56"/>
      <c r="AD397" s="56"/>
      <c r="AE397" s="174"/>
      <c r="AF397" s="56"/>
      <c r="AG397" s="56"/>
      <c r="AH397" s="172"/>
      <c r="AI397" s="56"/>
      <c r="AJ397" s="56"/>
      <c r="AK397" s="56"/>
      <c r="AL397" s="56"/>
      <c r="AM397" s="56"/>
      <c r="AN397" s="56"/>
      <c r="AO397" s="172"/>
      <c r="AP397" s="56"/>
      <c r="AQ397" s="56"/>
      <c r="AR397" s="56"/>
      <c r="AS397" s="56"/>
      <c r="AT397" s="56"/>
      <c r="AU397" s="56"/>
      <c r="AV397" s="56"/>
      <c r="AW397" s="172"/>
      <c r="AX397" s="56"/>
      <c r="AY397" s="56"/>
      <c r="AZ397" s="56"/>
      <c r="BA397" s="172"/>
      <c r="BB397" s="56"/>
      <c r="BC397" s="10"/>
      <c r="BD397" s="56"/>
      <c r="BE397" s="56"/>
      <c r="BF397" s="56"/>
      <c r="BG397" s="56"/>
      <c r="BO397" s="145"/>
      <c r="CI397" s="145"/>
      <c r="CY397" s="145"/>
    </row>
    <row r="398" spans="1:103" s="97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65"/>
      <c r="M398" s="10"/>
      <c r="N398" s="56"/>
      <c r="O398" s="56"/>
      <c r="P398" s="162"/>
      <c r="Q398" s="178"/>
      <c r="R398" s="168"/>
      <c r="S398" s="56"/>
      <c r="T398" s="56"/>
      <c r="U398" s="56"/>
      <c r="V398" s="162"/>
      <c r="W398" s="178"/>
      <c r="X398" s="172"/>
      <c r="Y398" s="10"/>
      <c r="Z398" s="56"/>
      <c r="AA398" s="56"/>
      <c r="AB398" s="56"/>
      <c r="AC398" s="56"/>
      <c r="AD398" s="56"/>
      <c r="AE398" s="174"/>
      <c r="AF398" s="56"/>
      <c r="AG398" s="56"/>
      <c r="AH398" s="172"/>
      <c r="AI398" s="56"/>
      <c r="AJ398" s="56"/>
      <c r="AK398" s="56"/>
      <c r="AL398" s="56"/>
      <c r="AM398" s="56"/>
      <c r="AN398" s="56"/>
      <c r="AO398" s="172"/>
      <c r="AP398" s="56"/>
      <c r="AQ398" s="56"/>
      <c r="AR398" s="56"/>
      <c r="AS398" s="56"/>
      <c r="AT398" s="56"/>
      <c r="AU398" s="56"/>
      <c r="AV398" s="56"/>
      <c r="AW398" s="172"/>
      <c r="AX398" s="56"/>
      <c r="AY398" s="56"/>
      <c r="AZ398" s="56"/>
      <c r="BA398" s="172"/>
      <c r="BB398" s="56"/>
      <c r="BC398" s="10"/>
      <c r="BD398" s="56"/>
      <c r="BE398" s="56"/>
      <c r="BF398" s="56"/>
      <c r="BG398" s="56"/>
      <c r="BO398" s="145"/>
      <c r="CI398" s="145"/>
      <c r="CY398" s="145"/>
    </row>
    <row r="399" spans="1:103" s="97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65"/>
      <c r="M399" s="10"/>
      <c r="N399" s="56"/>
      <c r="O399" s="56"/>
      <c r="P399" s="162"/>
      <c r="Q399" s="178"/>
      <c r="R399" s="168"/>
      <c r="S399" s="56"/>
      <c r="T399" s="56"/>
      <c r="U399" s="56"/>
      <c r="V399" s="162"/>
      <c r="W399" s="178"/>
      <c r="X399" s="172"/>
      <c r="Y399" s="10"/>
      <c r="Z399" s="56"/>
      <c r="AA399" s="56"/>
      <c r="AB399" s="56"/>
      <c r="AC399" s="56"/>
      <c r="AD399" s="56"/>
      <c r="AE399" s="174"/>
      <c r="AF399" s="56"/>
      <c r="AG399" s="56"/>
      <c r="AH399" s="172"/>
      <c r="AI399" s="56"/>
      <c r="AJ399" s="56"/>
      <c r="AK399" s="56"/>
      <c r="AL399" s="56"/>
      <c r="AM399" s="56"/>
      <c r="AN399" s="56"/>
      <c r="AO399" s="172"/>
      <c r="AP399" s="56"/>
      <c r="AQ399" s="56"/>
      <c r="AR399" s="56"/>
      <c r="AS399" s="56"/>
      <c r="AT399" s="56"/>
      <c r="AU399" s="56"/>
      <c r="AV399" s="56"/>
      <c r="AW399" s="172"/>
      <c r="AX399" s="56"/>
      <c r="AY399" s="56"/>
      <c r="AZ399" s="56"/>
      <c r="BA399" s="172"/>
      <c r="BB399" s="56"/>
      <c r="BC399" s="10"/>
      <c r="BD399" s="56"/>
      <c r="BE399" s="56"/>
      <c r="BF399" s="56"/>
      <c r="BG399" s="56"/>
      <c r="BO399" s="145"/>
      <c r="CI399" s="145"/>
      <c r="CY399" s="145"/>
    </row>
    <row r="400" spans="1:103" s="97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65"/>
      <c r="M400" s="10"/>
      <c r="N400" s="56"/>
      <c r="O400" s="56"/>
      <c r="P400" s="162"/>
      <c r="Q400" s="178"/>
      <c r="R400" s="168"/>
      <c r="S400" s="56"/>
      <c r="T400" s="56"/>
      <c r="U400" s="56"/>
      <c r="V400" s="162"/>
      <c r="W400" s="178"/>
      <c r="X400" s="172"/>
      <c r="Y400" s="10"/>
      <c r="Z400" s="56"/>
      <c r="AA400" s="56"/>
      <c r="AB400" s="56"/>
      <c r="AC400" s="56"/>
      <c r="AD400" s="56"/>
      <c r="AE400" s="174"/>
      <c r="AF400" s="56"/>
      <c r="AG400" s="56"/>
      <c r="AH400" s="172"/>
      <c r="AI400" s="56"/>
      <c r="AJ400" s="56"/>
      <c r="AK400" s="56"/>
      <c r="AL400" s="56"/>
      <c r="AM400" s="56"/>
      <c r="AN400" s="56"/>
      <c r="AO400" s="172"/>
      <c r="AP400" s="56"/>
      <c r="AQ400" s="56"/>
      <c r="AR400" s="56"/>
      <c r="AS400" s="56"/>
      <c r="AT400" s="56"/>
      <c r="AU400" s="56"/>
      <c r="AV400" s="56"/>
      <c r="AW400" s="172"/>
      <c r="AX400" s="56"/>
      <c r="AY400" s="56"/>
      <c r="AZ400" s="56"/>
      <c r="BA400" s="172"/>
      <c r="BB400" s="56"/>
      <c r="BC400" s="10"/>
      <c r="BD400" s="56"/>
      <c r="BE400" s="56"/>
      <c r="BF400" s="56"/>
      <c r="BG400" s="56"/>
      <c r="BO400" s="145"/>
      <c r="CI400" s="145"/>
      <c r="CY400" s="145"/>
    </row>
    <row r="401" spans="1:103" s="97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65"/>
      <c r="M401" s="10"/>
      <c r="N401" s="56"/>
      <c r="O401" s="56"/>
      <c r="P401" s="162"/>
      <c r="Q401" s="178"/>
      <c r="R401" s="168"/>
      <c r="S401" s="56"/>
      <c r="T401" s="56"/>
      <c r="U401" s="56"/>
      <c r="V401" s="162"/>
      <c r="W401" s="178"/>
      <c r="X401" s="172"/>
      <c r="Y401" s="10"/>
      <c r="Z401" s="56"/>
      <c r="AA401" s="56"/>
      <c r="AB401" s="56"/>
      <c r="AC401" s="56"/>
      <c r="AD401" s="56"/>
      <c r="AE401" s="174"/>
      <c r="AF401" s="56"/>
      <c r="AG401" s="56"/>
      <c r="AH401" s="172"/>
      <c r="AI401" s="56"/>
      <c r="AJ401" s="56"/>
      <c r="AK401" s="56"/>
      <c r="AL401" s="56"/>
      <c r="AM401" s="56"/>
      <c r="AN401" s="56"/>
      <c r="AO401" s="172"/>
      <c r="AP401" s="56"/>
      <c r="AQ401" s="56"/>
      <c r="AR401" s="56"/>
      <c r="AS401" s="56"/>
      <c r="AT401" s="56"/>
      <c r="AU401" s="56"/>
      <c r="AV401" s="56"/>
      <c r="AW401" s="172"/>
      <c r="AX401" s="56"/>
      <c r="AY401" s="56"/>
      <c r="AZ401" s="56"/>
      <c r="BA401" s="172"/>
      <c r="BB401" s="56"/>
      <c r="BC401" s="10"/>
      <c r="BD401" s="56"/>
      <c r="BE401" s="56"/>
      <c r="BF401" s="56"/>
      <c r="BG401" s="56"/>
      <c r="BO401" s="145"/>
      <c r="CI401" s="145"/>
      <c r="CY401" s="145"/>
    </row>
    <row r="402" spans="1:103" s="97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65"/>
      <c r="M402" s="10"/>
      <c r="N402" s="56"/>
      <c r="O402" s="56"/>
      <c r="P402" s="162"/>
      <c r="Q402" s="178"/>
      <c r="R402" s="168"/>
      <c r="S402" s="56"/>
      <c r="T402" s="56"/>
      <c r="U402" s="56"/>
      <c r="V402" s="162"/>
      <c r="W402" s="178"/>
      <c r="X402" s="172"/>
      <c r="Y402" s="10"/>
      <c r="Z402" s="56"/>
      <c r="AA402" s="56"/>
      <c r="AB402" s="56"/>
      <c r="AC402" s="56"/>
      <c r="AD402" s="56"/>
      <c r="AE402" s="174"/>
      <c r="AF402" s="56"/>
      <c r="AG402" s="56"/>
      <c r="AH402" s="172"/>
      <c r="AI402" s="56"/>
      <c r="AJ402" s="56"/>
      <c r="AK402" s="56"/>
      <c r="AL402" s="56"/>
      <c r="AM402" s="56"/>
      <c r="AN402" s="56"/>
      <c r="AO402" s="172"/>
      <c r="AP402" s="56"/>
      <c r="AQ402" s="56"/>
      <c r="AR402" s="56"/>
      <c r="AS402" s="56"/>
      <c r="AT402" s="56"/>
      <c r="AU402" s="56"/>
      <c r="AV402" s="56"/>
      <c r="AW402" s="172"/>
      <c r="AX402" s="56"/>
      <c r="AY402" s="56"/>
      <c r="AZ402" s="56"/>
      <c r="BA402" s="172"/>
      <c r="BB402" s="56"/>
      <c r="BC402" s="10"/>
      <c r="BD402" s="56"/>
      <c r="BE402" s="56"/>
      <c r="BF402" s="56"/>
      <c r="BG402" s="56"/>
      <c r="BO402" s="145"/>
      <c r="CI402" s="145"/>
      <c r="CY402" s="145"/>
    </row>
    <row r="403" spans="1:103" s="97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65"/>
      <c r="M403" s="10"/>
      <c r="N403" s="56"/>
      <c r="O403" s="56"/>
      <c r="P403" s="162"/>
      <c r="Q403" s="178"/>
      <c r="R403" s="168"/>
      <c r="S403" s="56"/>
      <c r="T403" s="56"/>
      <c r="U403" s="56"/>
      <c r="V403" s="162"/>
      <c r="W403" s="178"/>
      <c r="X403" s="172"/>
      <c r="Y403" s="10"/>
      <c r="Z403" s="56"/>
      <c r="AA403" s="56"/>
      <c r="AB403" s="56"/>
      <c r="AC403" s="56"/>
      <c r="AD403" s="56"/>
      <c r="AE403" s="174"/>
      <c r="AF403" s="56"/>
      <c r="AG403" s="56"/>
      <c r="AH403" s="172"/>
      <c r="AI403" s="56"/>
      <c r="AJ403" s="56"/>
      <c r="AK403" s="56"/>
      <c r="AL403" s="56"/>
      <c r="AM403" s="56"/>
      <c r="AN403" s="56"/>
      <c r="AO403" s="172"/>
      <c r="AP403" s="56"/>
      <c r="AQ403" s="56"/>
      <c r="AR403" s="56"/>
      <c r="AS403" s="56"/>
      <c r="AT403" s="56"/>
      <c r="AU403" s="56"/>
      <c r="AV403" s="56"/>
      <c r="AW403" s="172"/>
      <c r="AX403" s="56"/>
      <c r="AY403" s="56"/>
      <c r="AZ403" s="56"/>
      <c r="BA403" s="172"/>
      <c r="BB403" s="56"/>
      <c r="BC403" s="10"/>
      <c r="BD403" s="56"/>
      <c r="BE403" s="56"/>
      <c r="BF403" s="56"/>
      <c r="BG403" s="56"/>
      <c r="BO403" s="145"/>
      <c r="CI403" s="145"/>
      <c r="CY403" s="145"/>
    </row>
    <row r="404" spans="1:103" s="97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65"/>
      <c r="M404" s="10"/>
      <c r="N404" s="56"/>
      <c r="O404" s="56"/>
      <c r="P404" s="162"/>
      <c r="Q404" s="178"/>
      <c r="R404" s="168"/>
      <c r="S404" s="56"/>
      <c r="T404" s="56"/>
      <c r="U404" s="56"/>
      <c r="V404" s="162"/>
      <c r="W404" s="178"/>
      <c r="X404" s="172"/>
      <c r="Y404" s="10"/>
      <c r="Z404" s="56"/>
      <c r="AA404" s="56"/>
      <c r="AB404" s="56"/>
      <c r="AC404" s="56"/>
      <c r="AD404" s="56"/>
      <c r="AE404" s="174"/>
      <c r="AF404" s="56"/>
      <c r="AG404" s="56"/>
      <c r="AH404" s="172"/>
      <c r="AI404" s="56"/>
      <c r="AJ404" s="56"/>
      <c r="AK404" s="56"/>
      <c r="AL404" s="56"/>
      <c r="AM404" s="56"/>
      <c r="AN404" s="56"/>
      <c r="AO404" s="172"/>
      <c r="AP404" s="56"/>
      <c r="AQ404" s="56"/>
      <c r="AR404" s="56"/>
      <c r="AS404" s="56"/>
      <c r="AT404" s="56"/>
      <c r="AU404" s="56"/>
      <c r="AV404" s="56"/>
      <c r="AW404" s="172"/>
      <c r="AX404" s="56"/>
      <c r="AY404" s="56"/>
      <c r="AZ404" s="56"/>
      <c r="BA404" s="172"/>
      <c r="BB404" s="56"/>
      <c r="BC404" s="10"/>
      <c r="BD404" s="56"/>
      <c r="BE404" s="56"/>
      <c r="BF404" s="56"/>
      <c r="BG404" s="56"/>
      <c r="BO404" s="145"/>
      <c r="CI404" s="145"/>
      <c r="CY404" s="145"/>
    </row>
    <row r="405" spans="1:103" s="97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65"/>
      <c r="M405" s="10"/>
      <c r="N405" s="56"/>
      <c r="O405" s="56"/>
      <c r="P405" s="162"/>
      <c r="Q405" s="178"/>
      <c r="R405" s="168"/>
      <c r="S405" s="56"/>
      <c r="T405" s="56"/>
      <c r="U405" s="56"/>
      <c r="V405" s="162"/>
      <c r="W405" s="178"/>
      <c r="X405" s="172"/>
      <c r="Y405" s="10"/>
      <c r="Z405" s="56"/>
      <c r="AA405" s="56"/>
      <c r="AB405" s="56"/>
      <c r="AC405" s="56"/>
      <c r="AD405" s="56"/>
      <c r="AE405" s="174"/>
      <c r="AF405" s="56"/>
      <c r="AG405" s="56"/>
      <c r="AH405" s="172"/>
      <c r="AI405" s="56"/>
      <c r="AJ405" s="56"/>
      <c r="AK405" s="56"/>
      <c r="AL405" s="56"/>
      <c r="AM405" s="56"/>
      <c r="AN405" s="56"/>
      <c r="AO405" s="172"/>
      <c r="AP405" s="56"/>
      <c r="AQ405" s="56"/>
      <c r="AR405" s="56"/>
      <c r="AS405" s="56"/>
      <c r="AT405" s="56"/>
      <c r="AU405" s="56"/>
      <c r="AV405" s="56"/>
      <c r="AW405" s="172"/>
      <c r="AX405" s="56"/>
      <c r="AY405" s="56"/>
      <c r="AZ405" s="56"/>
      <c r="BA405" s="172"/>
      <c r="BB405" s="56"/>
      <c r="BC405" s="10"/>
      <c r="BD405" s="56"/>
      <c r="BE405" s="56"/>
      <c r="BF405" s="56"/>
      <c r="BG405" s="56"/>
      <c r="BO405" s="145"/>
      <c r="CI405" s="145"/>
      <c r="CY405" s="145"/>
    </row>
    <row r="406" spans="1:103" s="97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65"/>
      <c r="M406" s="10"/>
      <c r="N406" s="56"/>
      <c r="O406" s="56"/>
      <c r="P406" s="162"/>
      <c r="Q406" s="178"/>
      <c r="R406" s="168"/>
      <c r="S406" s="56"/>
      <c r="T406" s="56"/>
      <c r="U406" s="56"/>
      <c r="V406" s="162"/>
      <c r="W406" s="178"/>
      <c r="X406" s="172"/>
      <c r="Y406" s="10"/>
      <c r="Z406" s="56"/>
      <c r="AA406" s="56"/>
      <c r="AB406" s="56"/>
      <c r="AC406" s="56"/>
      <c r="AD406" s="56"/>
      <c r="AE406" s="174"/>
      <c r="AF406" s="56"/>
      <c r="AG406" s="56"/>
      <c r="AH406" s="172"/>
      <c r="AI406" s="56"/>
      <c r="AJ406" s="56"/>
      <c r="AK406" s="56"/>
      <c r="AL406" s="56"/>
      <c r="AM406" s="56"/>
      <c r="AN406" s="56"/>
      <c r="AO406" s="172"/>
      <c r="AP406" s="56"/>
      <c r="AQ406" s="56"/>
      <c r="AR406" s="56"/>
      <c r="AS406" s="56"/>
      <c r="AT406" s="56"/>
      <c r="AU406" s="56"/>
      <c r="AV406" s="56"/>
      <c r="AW406" s="172"/>
      <c r="AX406" s="56"/>
      <c r="AY406" s="56"/>
      <c r="AZ406" s="56"/>
      <c r="BA406" s="172"/>
      <c r="BB406" s="56"/>
      <c r="BC406" s="10"/>
      <c r="BD406" s="56"/>
      <c r="BE406" s="56"/>
      <c r="BF406" s="56"/>
      <c r="BG406" s="56"/>
      <c r="BO406" s="145"/>
      <c r="CI406" s="145"/>
      <c r="CY406" s="145"/>
    </row>
    <row r="407" spans="1:103" s="97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65"/>
      <c r="M407" s="10"/>
      <c r="N407" s="56"/>
      <c r="O407" s="56"/>
      <c r="P407" s="162"/>
      <c r="Q407" s="178"/>
      <c r="R407" s="168"/>
      <c r="S407" s="56"/>
      <c r="T407" s="56"/>
      <c r="U407" s="56"/>
      <c r="V407" s="162"/>
      <c r="W407" s="178"/>
      <c r="X407" s="172"/>
      <c r="Y407" s="10"/>
      <c r="Z407" s="56"/>
      <c r="AA407" s="56"/>
      <c r="AB407" s="56"/>
      <c r="AC407" s="56"/>
      <c r="AD407" s="56"/>
      <c r="AE407" s="174"/>
      <c r="AF407" s="56"/>
      <c r="AG407" s="56"/>
      <c r="AH407" s="172"/>
      <c r="AI407" s="56"/>
      <c r="AJ407" s="56"/>
      <c r="AK407" s="56"/>
      <c r="AL407" s="56"/>
      <c r="AM407" s="56"/>
      <c r="AN407" s="56"/>
      <c r="AO407" s="172"/>
      <c r="AP407" s="56"/>
      <c r="AQ407" s="56"/>
      <c r="AR407" s="56"/>
      <c r="AS407" s="56"/>
      <c r="AT407" s="56"/>
      <c r="AU407" s="56"/>
      <c r="AV407" s="56"/>
      <c r="AW407" s="172"/>
      <c r="AX407" s="56"/>
      <c r="AY407" s="56"/>
      <c r="AZ407" s="56"/>
      <c r="BA407" s="172"/>
      <c r="BB407" s="56"/>
      <c r="BC407" s="10"/>
      <c r="BD407" s="56"/>
      <c r="BE407" s="56"/>
      <c r="BF407" s="56"/>
      <c r="BG407" s="56"/>
      <c r="BO407" s="145"/>
      <c r="CI407" s="145"/>
      <c r="CY407" s="145"/>
    </row>
    <row r="408" spans="1:103" s="97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65"/>
      <c r="M408" s="10"/>
      <c r="N408" s="56"/>
      <c r="O408" s="56"/>
      <c r="P408" s="162"/>
      <c r="Q408" s="178"/>
      <c r="R408" s="168"/>
      <c r="S408" s="56"/>
      <c r="T408" s="56"/>
      <c r="U408" s="56"/>
      <c r="V408" s="162"/>
      <c r="W408" s="178"/>
      <c r="X408" s="172"/>
      <c r="Y408" s="10"/>
      <c r="Z408" s="56"/>
      <c r="AA408" s="56"/>
      <c r="AB408" s="56"/>
      <c r="AC408" s="56"/>
      <c r="AD408" s="56"/>
      <c r="AE408" s="174"/>
      <c r="AF408" s="56"/>
      <c r="AG408" s="56"/>
      <c r="AH408" s="172"/>
      <c r="AI408" s="56"/>
      <c r="AJ408" s="56"/>
      <c r="AK408" s="56"/>
      <c r="AL408" s="56"/>
      <c r="AM408" s="56"/>
      <c r="AN408" s="56"/>
      <c r="AO408" s="172"/>
      <c r="AP408" s="56"/>
      <c r="AQ408" s="56"/>
      <c r="AR408" s="56"/>
      <c r="AS408" s="56"/>
      <c r="AT408" s="56"/>
      <c r="AU408" s="56"/>
      <c r="AV408" s="56"/>
      <c r="AW408" s="172"/>
      <c r="AX408" s="56"/>
      <c r="AY408" s="56"/>
      <c r="AZ408" s="56"/>
      <c r="BA408" s="172"/>
      <c r="BB408" s="56"/>
      <c r="BC408" s="10"/>
      <c r="BD408" s="56"/>
      <c r="BE408" s="56"/>
      <c r="BF408" s="56"/>
      <c r="BG408" s="56"/>
      <c r="BO408" s="145"/>
      <c r="CI408" s="145"/>
      <c r="CY408" s="145"/>
    </row>
    <row r="409" spans="1:103" s="97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65"/>
      <c r="M409" s="10"/>
      <c r="N409" s="56"/>
      <c r="O409" s="56"/>
      <c r="P409" s="162"/>
      <c r="Q409" s="178"/>
      <c r="R409" s="168"/>
      <c r="S409" s="56"/>
      <c r="T409" s="56"/>
      <c r="U409" s="56"/>
      <c r="V409" s="162"/>
      <c r="W409" s="178"/>
      <c r="X409" s="172"/>
      <c r="Y409" s="10"/>
      <c r="Z409" s="56"/>
      <c r="AA409" s="56"/>
      <c r="AB409" s="56"/>
      <c r="AC409" s="56"/>
      <c r="AD409" s="56"/>
      <c r="AE409" s="174"/>
      <c r="AF409" s="56"/>
      <c r="AG409" s="56"/>
      <c r="AH409" s="172"/>
      <c r="AI409" s="56"/>
      <c r="AJ409" s="56"/>
      <c r="AK409" s="56"/>
      <c r="AL409" s="56"/>
      <c r="AM409" s="56"/>
      <c r="AN409" s="56"/>
      <c r="AO409" s="172"/>
      <c r="AP409" s="56"/>
      <c r="AQ409" s="56"/>
      <c r="AR409" s="56"/>
      <c r="AS409" s="56"/>
      <c r="AT409" s="56"/>
      <c r="AU409" s="56"/>
      <c r="AV409" s="56"/>
      <c r="AW409" s="172"/>
      <c r="AX409" s="56"/>
      <c r="AY409" s="56"/>
      <c r="AZ409" s="56"/>
      <c r="BA409" s="172"/>
      <c r="BB409" s="56"/>
      <c r="BC409" s="10"/>
      <c r="BD409" s="56"/>
      <c r="BE409" s="56"/>
      <c r="BF409" s="56"/>
      <c r="BG409" s="56"/>
      <c r="BO409" s="145"/>
      <c r="CI409" s="145"/>
      <c r="CY409" s="145"/>
    </row>
    <row r="410" spans="1:103" s="97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65"/>
      <c r="M410" s="10"/>
      <c r="N410" s="56"/>
      <c r="O410" s="56"/>
      <c r="P410" s="162"/>
      <c r="Q410" s="178"/>
      <c r="R410" s="168"/>
      <c r="S410" s="56"/>
      <c r="T410" s="56"/>
      <c r="U410" s="56"/>
      <c r="V410" s="162"/>
      <c r="W410" s="178"/>
      <c r="X410" s="172"/>
      <c r="Y410" s="10"/>
      <c r="Z410" s="56"/>
      <c r="AA410" s="56"/>
      <c r="AB410" s="56"/>
      <c r="AC410" s="56"/>
      <c r="AD410" s="56"/>
      <c r="AE410" s="174"/>
      <c r="AF410" s="56"/>
      <c r="AG410" s="56"/>
      <c r="AH410" s="172"/>
      <c r="AI410" s="56"/>
      <c r="AJ410" s="56"/>
      <c r="AK410" s="56"/>
      <c r="AL410" s="56"/>
      <c r="AM410" s="56"/>
      <c r="AN410" s="56"/>
      <c r="AO410" s="172"/>
      <c r="AP410" s="56"/>
      <c r="AQ410" s="56"/>
      <c r="AR410" s="56"/>
      <c r="AS410" s="56"/>
      <c r="AT410" s="56"/>
      <c r="AU410" s="56"/>
      <c r="AV410" s="56"/>
      <c r="AW410" s="172"/>
      <c r="AX410" s="56"/>
      <c r="AY410" s="56"/>
      <c r="AZ410" s="56"/>
      <c r="BA410" s="172"/>
      <c r="BB410" s="56"/>
      <c r="BC410" s="10"/>
      <c r="BD410" s="56"/>
      <c r="BE410" s="56"/>
      <c r="BF410" s="56"/>
      <c r="BG410" s="56"/>
      <c r="BO410" s="145"/>
      <c r="CI410" s="145"/>
      <c r="CY410" s="145"/>
    </row>
    <row r="411" spans="1:103" s="97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65"/>
      <c r="M411" s="10"/>
      <c r="N411" s="56"/>
      <c r="O411" s="56"/>
      <c r="P411" s="162"/>
      <c r="Q411" s="178"/>
      <c r="R411" s="168"/>
      <c r="S411" s="56"/>
      <c r="T411" s="56"/>
      <c r="U411" s="56"/>
      <c r="V411" s="162"/>
      <c r="W411" s="178"/>
      <c r="X411" s="172"/>
      <c r="Y411" s="10"/>
      <c r="Z411" s="56"/>
      <c r="AA411" s="56"/>
      <c r="AB411" s="56"/>
      <c r="AC411" s="56"/>
      <c r="AD411" s="56"/>
      <c r="AE411" s="174"/>
      <c r="AF411" s="56"/>
      <c r="AG411" s="56"/>
      <c r="AH411" s="172"/>
      <c r="AI411" s="56"/>
      <c r="AJ411" s="56"/>
      <c r="AK411" s="56"/>
      <c r="AL411" s="56"/>
      <c r="AM411" s="56"/>
      <c r="AN411" s="56"/>
      <c r="AO411" s="172"/>
      <c r="AP411" s="56"/>
      <c r="AQ411" s="56"/>
      <c r="AR411" s="56"/>
      <c r="AS411" s="56"/>
      <c r="AT411" s="56"/>
      <c r="AU411" s="56"/>
      <c r="AV411" s="56"/>
      <c r="AW411" s="172"/>
      <c r="AX411" s="56"/>
      <c r="AY411" s="56"/>
      <c r="AZ411" s="56"/>
      <c r="BA411" s="172"/>
      <c r="BB411" s="56"/>
      <c r="BC411" s="10"/>
      <c r="BD411" s="56"/>
      <c r="BE411" s="56"/>
      <c r="BF411" s="56"/>
      <c r="BG411" s="56"/>
      <c r="BO411" s="145"/>
      <c r="CI411" s="145"/>
      <c r="CY411" s="145"/>
    </row>
    <row r="412" spans="1:103" s="97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65"/>
      <c r="M412" s="10"/>
      <c r="N412" s="56"/>
      <c r="O412" s="56"/>
      <c r="P412" s="162"/>
      <c r="Q412" s="178"/>
      <c r="R412" s="168"/>
      <c r="S412" s="56"/>
      <c r="T412" s="56"/>
      <c r="U412" s="56"/>
      <c r="V412" s="162"/>
      <c r="W412" s="178"/>
      <c r="X412" s="172"/>
      <c r="Y412" s="10"/>
      <c r="Z412" s="56"/>
      <c r="AA412" s="56"/>
      <c r="AB412" s="56"/>
      <c r="AC412" s="56"/>
      <c r="AD412" s="56"/>
      <c r="AE412" s="174"/>
      <c r="AF412" s="56"/>
      <c r="AG412" s="56"/>
      <c r="AH412" s="172"/>
      <c r="AI412" s="56"/>
      <c r="AJ412" s="56"/>
      <c r="AK412" s="56"/>
      <c r="AL412" s="56"/>
      <c r="AM412" s="56"/>
      <c r="AN412" s="56"/>
      <c r="AO412" s="172"/>
      <c r="AP412" s="56"/>
      <c r="AQ412" s="56"/>
      <c r="AR412" s="56"/>
      <c r="AS412" s="56"/>
      <c r="AT412" s="56"/>
      <c r="AU412" s="56"/>
      <c r="AV412" s="56"/>
      <c r="AW412" s="172"/>
      <c r="AX412" s="56"/>
      <c r="AY412" s="56"/>
      <c r="AZ412" s="56"/>
      <c r="BA412" s="172"/>
      <c r="BB412" s="56"/>
      <c r="BC412" s="10"/>
      <c r="BD412" s="56"/>
      <c r="BE412" s="56"/>
      <c r="BF412" s="56"/>
      <c r="BG412" s="56"/>
      <c r="BO412" s="145"/>
      <c r="CI412" s="145"/>
      <c r="CY412" s="145"/>
    </row>
    <row r="413" spans="1:103" s="97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65"/>
      <c r="M413" s="10"/>
      <c r="N413" s="56"/>
      <c r="O413" s="56"/>
      <c r="P413" s="162"/>
      <c r="Q413" s="178"/>
      <c r="R413" s="168"/>
      <c r="S413" s="56"/>
      <c r="T413" s="56"/>
      <c r="U413" s="56"/>
      <c r="V413" s="162"/>
      <c r="W413" s="178"/>
      <c r="X413" s="172"/>
      <c r="Y413" s="10"/>
      <c r="Z413" s="56"/>
      <c r="AA413" s="56"/>
      <c r="AB413" s="56"/>
      <c r="AC413" s="56"/>
      <c r="AD413" s="56"/>
      <c r="AE413" s="174"/>
      <c r="AF413" s="56"/>
      <c r="AG413" s="56"/>
      <c r="AH413" s="172"/>
      <c r="AI413" s="56"/>
      <c r="AJ413" s="56"/>
      <c r="AK413" s="56"/>
      <c r="AL413" s="56"/>
      <c r="AM413" s="56"/>
      <c r="AN413" s="56"/>
      <c r="AO413" s="172"/>
      <c r="AP413" s="56"/>
      <c r="AQ413" s="56"/>
      <c r="AR413" s="56"/>
      <c r="AS413" s="56"/>
      <c r="AT413" s="56"/>
      <c r="AU413" s="56"/>
      <c r="AV413" s="56"/>
      <c r="AW413" s="172"/>
      <c r="AX413" s="56"/>
      <c r="AY413" s="56"/>
      <c r="AZ413" s="56"/>
      <c r="BA413" s="172"/>
      <c r="BB413" s="56"/>
      <c r="BC413" s="10"/>
      <c r="BD413" s="56"/>
      <c r="BE413" s="56"/>
      <c r="BF413" s="56"/>
      <c r="BG413" s="56"/>
      <c r="BO413" s="145"/>
      <c r="CI413" s="145"/>
      <c r="CY413" s="145"/>
    </row>
    <row r="414" spans="1:103" s="97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65"/>
      <c r="M414" s="10"/>
      <c r="N414" s="56"/>
      <c r="O414" s="56"/>
      <c r="P414" s="162"/>
      <c r="Q414" s="178"/>
      <c r="R414" s="168"/>
      <c r="S414" s="56"/>
      <c r="T414" s="56"/>
      <c r="U414" s="56"/>
      <c r="V414" s="162"/>
      <c r="W414" s="178"/>
      <c r="X414" s="172"/>
      <c r="Y414" s="10"/>
      <c r="Z414" s="56"/>
      <c r="AA414" s="56"/>
      <c r="AB414" s="56"/>
      <c r="AC414" s="56"/>
      <c r="AD414" s="56"/>
      <c r="AE414" s="174"/>
      <c r="AF414" s="56"/>
      <c r="AG414" s="56"/>
      <c r="AH414" s="172"/>
      <c r="AI414" s="56"/>
      <c r="AJ414" s="56"/>
      <c r="AK414" s="56"/>
      <c r="AL414" s="56"/>
      <c r="AM414" s="56"/>
      <c r="AN414" s="56"/>
      <c r="AO414" s="172"/>
      <c r="AP414" s="56"/>
      <c r="AQ414" s="56"/>
      <c r="AR414" s="56"/>
      <c r="AS414" s="56"/>
      <c r="AT414" s="56"/>
      <c r="AU414" s="56"/>
      <c r="AV414" s="56"/>
      <c r="AW414" s="172"/>
      <c r="AX414" s="56"/>
      <c r="AY414" s="56"/>
      <c r="AZ414" s="56"/>
      <c r="BA414" s="172"/>
      <c r="BB414" s="56"/>
      <c r="BC414" s="10"/>
      <c r="BD414" s="56"/>
      <c r="BE414" s="56"/>
      <c r="BF414" s="56"/>
      <c r="BG414" s="56"/>
      <c r="BO414" s="145"/>
      <c r="CI414" s="145"/>
      <c r="CY414" s="145"/>
    </row>
    <row r="415" spans="1:103" s="97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65"/>
      <c r="M415" s="10"/>
      <c r="N415" s="56"/>
      <c r="O415" s="56"/>
      <c r="P415" s="162"/>
      <c r="Q415" s="178"/>
      <c r="R415" s="168"/>
      <c r="S415" s="56"/>
      <c r="T415" s="56"/>
      <c r="U415" s="56"/>
      <c r="V415" s="162"/>
      <c r="W415" s="178"/>
      <c r="X415" s="172"/>
      <c r="Y415" s="10"/>
      <c r="Z415" s="56"/>
      <c r="AA415" s="56"/>
      <c r="AB415" s="56"/>
      <c r="AC415" s="56"/>
      <c r="AD415" s="56"/>
      <c r="AE415" s="174"/>
      <c r="AF415" s="56"/>
      <c r="AG415" s="56"/>
      <c r="AH415" s="172"/>
      <c r="AI415" s="56"/>
      <c r="AJ415" s="56"/>
      <c r="AK415" s="56"/>
      <c r="AL415" s="56"/>
      <c r="AM415" s="56"/>
      <c r="AN415" s="56"/>
      <c r="AO415" s="172"/>
      <c r="AP415" s="56"/>
      <c r="AQ415" s="56"/>
      <c r="AR415" s="56"/>
      <c r="AS415" s="56"/>
      <c r="AT415" s="56"/>
      <c r="AU415" s="56"/>
      <c r="AV415" s="56"/>
      <c r="AW415" s="172"/>
      <c r="AX415" s="56"/>
      <c r="AY415" s="56"/>
      <c r="AZ415" s="56"/>
      <c r="BA415" s="172"/>
      <c r="BB415" s="56"/>
      <c r="BC415" s="10"/>
      <c r="BD415" s="56"/>
      <c r="BE415" s="56"/>
      <c r="BF415" s="56"/>
      <c r="BG415" s="56"/>
      <c r="BO415" s="145"/>
      <c r="CI415" s="145"/>
      <c r="CY415" s="145"/>
    </row>
    <row r="416" spans="1:103" s="97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65"/>
      <c r="M416" s="10"/>
      <c r="N416" s="56"/>
      <c r="O416" s="56"/>
      <c r="P416" s="162"/>
      <c r="Q416" s="178"/>
      <c r="R416" s="168"/>
      <c r="S416" s="56"/>
      <c r="T416" s="56"/>
      <c r="U416" s="56"/>
      <c r="V416" s="162"/>
      <c r="W416" s="178"/>
      <c r="X416" s="172"/>
      <c r="Y416" s="10"/>
      <c r="Z416" s="56"/>
      <c r="AA416" s="56"/>
      <c r="AB416" s="56"/>
      <c r="AC416" s="56"/>
      <c r="AD416" s="56"/>
      <c r="AE416" s="174"/>
      <c r="AF416" s="56"/>
      <c r="AG416" s="56"/>
      <c r="AH416" s="172"/>
      <c r="AI416" s="56"/>
      <c r="AJ416" s="56"/>
      <c r="AK416" s="56"/>
      <c r="AL416" s="56"/>
      <c r="AM416" s="56"/>
      <c r="AN416" s="56"/>
      <c r="AO416" s="172"/>
      <c r="AP416" s="56"/>
      <c r="AQ416" s="56"/>
      <c r="AR416" s="56"/>
      <c r="AS416" s="56"/>
      <c r="AT416" s="56"/>
      <c r="AU416" s="56"/>
      <c r="AV416" s="56"/>
      <c r="AW416" s="172"/>
      <c r="AX416" s="56"/>
      <c r="AY416" s="56"/>
      <c r="AZ416" s="56"/>
      <c r="BA416" s="172"/>
      <c r="BB416" s="56"/>
      <c r="BC416" s="10"/>
      <c r="BD416" s="56"/>
      <c r="BE416" s="56"/>
      <c r="BF416" s="56"/>
      <c r="BG416" s="56"/>
      <c r="BO416" s="145"/>
      <c r="CI416" s="145"/>
      <c r="CY416" s="145"/>
    </row>
    <row r="417" spans="1:103" s="97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65"/>
      <c r="M417" s="10"/>
      <c r="N417" s="56"/>
      <c r="O417" s="56"/>
      <c r="P417" s="162"/>
      <c r="Q417" s="178"/>
      <c r="R417" s="168"/>
      <c r="S417" s="56"/>
      <c r="T417" s="56"/>
      <c r="U417" s="56"/>
      <c r="V417" s="162"/>
      <c r="W417" s="178"/>
      <c r="X417" s="172"/>
      <c r="Y417" s="10"/>
      <c r="Z417" s="56"/>
      <c r="AA417" s="56"/>
      <c r="AB417" s="56"/>
      <c r="AC417" s="56"/>
      <c r="AD417" s="56"/>
      <c r="AE417" s="174"/>
      <c r="AF417" s="56"/>
      <c r="AG417" s="56"/>
      <c r="AH417" s="172"/>
      <c r="AI417" s="56"/>
      <c r="AJ417" s="56"/>
      <c r="AK417" s="56"/>
      <c r="AL417" s="56"/>
      <c r="AM417" s="56"/>
      <c r="AN417" s="56"/>
      <c r="AO417" s="172"/>
      <c r="AP417" s="56"/>
      <c r="AQ417" s="56"/>
      <c r="AR417" s="56"/>
      <c r="AS417" s="56"/>
      <c r="AT417" s="56"/>
      <c r="AU417" s="56"/>
      <c r="AV417" s="56"/>
      <c r="AW417" s="172"/>
      <c r="AX417" s="56"/>
      <c r="AY417" s="56"/>
      <c r="AZ417" s="56"/>
      <c r="BA417" s="172"/>
      <c r="BB417" s="56"/>
      <c r="BC417" s="10"/>
      <c r="BD417" s="56"/>
      <c r="BE417" s="56"/>
      <c r="BF417" s="56"/>
      <c r="BG417" s="56"/>
      <c r="BO417" s="145"/>
      <c r="CI417" s="145"/>
      <c r="CY417" s="145"/>
    </row>
    <row r="418" spans="1:103" s="97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65"/>
      <c r="M418" s="10"/>
      <c r="N418" s="56"/>
      <c r="O418" s="56"/>
      <c r="P418" s="162"/>
      <c r="Q418" s="178"/>
      <c r="R418" s="168"/>
      <c r="S418" s="56"/>
      <c r="T418" s="56"/>
      <c r="U418" s="56"/>
      <c r="V418" s="162"/>
      <c r="W418" s="178"/>
      <c r="X418" s="172"/>
      <c r="Y418" s="10"/>
      <c r="Z418" s="56"/>
      <c r="AA418" s="56"/>
      <c r="AB418" s="56"/>
      <c r="AC418" s="56"/>
      <c r="AD418" s="56"/>
      <c r="AE418" s="174"/>
      <c r="AF418" s="56"/>
      <c r="AG418" s="56"/>
      <c r="AH418" s="172"/>
      <c r="AI418" s="56"/>
      <c r="AJ418" s="56"/>
      <c r="AK418" s="56"/>
      <c r="AL418" s="56"/>
      <c r="AM418" s="56"/>
      <c r="AN418" s="56"/>
      <c r="AO418" s="172"/>
      <c r="AP418" s="56"/>
      <c r="AQ418" s="56"/>
      <c r="AR418" s="56"/>
      <c r="AS418" s="56"/>
      <c r="AT418" s="56"/>
      <c r="AU418" s="56"/>
      <c r="AV418" s="56"/>
      <c r="AW418" s="172"/>
      <c r="AX418" s="56"/>
      <c r="AY418" s="56"/>
      <c r="AZ418" s="56"/>
      <c r="BA418" s="172"/>
      <c r="BB418" s="56"/>
      <c r="BC418" s="10"/>
      <c r="BD418" s="56"/>
      <c r="BE418" s="56"/>
      <c r="BF418" s="56"/>
      <c r="BG418" s="56"/>
      <c r="BO418" s="145"/>
      <c r="CI418" s="145"/>
      <c r="CY418" s="145"/>
    </row>
    <row r="419" spans="1:103" s="97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65"/>
      <c r="M419" s="10"/>
      <c r="N419" s="56"/>
      <c r="O419" s="56"/>
      <c r="P419" s="162"/>
      <c r="Q419" s="178"/>
      <c r="R419" s="168"/>
      <c r="S419" s="56"/>
      <c r="T419" s="56"/>
      <c r="U419" s="56"/>
      <c r="V419" s="162"/>
      <c r="W419" s="178"/>
      <c r="X419" s="172"/>
      <c r="Y419" s="10"/>
      <c r="Z419" s="56"/>
      <c r="AA419" s="56"/>
      <c r="AB419" s="56"/>
      <c r="AC419" s="56"/>
      <c r="AD419" s="56"/>
      <c r="AE419" s="174"/>
      <c r="AF419" s="56"/>
      <c r="AG419" s="56"/>
      <c r="AH419" s="172"/>
      <c r="AI419" s="56"/>
      <c r="AJ419" s="56"/>
      <c r="AK419" s="56"/>
      <c r="AL419" s="56"/>
      <c r="AM419" s="56"/>
      <c r="AN419" s="56"/>
      <c r="AO419" s="172"/>
      <c r="AP419" s="56"/>
      <c r="AQ419" s="56"/>
      <c r="AR419" s="56"/>
      <c r="AS419" s="56"/>
      <c r="AT419" s="56"/>
      <c r="AU419" s="56"/>
      <c r="AV419" s="56"/>
      <c r="AW419" s="172"/>
      <c r="AX419" s="56"/>
      <c r="AY419" s="56"/>
      <c r="AZ419" s="56"/>
      <c r="BA419" s="172"/>
      <c r="BB419" s="56"/>
      <c r="BC419" s="10"/>
      <c r="BD419" s="56"/>
      <c r="BE419" s="56"/>
      <c r="BF419" s="56"/>
      <c r="BG419" s="56"/>
      <c r="BO419" s="145"/>
      <c r="CI419" s="145"/>
      <c r="CY419" s="145"/>
    </row>
    <row r="420" spans="1:103" s="97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65"/>
      <c r="M420" s="10"/>
      <c r="N420" s="56"/>
      <c r="O420" s="56"/>
      <c r="P420" s="162"/>
      <c r="Q420" s="178"/>
      <c r="R420" s="168"/>
      <c r="S420" s="56"/>
      <c r="T420" s="56"/>
      <c r="U420" s="56"/>
      <c r="V420" s="162"/>
      <c r="W420" s="178"/>
      <c r="X420" s="172"/>
      <c r="Y420" s="10"/>
      <c r="Z420" s="56"/>
      <c r="AA420" s="56"/>
      <c r="AB420" s="56"/>
      <c r="AC420" s="56"/>
      <c r="AD420" s="56"/>
      <c r="AE420" s="174"/>
      <c r="AF420" s="56"/>
      <c r="AG420" s="56"/>
      <c r="AH420" s="172"/>
      <c r="AI420" s="56"/>
      <c r="AJ420" s="56"/>
      <c r="AK420" s="56"/>
      <c r="AL420" s="56"/>
      <c r="AM420" s="56"/>
      <c r="AN420" s="56"/>
      <c r="AO420" s="172"/>
      <c r="AP420" s="56"/>
      <c r="AQ420" s="56"/>
      <c r="AR420" s="56"/>
      <c r="AS420" s="56"/>
      <c r="AT420" s="56"/>
      <c r="AU420" s="56"/>
      <c r="AV420" s="56"/>
      <c r="AW420" s="172"/>
      <c r="AX420" s="56"/>
      <c r="AY420" s="56"/>
      <c r="AZ420" s="56"/>
      <c r="BA420" s="172"/>
      <c r="BB420" s="56"/>
      <c r="BC420" s="10"/>
      <c r="BD420" s="56"/>
      <c r="BE420" s="56"/>
      <c r="BF420" s="56"/>
      <c r="BG420" s="56"/>
      <c r="BO420" s="145"/>
      <c r="CI420" s="145"/>
      <c r="CY420" s="145"/>
    </row>
    <row r="421" spans="1:103" s="97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65"/>
      <c r="M421" s="10"/>
      <c r="N421" s="56"/>
      <c r="O421" s="56"/>
      <c r="P421" s="162"/>
      <c r="Q421" s="178"/>
      <c r="R421" s="168"/>
      <c r="S421" s="56"/>
      <c r="T421" s="56"/>
      <c r="U421" s="56"/>
      <c r="V421" s="162"/>
      <c r="W421" s="178"/>
      <c r="X421" s="172"/>
      <c r="Y421" s="10"/>
      <c r="Z421" s="56"/>
      <c r="AA421" s="56"/>
      <c r="AB421" s="56"/>
      <c r="AC421" s="56"/>
      <c r="AD421" s="56"/>
      <c r="AE421" s="174"/>
      <c r="AF421" s="56"/>
      <c r="AG421" s="56"/>
      <c r="AH421" s="172"/>
      <c r="AI421" s="56"/>
      <c r="AJ421" s="56"/>
      <c r="AK421" s="56"/>
      <c r="AL421" s="56"/>
      <c r="AM421" s="56"/>
      <c r="AN421" s="56"/>
      <c r="AO421" s="172"/>
      <c r="AP421" s="56"/>
      <c r="AQ421" s="56"/>
      <c r="AR421" s="56"/>
      <c r="AS421" s="56"/>
      <c r="AT421" s="56"/>
      <c r="AU421" s="56"/>
      <c r="AV421" s="56"/>
      <c r="AW421" s="172"/>
      <c r="AX421" s="56"/>
      <c r="AY421" s="56"/>
      <c r="AZ421" s="56"/>
      <c r="BA421" s="172"/>
      <c r="BB421" s="56"/>
      <c r="BC421" s="10"/>
      <c r="BD421" s="56"/>
      <c r="BE421" s="56"/>
      <c r="BF421" s="56"/>
      <c r="BG421" s="56"/>
      <c r="BO421" s="145"/>
      <c r="CI421" s="145"/>
      <c r="CY421" s="145"/>
    </row>
    <row r="422" spans="1:103" s="97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65"/>
      <c r="M422" s="10"/>
      <c r="N422" s="56"/>
      <c r="O422" s="56"/>
      <c r="P422" s="162"/>
      <c r="Q422" s="178"/>
      <c r="R422" s="168"/>
      <c r="S422" s="56"/>
      <c r="T422" s="56"/>
      <c r="U422" s="56"/>
      <c r="V422" s="162"/>
      <c r="W422" s="178"/>
      <c r="X422" s="172"/>
      <c r="Y422" s="10"/>
      <c r="Z422" s="56"/>
      <c r="AA422" s="56"/>
      <c r="AB422" s="56"/>
      <c r="AC422" s="56"/>
      <c r="AD422" s="56"/>
      <c r="AE422" s="174"/>
      <c r="AF422" s="56"/>
      <c r="AG422" s="56"/>
      <c r="AH422" s="172"/>
      <c r="AI422" s="56"/>
      <c r="AJ422" s="56"/>
      <c r="AK422" s="56"/>
      <c r="AL422" s="56"/>
      <c r="AM422" s="56"/>
      <c r="AN422" s="56"/>
      <c r="AO422" s="172"/>
      <c r="AP422" s="56"/>
      <c r="AQ422" s="56"/>
      <c r="AR422" s="56"/>
      <c r="AS422" s="56"/>
      <c r="AT422" s="56"/>
      <c r="AU422" s="56"/>
      <c r="AV422" s="56"/>
      <c r="AW422" s="172"/>
      <c r="AX422" s="56"/>
      <c r="AY422" s="56"/>
      <c r="AZ422" s="56"/>
      <c r="BA422" s="172"/>
      <c r="BB422" s="56"/>
      <c r="BC422" s="10"/>
      <c r="BD422" s="56"/>
      <c r="BE422" s="56"/>
      <c r="BF422" s="56"/>
      <c r="BG422" s="56"/>
      <c r="BO422" s="145"/>
      <c r="CI422" s="145"/>
      <c r="CY422" s="145"/>
    </row>
    <row r="423" spans="1:103" s="97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65"/>
      <c r="M423" s="10"/>
      <c r="N423" s="56"/>
      <c r="O423" s="56"/>
      <c r="P423" s="162"/>
      <c r="Q423" s="178"/>
      <c r="R423" s="168"/>
      <c r="S423" s="56"/>
      <c r="T423" s="56"/>
      <c r="U423" s="56"/>
      <c r="V423" s="162"/>
      <c r="W423" s="178"/>
      <c r="X423" s="172"/>
      <c r="Y423" s="10"/>
      <c r="Z423" s="56"/>
      <c r="AA423" s="56"/>
      <c r="AB423" s="56"/>
      <c r="AC423" s="56"/>
      <c r="AD423" s="56"/>
      <c r="AE423" s="174"/>
      <c r="AF423" s="56"/>
      <c r="AG423" s="56"/>
      <c r="AH423" s="172"/>
      <c r="AI423" s="56"/>
      <c r="AJ423" s="56"/>
      <c r="AK423" s="56"/>
      <c r="AL423" s="56"/>
      <c r="AM423" s="56"/>
      <c r="AN423" s="56"/>
      <c r="AO423" s="172"/>
      <c r="AP423" s="56"/>
      <c r="AQ423" s="56"/>
      <c r="AR423" s="56"/>
      <c r="AS423" s="56"/>
      <c r="AT423" s="56"/>
      <c r="AU423" s="56"/>
      <c r="AV423" s="56"/>
      <c r="AW423" s="172"/>
      <c r="AX423" s="56"/>
      <c r="AY423" s="56"/>
      <c r="AZ423" s="56"/>
      <c r="BA423" s="172"/>
      <c r="BB423" s="56"/>
      <c r="BC423" s="10"/>
      <c r="BD423" s="56"/>
      <c r="BE423" s="56"/>
      <c r="BF423" s="56"/>
      <c r="BG423" s="56"/>
      <c r="BO423" s="145"/>
      <c r="CI423" s="145"/>
      <c r="CY423" s="145"/>
    </row>
    <row r="424" spans="1:103" s="97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65"/>
      <c r="M424" s="10"/>
      <c r="N424" s="56"/>
      <c r="O424" s="56"/>
      <c r="P424" s="162"/>
      <c r="Q424" s="178"/>
      <c r="R424" s="168"/>
      <c r="S424" s="56"/>
      <c r="T424" s="56"/>
      <c r="U424" s="56"/>
      <c r="V424" s="162"/>
      <c r="W424" s="178"/>
      <c r="X424" s="172"/>
      <c r="Y424" s="10"/>
      <c r="Z424" s="56"/>
      <c r="AA424" s="56"/>
      <c r="AB424" s="56"/>
      <c r="AC424" s="56"/>
      <c r="AD424" s="56"/>
      <c r="AE424" s="174"/>
      <c r="AF424" s="56"/>
      <c r="AG424" s="56"/>
      <c r="AH424" s="172"/>
      <c r="AI424" s="56"/>
      <c r="AJ424" s="56"/>
      <c r="AK424" s="56"/>
      <c r="AL424" s="56"/>
      <c r="AM424" s="56"/>
      <c r="AN424" s="56"/>
      <c r="AO424" s="172"/>
      <c r="AP424" s="56"/>
      <c r="AQ424" s="56"/>
      <c r="AR424" s="56"/>
      <c r="AS424" s="56"/>
      <c r="AT424" s="56"/>
      <c r="AU424" s="56"/>
      <c r="AV424" s="56"/>
      <c r="AW424" s="172"/>
      <c r="AX424" s="56"/>
      <c r="AY424" s="56"/>
      <c r="AZ424" s="56"/>
      <c r="BA424" s="172"/>
      <c r="BB424" s="56"/>
      <c r="BC424" s="10"/>
      <c r="BD424" s="56"/>
      <c r="BE424" s="56"/>
      <c r="BF424" s="56"/>
      <c r="BG424" s="56"/>
      <c r="BO424" s="145"/>
      <c r="CI424" s="145"/>
      <c r="CY424" s="145"/>
    </row>
    <row r="425" spans="1:103" s="97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65"/>
      <c r="M425" s="10"/>
      <c r="N425" s="56"/>
      <c r="O425" s="56"/>
      <c r="P425" s="162"/>
      <c r="Q425" s="178"/>
      <c r="R425" s="168"/>
      <c r="S425" s="56"/>
      <c r="T425" s="56"/>
      <c r="U425" s="56"/>
      <c r="V425" s="162"/>
      <c r="W425" s="178"/>
      <c r="X425" s="172"/>
      <c r="Y425" s="10"/>
      <c r="Z425" s="56"/>
      <c r="AA425" s="56"/>
      <c r="AB425" s="56"/>
      <c r="AC425" s="56"/>
      <c r="AD425" s="56"/>
      <c r="AE425" s="174"/>
      <c r="AF425" s="56"/>
      <c r="AG425" s="56"/>
      <c r="AH425" s="172"/>
      <c r="AI425" s="56"/>
      <c r="AJ425" s="56"/>
      <c r="AK425" s="56"/>
      <c r="AL425" s="56"/>
      <c r="AM425" s="56"/>
      <c r="AN425" s="56"/>
      <c r="AO425" s="172"/>
      <c r="AP425" s="56"/>
      <c r="AQ425" s="56"/>
      <c r="AR425" s="56"/>
      <c r="AS425" s="56"/>
      <c r="AT425" s="56"/>
      <c r="AU425" s="56"/>
      <c r="AV425" s="56"/>
      <c r="AW425" s="172"/>
      <c r="AX425" s="56"/>
      <c r="AY425" s="56"/>
      <c r="AZ425" s="56"/>
      <c r="BA425" s="172"/>
      <c r="BB425" s="56"/>
      <c r="BC425" s="10"/>
      <c r="BD425" s="56"/>
      <c r="BE425" s="56"/>
      <c r="BF425" s="56"/>
      <c r="BG425" s="56"/>
      <c r="BO425" s="145"/>
      <c r="CI425" s="145"/>
      <c r="CY425" s="145"/>
    </row>
    <row r="426" spans="1:103" s="97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65"/>
      <c r="M426" s="10"/>
      <c r="N426" s="56"/>
      <c r="O426" s="56"/>
      <c r="P426" s="162"/>
      <c r="Q426" s="178"/>
      <c r="R426" s="168"/>
      <c r="S426" s="56"/>
      <c r="T426" s="56"/>
      <c r="U426" s="56"/>
      <c r="V426" s="162"/>
      <c r="W426" s="178"/>
      <c r="X426" s="172"/>
      <c r="Y426" s="10"/>
      <c r="Z426" s="56"/>
      <c r="AA426" s="56"/>
      <c r="AB426" s="56"/>
      <c r="AC426" s="56"/>
      <c r="AD426" s="56"/>
      <c r="AE426" s="174"/>
      <c r="AF426" s="56"/>
      <c r="AG426" s="56"/>
      <c r="AH426" s="172"/>
      <c r="AI426" s="56"/>
      <c r="AJ426" s="56"/>
      <c r="AK426" s="56"/>
      <c r="AL426" s="56"/>
      <c r="AM426" s="56"/>
      <c r="AN426" s="56"/>
      <c r="AO426" s="172"/>
      <c r="AP426" s="56"/>
      <c r="AQ426" s="56"/>
      <c r="AR426" s="56"/>
      <c r="AS426" s="56"/>
      <c r="AT426" s="56"/>
      <c r="AU426" s="56"/>
      <c r="AV426" s="56"/>
      <c r="AW426" s="172"/>
      <c r="AX426" s="56"/>
      <c r="AY426" s="56"/>
      <c r="AZ426" s="56"/>
      <c r="BA426" s="172"/>
      <c r="BB426" s="56"/>
      <c r="BC426" s="10"/>
      <c r="BD426" s="56"/>
      <c r="BE426" s="56"/>
      <c r="BF426" s="56"/>
      <c r="BG426" s="56"/>
      <c r="BO426" s="145"/>
      <c r="CI426" s="145"/>
      <c r="CY426" s="145"/>
    </row>
    <row r="427" spans="1:103" s="97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65"/>
      <c r="M427" s="10"/>
      <c r="N427" s="56"/>
      <c r="O427" s="56"/>
      <c r="P427" s="162"/>
      <c r="Q427" s="178"/>
      <c r="R427" s="168"/>
      <c r="S427" s="56"/>
      <c r="T427" s="56"/>
      <c r="U427" s="56"/>
      <c r="V427" s="162"/>
      <c r="W427" s="178"/>
      <c r="X427" s="172"/>
      <c r="Y427" s="10"/>
      <c r="Z427" s="56"/>
      <c r="AA427" s="56"/>
      <c r="AB427" s="56"/>
      <c r="AC427" s="56"/>
      <c r="AD427" s="56"/>
      <c r="AE427" s="174"/>
      <c r="AF427" s="56"/>
      <c r="AG427" s="56"/>
      <c r="AH427" s="172"/>
      <c r="AI427" s="56"/>
      <c r="AJ427" s="56"/>
      <c r="AK427" s="56"/>
      <c r="AL427" s="56"/>
      <c r="AM427" s="56"/>
      <c r="AN427" s="56"/>
      <c r="AO427" s="172"/>
      <c r="AP427" s="56"/>
      <c r="AQ427" s="56"/>
      <c r="AR427" s="56"/>
      <c r="AS427" s="56"/>
      <c r="AT427" s="56"/>
      <c r="AU427" s="56"/>
      <c r="AV427" s="56"/>
      <c r="AW427" s="172"/>
      <c r="AX427" s="56"/>
      <c r="AY427" s="56"/>
      <c r="AZ427" s="56"/>
      <c r="BA427" s="172"/>
      <c r="BB427" s="56"/>
      <c r="BC427" s="10"/>
      <c r="BD427" s="56"/>
      <c r="BE427" s="56"/>
      <c r="BF427" s="56"/>
      <c r="BG427" s="56"/>
      <c r="BO427" s="145"/>
      <c r="CI427" s="145"/>
      <c r="CY427" s="145"/>
    </row>
    <row r="428" spans="1:103" s="97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65"/>
      <c r="M428" s="10"/>
      <c r="N428" s="56"/>
      <c r="O428" s="56"/>
      <c r="P428" s="162"/>
      <c r="Q428" s="178"/>
      <c r="R428" s="168"/>
      <c r="S428" s="56"/>
      <c r="T428" s="56"/>
      <c r="U428" s="56"/>
      <c r="V428" s="162"/>
      <c r="W428" s="178"/>
      <c r="X428" s="172"/>
      <c r="Y428" s="10"/>
      <c r="Z428" s="56"/>
      <c r="AA428" s="56"/>
      <c r="AB428" s="56"/>
      <c r="AC428" s="56"/>
      <c r="AD428" s="56"/>
      <c r="AE428" s="174"/>
      <c r="AF428" s="56"/>
      <c r="AG428" s="56"/>
      <c r="AH428" s="172"/>
      <c r="AI428" s="56"/>
      <c r="AJ428" s="56"/>
      <c r="AK428" s="56"/>
      <c r="AL428" s="56"/>
      <c r="AM428" s="56"/>
      <c r="AN428" s="56"/>
      <c r="AO428" s="172"/>
      <c r="AP428" s="56"/>
      <c r="AQ428" s="56"/>
      <c r="AR428" s="56"/>
      <c r="AS428" s="56"/>
      <c r="AT428" s="56"/>
      <c r="AU428" s="56"/>
      <c r="AV428" s="56"/>
      <c r="AW428" s="172"/>
      <c r="AX428" s="56"/>
      <c r="AY428" s="56"/>
      <c r="AZ428" s="56"/>
      <c r="BA428" s="172"/>
      <c r="BB428" s="56"/>
      <c r="BC428" s="10"/>
      <c r="BD428" s="56"/>
      <c r="BE428" s="56"/>
      <c r="BF428" s="56"/>
      <c r="BG428" s="56"/>
      <c r="BO428" s="145"/>
      <c r="CI428" s="145"/>
      <c r="CY428" s="145"/>
    </row>
    <row r="429" spans="1:103" s="97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65"/>
      <c r="M429" s="10"/>
      <c r="N429" s="56"/>
      <c r="O429" s="56"/>
      <c r="P429" s="162"/>
      <c r="Q429" s="178"/>
      <c r="R429" s="168"/>
      <c r="S429" s="56"/>
      <c r="T429" s="56"/>
      <c r="U429" s="56"/>
      <c r="V429" s="162"/>
      <c r="W429" s="178"/>
      <c r="X429" s="172"/>
      <c r="Y429" s="10"/>
      <c r="Z429" s="56"/>
      <c r="AA429" s="56"/>
      <c r="AB429" s="56"/>
      <c r="AC429" s="56"/>
      <c r="AD429" s="56"/>
      <c r="AE429" s="174"/>
      <c r="AF429" s="56"/>
      <c r="AG429" s="56"/>
      <c r="AH429" s="172"/>
      <c r="AI429" s="56"/>
      <c r="AJ429" s="56"/>
      <c r="AK429" s="56"/>
      <c r="AL429" s="56"/>
      <c r="AM429" s="56"/>
      <c r="AN429" s="56"/>
      <c r="AO429" s="172"/>
      <c r="AP429" s="56"/>
      <c r="AQ429" s="56"/>
      <c r="AR429" s="56"/>
      <c r="AS429" s="56"/>
      <c r="AT429" s="56"/>
      <c r="AU429" s="56"/>
      <c r="AV429" s="56"/>
      <c r="AW429" s="172"/>
      <c r="AX429" s="56"/>
      <c r="AY429" s="56"/>
      <c r="AZ429" s="56"/>
      <c r="BA429" s="172"/>
      <c r="BB429" s="56"/>
      <c r="BC429" s="10"/>
      <c r="BD429" s="56"/>
      <c r="BE429" s="56"/>
      <c r="BF429" s="56"/>
      <c r="BG429" s="56"/>
      <c r="BO429" s="145"/>
      <c r="CI429" s="145"/>
      <c r="CY429" s="145"/>
    </row>
    <row r="430" spans="1:103" s="97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65"/>
      <c r="M430" s="10"/>
      <c r="N430" s="56"/>
      <c r="O430" s="56"/>
      <c r="P430" s="162"/>
      <c r="Q430" s="178"/>
      <c r="R430" s="168"/>
      <c r="S430" s="56"/>
      <c r="T430" s="56"/>
      <c r="U430" s="56"/>
      <c r="V430" s="162"/>
      <c r="W430" s="178"/>
      <c r="X430" s="172"/>
      <c r="Y430" s="10"/>
      <c r="Z430" s="56"/>
      <c r="AA430" s="56"/>
      <c r="AB430" s="56"/>
      <c r="AC430" s="56"/>
      <c r="AD430" s="56"/>
      <c r="AE430" s="174"/>
      <c r="AF430" s="56"/>
      <c r="AG430" s="56"/>
      <c r="AH430" s="172"/>
      <c r="AI430" s="56"/>
      <c r="AJ430" s="56"/>
      <c r="AK430" s="56"/>
      <c r="AL430" s="56"/>
      <c r="AM430" s="56"/>
      <c r="AN430" s="56"/>
      <c r="AO430" s="172"/>
      <c r="AP430" s="56"/>
      <c r="AQ430" s="56"/>
      <c r="AR430" s="56"/>
      <c r="AS430" s="56"/>
      <c r="AT430" s="56"/>
      <c r="AU430" s="56"/>
      <c r="AV430" s="56"/>
      <c r="AW430" s="172"/>
      <c r="AX430" s="56"/>
      <c r="AY430" s="56"/>
      <c r="AZ430" s="56"/>
      <c r="BA430" s="172"/>
      <c r="BB430" s="56"/>
      <c r="BC430" s="10"/>
      <c r="BD430" s="56"/>
      <c r="BE430" s="56"/>
      <c r="BF430" s="56"/>
      <c r="BG430" s="56"/>
      <c r="BO430" s="145"/>
      <c r="CI430" s="145"/>
      <c r="CY430" s="145"/>
    </row>
    <row r="431" spans="1:103" s="97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65"/>
      <c r="M431" s="10"/>
      <c r="N431" s="56"/>
      <c r="O431" s="56"/>
      <c r="P431" s="162"/>
      <c r="Q431" s="178"/>
      <c r="R431" s="168"/>
      <c r="S431" s="56"/>
      <c r="T431" s="56"/>
      <c r="U431" s="56"/>
      <c r="V431" s="162"/>
      <c r="W431" s="178"/>
      <c r="X431" s="172"/>
      <c r="Y431" s="10"/>
      <c r="Z431" s="56"/>
      <c r="AA431" s="56"/>
      <c r="AB431" s="56"/>
      <c r="AC431" s="56"/>
      <c r="AD431" s="56"/>
      <c r="AE431" s="174"/>
      <c r="AF431" s="56"/>
      <c r="AG431" s="56"/>
      <c r="AH431" s="172"/>
      <c r="AI431" s="56"/>
      <c r="AJ431" s="56"/>
      <c r="AK431" s="56"/>
      <c r="AL431" s="56"/>
      <c r="AM431" s="56"/>
      <c r="AN431" s="56"/>
      <c r="AO431" s="172"/>
      <c r="AP431" s="56"/>
      <c r="AQ431" s="56"/>
      <c r="AR431" s="56"/>
      <c r="AS431" s="56"/>
      <c r="AT431" s="56"/>
      <c r="AU431" s="56"/>
      <c r="AV431" s="56"/>
      <c r="AW431" s="172"/>
      <c r="AX431" s="56"/>
      <c r="AY431" s="56"/>
      <c r="AZ431" s="56"/>
      <c r="BA431" s="172"/>
      <c r="BB431" s="56"/>
      <c r="BC431" s="10"/>
      <c r="BD431" s="56"/>
      <c r="BE431" s="56"/>
      <c r="BF431" s="56"/>
      <c r="BG431" s="56"/>
      <c r="BO431" s="145"/>
      <c r="CI431" s="145"/>
      <c r="CY431" s="145"/>
    </row>
    <row r="432" spans="1:103" s="97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65"/>
      <c r="M432" s="10"/>
      <c r="N432" s="56"/>
      <c r="O432" s="56"/>
      <c r="P432" s="162"/>
      <c r="Q432" s="178"/>
      <c r="R432" s="168"/>
      <c r="S432" s="56"/>
      <c r="T432" s="56"/>
      <c r="U432" s="56"/>
      <c r="V432" s="162"/>
      <c r="W432" s="178"/>
      <c r="X432" s="172"/>
      <c r="Y432" s="10"/>
      <c r="Z432" s="56"/>
      <c r="AA432" s="56"/>
      <c r="AB432" s="56"/>
      <c r="AC432" s="56"/>
      <c r="AD432" s="56"/>
      <c r="AE432" s="174"/>
      <c r="AF432" s="56"/>
      <c r="AG432" s="56"/>
      <c r="AH432" s="172"/>
      <c r="AI432" s="56"/>
      <c r="AJ432" s="56"/>
      <c r="AK432" s="56"/>
      <c r="AL432" s="56"/>
      <c r="AM432" s="56"/>
      <c r="AN432" s="56"/>
      <c r="AO432" s="172"/>
      <c r="AP432" s="56"/>
      <c r="AQ432" s="56"/>
      <c r="AR432" s="56"/>
      <c r="AS432" s="56"/>
      <c r="AT432" s="56"/>
      <c r="AU432" s="56"/>
      <c r="AV432" s="56"/>
      <c r="AW432" s="172"/>
      <c r="AX432" s="56"/>
      <c r="AY432" s="56"/>
      <c r="AZ432" s="56"/>
      <c r="BA432" s="172"/>
      <c r="BB432" s="56"/>
      <c r="BC432" s="10"/>
      <c r="BD432" s="56"/>
      <c r="BE432" s="56"/>
      <c r="BF432" s="56"/>
      <c r="BG432" s="56"/>
      <c r="BO432" s="145"/>
      <c r="CI432" s="145"/>
      <c r="CY432" s="145"/>
    </row>
    <row r="433" spans="1:103" s="97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65"/>
      <c r="M433" s="10"/>
      <c r="N433" s="56"/>
      <c r="O433" s="56"/>
      <c r="P433" s="162"/>
      <c r="Q433" s="178"/>
      <c r="R433" s="168"/>
      <c r="S433" s="56"/>
      <c r="T433" s="56"/>
      <c r="U433" s="56"/>
      <c r="V433" s="162"/>
      <c r="W433" s="178"/>
      <c r="X433" s="172"/>
      <c r="Y433" s="10"/>
      <c r="Z433" s="56"/>
      <c r="AA433" s="56"/>
      <c r="AB433" s="56"/>
      <c r="AC433" s="56"/>
      <c r="AD433" s="56"/>
      <c r="AE433" s="174"/>
      <c r="AF433" s="56"/>
      <c r="AG433" s="56"/>
      <c r="AH433" s="172"/>
      <c r="AI433" s="56"/>
      <c r="AJ433" s="56"/>
      <c r="AK433" s="56"/>
      <c r="AL433" s="56"/>
      <c r="AM433" s="56"/>
      <c r="AN433" s="56"/>
      <c r="AO433" s="172"/>
      <c r="AP433" s="56"/>
      <c r="AQ433" s="56"/>
      <c r="AR433" s="56"/>
      <c r="AS433" s="56"/>
      <c r="AT433" s="56"/>
      <c r="AU433" s="56"/>
      <c r="AV433" s="56"/>
      <c r="AW433" s="172"/>
      <c r="AX433" s="56"/>
      <c r="AY433" s="56"/>
      <c r="AZ433" s="56"/>
      <c r="BA433" s="172"/>
      <c r="BB433" s="56"/>
      <c r="BC433" s="10"/>
      <c r="BD433" s="56"/>
      <c r="BE433" s="56"/>
      <c r="BF433" s="56"/>
      <c r="BG433" s="56"/>
      <c r="BO433" s="145"/>
      <c r="CI433" s="145"/>
      <c r="CY433" s="145"/>
    </row>
    <row r="434" spans="1:103" s="97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65"/>
      <c r="M434" s="10"/>
      <c r="N434" s="56"/>
      <c r="O434" s="56"/>
      <c r="P434" s="162"/>
      <c r="Q434" s="178"/>
      <c r="R434" s="168"/>
      <c r="S434" s="56"/>
      <c r="T434" s="56"/>
      <c r="U434" s="56"/>
      <c r="V434" s="162"/>
      <c r="W434" s="178"/>
      <c r="X434" s="172"/>
      <c r="Y434" s="10"/>
      <c r="Z434" s="56"/>
      <c r="AA434" s="56"/>
      <c r="AB434" s="56"/>
      <c r="AC434" s="56"/>
      <c r="AD434" s="56"/>
      <c r="AE434" s="174"/>
      <c r="AF434" s="56"/>
      <c r="AG434" s="56"/>
      <c r="AH434" s="172"/>
      <c r="AI434" s="56"/>
      <c r="AJ434" s="56"/>
      <c r="AK434" s="56"/>
      <c r="AL434" s="56"/>
      <c r="AM434" s="56"/>
      <c r="AN434" s="56"/>
      <c r="AO434" s="172"/>
      <c r="AP434" s="56"/>
      <c r="AQ434" s="56"/>
      <c r="AR434" s="56"/>
      <c r="AS434" s="56"/>
      <c r="AT434" s="56"/>
      <c r="AU434" s="56"/>
      <c r="AV434" s="56"/>
      <c r="AW434" s="172"/>
      <c r="AX434" s="56"/>
      <c r="AY434" s="56"/>
      <c r="AZ434" s="56"/>
      <c r="BA434" s="172"/>
      <c r="BB434" s="56"/>
      <c r="BC434" s="10"/>
      <c r="BD434" s="56"/>
      <c r="BE434" s="56"/>
      <c r="BF434" s="56"/>
      <c r="BG434" s="56"/>
      <c r="BO434" s="145"/>
      <c r="CI434" s="145"/>
      <c r="CY434" s="145"/>
    </row>
    <row r="435" spans="1:103" s="97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65"/>
      <c r="M435" s="10"/>
      <c r="N435" s="56"/>
      <c r="O435" s="56"/>
      <c r="P435" s="162"/>
      <c r="Q435" s="178"/>
      <c r="R435" s="168"/>
      <c r="S435" s="56"/>
      <c r="T435" s="56"/>
      <c r="U435" s="56"/>
      <c r="V435" s="162"/>
      <c r="W435" s="178"/>
      <c r="X435" s="172"/>
      <c r="Y435" s="10"/>
      <c r="Z435" s="56"/>
      <c r="AA435" s="56"/>
      <c r="AB435" s="56"/>
      <c r="AC435" s="56"/>
      <c r="AD435" s="56"/>
      <c r="AE435" s="174"/>
      <c r="AF435" s="56"/>
      <c r="AG435" s="56"/>
      <c r="AH435" s="172"/>
      <c r="AI435" s="56"/>
      <c r="AJ435" s="56"/>
      <c r="AK435" s="56"/>
      <c r="AL435" s="56"/>
      <c r="AM435" s="56"/>
      <c r="AN435" s="56"/>
      <c r="AO435" s="172"/>
      <c r="AP435" s="56"/>
      <c r="AQ435" s="56"/>
      <c r="AR435" s="56"/>
      <c r="AS435" s="56"/>
      <c r="AT435" s="56"/>
      <c r="AU435" s="56"/>
      <c r="AV435" s="56"/>
      <c r="AW435" s="172"/>
      <c r="AX435" s="56"/>
      <c r="AY435" s="56"/>
      <c r="AZ435" s="56"/>
      <c r="BA435" s="172"/>
      <c r="BB435" s="56"/>
      <c r="BC435" s="10"/>
      <c r="BD435" s="56"/>
      <c r="BE435" s="56"/>
      <c r="BF435" s="56"/>
      <c r="BG435" s="56"/>
      <c r="BO435" s="145"/>
      <c r="CI435" s="145"/>
      <c r="CY435" s="145"/>
    </row>
    <row r="436" spans="1:103" s="97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65"/>
      <c r="M436" s="10"/>
      <c r="N436" s="56"/>
      <c r="O436" s="56"/>
      <c r="P436" s="162"/>
      <c r="Q436" s="178"/>
      <c r="R436" s="168"/>
      <c r="S436" s="56"/>
      <c r="T436" s="56"/>
      <c r="U436" s="56"/>
      <c r="V436" s="162"/>
      <c r="W436" s="178"/>
      <c r="X436" s="172"/>
      <c r="Y436" s="10"/>
      <c r="Z436" s="56"/>
      <c r="AA436" s="56"/>
      <c r="AB436" s="56"/>
      <c r="AC436" s="56"/>
      <c r="AD436" s="56"/>
      <c r="AE436" s="174"/>
      <c r="AF436" s="56"/>
      <c r="AG436" s="56"/>
      <c r="AH436" s="172"/>
      <c r="AI436" s="56"/>
      <c r="AJ436" s="56"/>
      <c r="AK436" s="56"/>
      <c r="AL436" s="56"/>
      <c r="AM436" s="56"/>
      <c r="AN436" s="56"/>
      <c r="AO436" s="172"/>
      <c r="AP436" s="56"/>
      <c r="AQ436" s="56"/>
      <c r="AR436" s="56"/>
      <c r="AS436" s="56"/>
      <c r="AT436" s="56"/>
      <c r="AU436" s="56"/>
      <c r="AV436" s="56"/>
      <c r="AW436" s="172"/>
      <c r="AX436" s="56"/>
      <c r="AY436" s="56"/>
      <c r="AZ436" s="56"/>
      <c r="BA436" s="172"/>
      <c r="BB436" s="56"/>
      <c r="BC436" s="10"/>
      <c r="BD436" s="56"/>
      <c r="BE436" s="56"/>
      <c r="BF436" s="56"/>
      <c r="BG436" s="56"/>
      <c r="BO436" s="145"/>
      <c r="CI436" s="145"/>
      <c r="CY436" s="145"/>
    </row>
    <row r="437" spans="1:103" s="97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65"/>
      <c r="M437" s="10"/>
      <c r="N437" s="56"/>
      <c r="O437" s="56"/>
      <c r="P437" s="162"/>
      <c r="Q437" s="178"/>
      <c r="R437" s="168"/>
      <c r="S437" s="56"/>
      <c r="T437" s="56"/>
      <c r="U437" s="56"/>
      <c r="V437" s="162"/>
      <c r="W437" s="178"/>
      <c r="X437" s="172"/>
      <c r="Y437" s="10"/>
      <c r="Z437" s="56"/>
      <c r="AA437" s="56"/>
      <c r="AB437" s="56"/>
      <c r="AC437" s="56"/>
      <c r="AD437" s="56"/>
      <c r="AE437" s="174"/>
      <c r="AF437" s="56"/>
      <c r="AG437" s="56"/>
      <c r="AH437" s="172"/>
      <c r="AI437" s="56"/>
      <c r="AJ437" s="56"/>
      <c r="AK437" s="56"/>
      <c r="AL437" s="56"/>
      <c r="AM437" s="56"/>
      <c r="AN437" s="56"/>
      <c r="AO437" s="172"/>
      <c r="AP437" s="56"/>
      <c r="AQ437" s="56"/>
      <c r="AR437" s="56"/>
      <c r="AS437" s="56"/>
      <c r="AT437" s="56"/>
      <c r="AU437" s="56"/>
      <c r="AV437" s="56"/>
      <c r="AW437" s="172"/>
      <c r="AX437" s="56"/>
      <c r="AY437" s="56"/>
      <c r="AZ437" s="56"/>
      <c r="BA437" s="172"/>
      <c r="BB437" s="56"/>
      <c r="BC437" s="10"/>
      <c r="BD437" s="56"/>
      <c r="BE437" s="56"/>
      <c r="BF437" s="56"/>
      <c r="BG437" s="56"/>
      <c r="BO437" s="145"/>
      <c r="CI437" s="145"/>
      <c r="CY437" s="145"/>
    </row>
    <row r="438" spans="1:103" s="97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65"/>
      <c r="M438" s="10"/>
      <c r="N438" s="56"/>
      <c r="O438" s="56"/>
      <c r="P438" s="162"/>
      <c r="Q438" s="178"/>
      <c r="R438" s="168"/>
      <c r="S438" s="56"/>
      <c r="T438" s="56"/>
      <c r="U438" s="56"/>
      <c r="V438" s="162"/>
      <c r="W438" s="178"/>
      <c r="X438" s="172"/>
      <c r="Y438" s="10"/>
      <c r="Z438" s="56"/>
      <c r="AA438" s="56"/>
      <c r="AB438" s="56"/>
      <c r="AC438" s="56"/>
      <c r="AD438" s="56"/>
      <c r="AE438" s="174"/>
      <c r="AF438" s="56"/>
      <c r="AG438" s="56"/>
      <c r="AH438" s="172"/>
      <c r="AI438" s="56"/>
      <c r="AJ438" s="56"/>
      <c r="AK438" s="56"/>
      <c r="AL438" s="56"/>
      <c r="AM438" s="56"/>
      <c r="AN438" s="56"/>
      <c r="AO438" s="172"/>
      <c r="AP438" s="56"/>
      <c r="AQ438" s="56"/>
      <c r="AR438" s="56"/>
      <c r="AS438" s="56"/>
      <c r="AT438" s="56"/>
      <c r="AU438" s="56"/>
      <c r="AV438" s="56"/>
      <c r="AW438" s="172"/>
      <c r="AX438" s="56"/>
      <c r="AY438" s="56"/>
      <c r="AZ438" s="56"/>
      <c r="BA438" s="172"/>
      <c r="BB438" s="56"/>
      <c r="BC438" s="10"/>
      <c r="BD438" s="56"/>
      <c r="BE438" s="56"/>
      <c r="BF438" s="56"/>
      <c r="BG438" s="56"/>
      <c r="BO438" s="145"/>
      <c r="CI438" s="145"/>
      <c r="CY438" s="145"/>
    </row>
    <row r="439" spans="1:103" s="97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65"/>
      <c r="M439" s="10"/>
      <c r="N439" s="56"/>
      <c r="O439" s="56"/>
      <c r="P439" s="162"/>
      <c r="Q439" s="178"/>
      <c r="R439" s="168"/>
      <c r="S439" s="56"/>
      <c r="T439" s="56"/>
      <c r="U439" s="56"/>
      <c r="V439" s="162"/>
      <c r="W439" s="178"/>
      <c r="X439" s="172"/>
      <c r="Y439" s="10"/>
      <c r="Z439" s="56"/>
      <c r="AA439" s="56"/>
      <c r="AB439" s="56"/>
      <c r="AC439" s="56"/>
      <c r="AD439" s="56"/>
      <c r="AE439" s="174"/>
      <c r="AF439" s="56"/>
      <c r="AG439" s="56"/>
      <c r="AH439" s="172"/>
      <c r="AI439" s="56"/>
      <c r="AJ439" s="56"/>
      <c r="AK439" s="56"/>
      <c r="AL439" s="56"/>
      <c r="AM439" s="56"/>
      <c r="AN439" s="56"/>
      <c r="AO439" s="172"/>
      <c r="AP439" s="56"/>
      <c r="AQ439" s="56"/>
      <c r="AR439" s="56"/>
      <c r="AS439" s="56"/>
      <c r="AT439" s="56"/>
      <c r="AU439" s="56"/>
      <c r="AV439" s="56"/>
      <c r="AW439" s="172"/>
      <c r="AX439" s="56"/>
      <c r="AY439" s="56"/>
      <c r="AZ439" s="56"/>
      <c r="BA439" s="172"/>
      <c r="BB439" s="56"/>
      <c r="BC439" s="10"/>
      <c r="BD439" s="56"/>
      <c r="BE439" s="56"/>
      <c r="BF439" s="56"/>
      <c r="BG439" s="56"/>
      <c r="BO439" s="145"/>
      <c r="CI439" s="145"/>
      <c r="CY439" s="145"/>
    </row>
    <row r="440" spans="1:103" s="97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65"/>
      <c r="M440" s="10"/>
      <c r="N440" s="56"/>
      <c r="O440" s="56"/>
      <c r="P440" s="162"/>
      <c r="Q440" s="178"/>
      <c r="R440" s="168"/>
      <c r="S440" s="56"/>
      <c r="T440" s="56"/>
      <c r="U440" s="56"/>
      <c r="V440" s="162"/>
      <c r="W440" s="178"/>
      <c r="X440" s="172"/>
      <c r="Y440" s="10"/>
      <c r="Z440" s="56"/>
      <c r="AA440" s="56"/>
      <c r="AB440" s="56"/>
      <c r="AC440" s="56"/>
      <c r="AD440" s="56"/>
      <c r="AE440" s="174"/>
      <c r="AF440" s="56"/>
      <c r="AG440" s="56"/>
      <c r="AH440" s="172"/>
      <c r="AI440" s="56"/>
      <c r="AJ440" s="56"/>
      <c r="AK440" s="56"/>
      <c r="AL440" s="56"/>
      <c r="AM440" s="56"/>
      <c r="AN440" s="56"/>
      <c r="AO440" s="172"/>
      <c r="AP440" s="56"/>
      <c r="AQ440" s="56"/>
      <c r="AR440" s="56"/>
      <c r="AS440" s="56"/>
      <c r="AT440" s="56"/>
      <c r="AU440" s="56"/>
      <c r="AV440" s="56"/>
      <c r="AW440" s="172"/>
      <c r="AX440" s="56"/>
      <c r="AY440" s="56"/>
      <c r="AZ440" s="56"/>
      <c r="BA440" s="172"/>
      <c r="BB440" s="56"/>
      <c r="BC440" s="10"/>
      <c r="BD440" s="56"/>
      <c r="BE440" s="56"/>
      <c r="BF440" s="56"/>
      <c r="BG440" s="56"/>
      <c r="BO440" s="145"/>
      <c r="CI440" s="145"/>
      <c r="CY440" s="145"/>
    </row>
    <row r="441" spans="1:103" s="97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65"/>
      <c r="M441" s="10"/>
      <c r="N441" s="56"/>
      <c r="O441" s="56"/>
      <c r="P441" s="162"/>
      <c r="Q441" s="178"/>
      <c r="R441" s="168"/>
      <c r="S441" s="56"/>
      <c r="T441" s="56"/>
      <c r="U441" s="56"/>
      <c r="V441" s="162"/>
      <c r="W441" s="178"/>
      <c r="X441" s="172"/>
      <c r="Y441" s="10"/>
      <c r="Z441" s="56"/>
      <c r="AA441" s="56"/>
      <c r="AB441" s="56"/>
      <c r="AC441" s="56"/>
      <c r="AD441" s="56"/>
      <c r="AE441" s="174"/>
      <c r="AF441" s="56"/>
      <c r="AG441" s="56"/>
      <c r="AH441" s="172"/>
      <c r="AI441" s="56"/>
      <c r="AJ441" s="56"/>
      <c r="AK441" s="56"/>
      <c r="AL441" s="56"/>
      <c r="AM441" s="56"/>
      <c r="AN441" s="56"/>
      <c r="AO441" s="172"/>
      <c r="AP441" s="56"/>
      <c r="AQ441" s="56"/>
      <c r="AR441" s="56"/>
      <c r="AS441" s="56"/>
      <c r="AT441" s="56"/>
      <c r="AU441" s="56"/>
      <c r="AV441" s="56"/>
      <c r="AW441" s="172"/>
      <c r="AX441" s="56"/>
      <c r="AY441" s="56"/>
      <c r="AZ441" s="56"/>
      <c r="BA441" s="172"/>
      <c r="BB441" s="56"/>
      <c r="BC441" s="10"/>
      <c r="BD441" s="56"/>
      <c r="BE441" s="56"/>
      <c r="BF441" s="56"/>
      <c r="BG441" s="56"/>
      <c r="BO441" s="145"/>
      <c r="CI441" s="145"/>
      <c r="CY441" s="145"/>
    </row>
    <row r="442" spans="1:103" s="97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65"/>
      <c r="M442" s="10"/>
      <c r="N442" s="56"/>
      <c r="O442" s="56"/>
      <c r="P442" s="162"/>
      <c r="Q442" s="178"/>
      <c r="R442" s="168"/>
      <c r="S442" s="56"/>
      <c r="T442" s="56"/>
      <c r="U442" s="56"/>
      <c r="V442" s="162"/>
      <c r="W442" s="178"/>
      <c r="X442" s="172"/>
      <c r="Y442" s="10"/>
      <c r="Z442" s="56"/>
      <c r="AA442" s="56"/>
      <c r="AB442" s="56"/>
      <c r="AC442" s="56"/>
      <c r="AD442" s="56"/>
      <c r="AE442" s="174"/>
      <c r="AF442" s="56"/>
      <c r="AG442" s="56"/>
      <c r="AH442" s="172"/>
      <c r="AI442" s="56"/>
      <c r="AJ442" s="56"/>
      <c r="AK442" s="56"/>
      <c r="AL442" s="56"/>
      <c r="AM442" s="56"/>
      <c r="AN442" s="56"/>
      <c r="AO442" s="172"/>
      <c r="AP442" s="56"/>
      <c r="AQ442" s="56"/>
      <c r="AR442" s="56"/>
      <c r="AS442" s="56"/>
      <c r="AT442" s="56"/>
      <c r="AU442" s="56"/>
      <c r="AV442" s="56"/>
      <c r="AW442" s="172"/>
      <c r="AX442" s="56"/>
      <c r="AY442" s="56"/>
      <c r="AZ442" s="56"/>
      <c r="BA442" s="172"/>
      <c r="BB442" s="56"/>
      <c r="BC442" s="10"/>
      <c r="BD442" s="56"/>
      <c r="BE442" s="56"/>
      <c r="BF442" s="56"/>
      <c r="BG442" s="56"/>
      <c r="BO442" s="145"/>
      <c r="CI442" s="145"/>
      <c r="CY442" s="145"/>
    </row>
    <row r="443" spans="1:103" s="97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65"/>
      <c r="M443" s="10"/>
      <c r="N443" s="56"/>
      <c r="O443" s="56"/>
      <c r="P443" s="162"/>
      <c r="Q443" s="178"/>
      <c r="R443" s="168"/>
      <c r="S443" s="56"/>
      <c r="T443" s="56"/>
      <c r="U443" s="56"/>
      <c r="V443" s="162"/>
      <c r="W443" s="178"/>
      <c r="X443" s="172"/>
      <c r="Y443" s="10"/>
      <c r="Z443" s="56"/>
      <c r="AA443" s="56"/>
      <c r="AB443" s="56"/>
      <c r="AC443" s="56"/>
      <c r="AD443" s="56"/>
      <c r="AE443" s="174"/>
      <c r="AF443" s="56"/>
      <c r="AG443" s="56"/>
      <c r="AH443" s="172"/>
      <c r="AI443" s="56"/>
      <c r="AJ443" s="56"/>
      <c r="AK443" s="56"/>
      <c r="AL443" s="56"/>
      <c r="AM443" s="56"/>
      <c r="AN443" s="56"/>
      <c r="AO443" s="172"/>
      <c r="AP443" s="56"/>
      <c r="AQ443" s="56"/>
      <c r="AR443" s="56"/>
      <c r="AS443" s="56"/>
      <c r="AT443" s="56"/>
      <c r="AU443" s="56"/>
      <c r="AV443" s="56"/>
      <c r="AW443" s="172"/>
      <c r="AX443" s="56"/>
      <c r="AY443" s="56"/>
      <c r="AZ443" s="56"/>
      <c r="BA443" s="172"/>
      <c r="BB443" s="56"/>
      <c r="BC443" s="10"/>
      <c r="BD443" s="56"/>
      <c r="BE443" s="56"/>
      <c r="BF443" s="56"/>
      <c r="BG443" s="56"/>
      <c r="BO443" s="145"/>
      <c r="CI443" s="145"/>
      <c r="CY443" s="145"/>
    </row>
    <row r="444" spans="1:103" s="97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65"/>
      <c r="M444" s="10"/>
      <c r="N444" s="56"/>
      <c r="O444" s="56"/>
      <c r="P444" s="162"/>
      <c r="Q444" s="178"/>
      <c r="R444" s="168"/>
      <c r="S444" s="56"/>
      <c r="T444" s="56"/>
      <c r="U444" s="56"/>
      <c r="V444" s="162"/>
      <c r="W444" s="178"/>
      <c r="X444" s="172"/>
      <c r="Y444" s="10"/>
      <c r="Z444" s="56"/>
      <c r="AA444" s="56"/>
      <c r="AB444" s="56"/>
      <c r="AC444" s="56"/>
      <c r="AD444" s="56"/>
      <c r="AE444" s="174"/>
      <c r="AF444" s="56"/>
      <c r="AG444" s="56"/>
      <c r="AH444" s="172"/>
      <c r="AI444" s="56"/>
      <c r="AJ444" s="56"/>
      <c r="AK444" s="56"/>
      <c r="AL444" s="56"/>
      <c r="AM444" s="56"/>
      <c r="AN444" s="56"/>
      <c r="AO444" s="172"/>
      <c r="AP444" s="56"/>
      <c r="AQ444" s="56"/>
      <c r="AR444" s="56"/>
      <c r="AS444" s="56"/>
      <c r="AT444" s="56"/>
      <c r="AU444" s="56"/>
      <c r="AV444" s="56"/>
      <c r="AW444" s="172"/>
      <c r="AX444" s="56"/>
      <c r="AY444" s="56"/>
      <c r="AZ444" s="56"/>
      <c r="BA444" s="172"/>
      <c r="BB444" s="56"/>
      <c r="BC444" s="10"/>
      <c r="BD444" s="56"/>
      <c r="BE444" s="56"/>
      <c r="BF444" s="56"/>
      <c r="BG444" s="56"/>
      <c r="BO444" s="145"/>
      <c r="CI444" s="145"/>
      <c r="CY444" s="145"/>
    </row>
    <row r="445" spans="1:103" s="97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65"/>
      <c r="M445" s="10"/>
      <c r="N445" s="56"/>
      <c r="O445" s="56"/>
      <c r="P445" s="162"/>
      <c r="Q445" s="178"/>
      <c r="R445" s="168"/>
      <c r="S445" s="56"/>
      <c r="T445" s="56"/>
      <c r="U445" s="56"/>
      <c r="V445" s="162"/>
      <c r="W445" s="178"/>
      <c r="X445" s="172"/>
      <c r="Y445" s="10"/>
      <c r="Z445" s="56"/>
      <c r="AA445" s="56"/>
      <c r="AB445" s="56"/>
      <c r="AC445" s="56"/>
      <c r="AD445" s="56"/>
      <c r="AE445" s="174"/>
      <c r="AF445" s="56"/>
      <c r="AG445" s="56"/>
      <c r="AH445" s="172"/>
      <c r="AI445" s="56"/>
      <c r="AJ445" s="56"/>
      <c r="AK445" s="56"/>
      <c r="AL445" s="56"/>
      <c r="AM445" s="56"/>
      <c r="AN445" s="56"/>
      <c r="AO445" s="172"/>
      <c r="AP445" s="56"/>
      <c r="AQ445" s="56"/>
      <c r="AR445" s="56"/>
      <c r="AS445" s="56"/>
      <c r="AT445" s="56"/>
      <c r="AU445" s="56"/>
      <c r="AV445" s="56"/>
      <c r="AW445" s="172"/>
      <c r="AX445" s="56"/>
      <c r="AY445" s="56"/>
      <c r="AZ445" s="56"/>
      <c r="BA445" s="172"/>
      <c r="BB445" s="56"/>
      <c r="BC445" s="10"/>
      <c r="BD445" s="56"/>
      <c r="BE445" s="56"/>
      <c r="BF445" s="56"/>
      <c r="BG445" s="56"/>
      <c r="BO445" s="145"/>
      <c r="CI445" s="145"/>
      <c r="CY445" s="145"/>
    </row>
    <row r="446" spans="1:103" s="97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65"/>
      <c r="M446" s="10"/>
      <c r="N446" s="56"/>
      <c r="O446" s="56"/>
      <c r="P446" s="162"/>
      <c r="Q446" s="178"/>
      <c r="R446" s="168"/>
      <c r="S446" s="56"/>
      <c r="T446" s="56"/>
      <c r="U446" s="56"/>
      <c r="V446" s="162"/>
      <c r="W446" s="178"/>
      <c r="X446" s="172"/>
      <c r="Y446" s="10"/>
      <c r="Z446" s="56"/>
      <c r="AA446" s="56"/>
      <c r="AB446" s="56"/>
      <c r="AC446" s="56"/>
      <c r="AD446" s="56"/>
      <c r="AE446" s="174"/>
      <c r="AF446" s="56"/>
      <c r="AG446" s="56"/>
      <c r="AH446" s="172"/>
      <c r="AI446" s="56"/>
      <c r="AJ446" s="56"/>
      <c r="AK446" s="56"/>
      <c r="AL446" s="56"/>
      <c r="AM446" s="56"/>
      <c r="AN446" s="56"/>
      <c r="AO446" s="172"/>
      <c r="AP446" s="56"/>
      <c r="AQ446" s="56"/>
      <c r="AR446" s="56"/>
      <c r="AS446" s="56"/>
      <c r="AT446" s="56"/>
      <c r="AU446" s="56"/>
      <c r="AV446" s="56"/>
      <c r="AW446" s="172"/>
      <c r="AX446" s="56"/>
      <c r="AY446" s="56"/>
      <c r="AZ446" s="56"/>
      <c r="BA446" s="172"/>
      <c r="BB446" s="56"/>
      <c r="BC446" s="10"/>
      <c r="BD446" s="56"/>
      <c r="BE446" s="56"/>
      <c r="BF446" s="56"/>
      <c r="BG446" s="56"/>
      <c r="BO446" s="145"/>
      <c r="CI446" s="145"/>
      <c r="CY446" s="145"/>
    </row>
    <row r="447" spans="1:103" s="97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65"/>
      <c r="M447" s="10"/>
      <c r="N447" s="56"/>
      <c r="O447" s="56"/>
      <c r="P447" s="162"/>
      <c r="Q447" s="178"/>
      <c r="R447" s="168"/>
      <c r="S447" s="56"/>
      <c r="T447" s="56"/>
      <c r="U447" s="56"/>
      <c r="V447" s="162"/>
      <c r="W447" s="178"/>
      <c r="X447" s="172"/>
      <c r="Y447" s="10"/>
      <c r="Z447" s="56"/>
      <c r="AA447" s="56"/>
      <c r="AB447" s="56"/>
      <c r="AC447" s="56"/>
      <c r="AD447" s="56"/>
      <c r="AE447" s="174"/>
      <c r="AF447" s="56"/>
      <c r="AG447" s="56"/>
      <c r="AH447" s="172"/>
      <c r="AI447" s="56"/>
      <c r="AJ447" s="56"/>
      <c r="AK447" s="56"/>
      <c r="AL447" s="56"/>
      <c r="AM447" s="56"/>
      <c r="AN447" s="56"/>
      <c r="AO447" s="172"/>
      <c r="AP447" s="56"/>
      <c r="AQ447" s="56"/>
      <c r="AR447" s="56"/>
      <c r="AS447" s="56"/>
      <c r="AT447" s="56"/>
      <c r="AU447" s="56"/>
      <c r="AV447" s="56"/>
      <c r="AW447" s="172"/>
      <c r="AX447" s="56"/>
      <c r="AY447" s="56"/>
      <c r="AZ447" s="56"/>
      <c r="BA447" s="172"/>
      <c r="BB447" s="56"/>
      <c r="BC447" s="10"/>
      <c r="BD447" s="56"/>
      <c r="BE447" s="56"/>
      <c r="BF447" s="56"/>
      <c r="BG447" s="56"/>
      <c r="BO447" s="145"/>
      <c r="CI447" s="145"/>
      <c r="CY447" s="145"/>
    </row>
    <row r="448" spans="1:103" s="97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65"/>
      <c r="M448" s="10"/>
      <c r="N448" s="56"/>
      <c r="O448" s="56"/>
      <c r="P448" s="162"/>
      <c r="Q448" s="178"/>
      <c r="R448" s="168"/>
      <c r="S448" s="56"/>
      <c r="T448" s="56"/>
      <c r="U448" s="56"/>
      <c r="V448" s="162"/>
      <c r="W448" s="178"/>
      <c r="X448" s="172"/>
      <c r="Y448" s="10"/>
      <c r="Z448" s="56"/>
      <c r="AA448" s="56"/>
      <c r="AB448" s="56"/>
      <c r="AC448" s="56"/>
      <c r="AD448" s="56"/>
      <c r="AE448" s="174"/>
      <c r="AF448" s="56"/>
      <c r="AG448" s="56"/>
      <c r="AH448" s="172"/>
      <c r="AI448" s="56"/>
      <c r="AJ448" s="56"/>
      <c r="AK448" s="56"/>
      <c r="AL448" s="56"/>
      <c r="AM448" s="56"/>
      <c r="AN448" s="56"/>
      <c r="AO448" s="172"/>
      <c r="AP448" s="56"/>
      <c r="AQ448" s="56"/>
      <c r="AR448" s="56"/>
      <c r="AS448" s="56"/>
      <c r="AT448" s="56"/>
      <c r="AU448" s="56"/>
      <c r="AV448" s="56"/>
      <c r="AW448" s="172"/>
      <c r="AX448" s="56"/>
      <c r="AY448" s="56"/>
      <c r="AZ448" s="56"/>
      <c r="BA448" s="172"/>
      <c r="BB448" s="56"/>
      <c r="BC448" s="10"/>
      <c r="BD448" s="56"/>
      <c r="BE448" s="56"/>
      <c r="BF448" s="56"/>
      <c r="BG448" s="56"/>
      <c r="BO448" s="145"/>
      <c r="CI448" s="145"/>
      <c r="CY448" s="145"/>
    </row>
    <row r="449" spans="1:103" s="97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65"/>
      <c r="M449" s="10"/>
      <c r="N449" s="56"/>
      <c r="O449" s="56"/>
      <c r="P449" s="162"/>
      <c r="Q449" s="178"/>
      <c r="R449" s="168"/>
      <c r="S449" s="56"/>
      <c r="T449" s="56"/>
      <c r="U449" s="56"/>
      <c r="V449" s="162"/>
      <c r="W449" s="178"/>
      <c r="X449" s="172"/>
      <c r="Y449" s="10"/>
      <c r="Z449" s="56"/>
      <c r="AA449" s="56"/>
      <c r="AB449" s="56"/>
      <c r="AC449" s="56"/>
      <c r="AD449" s="56"/>
      <c r="AE449" s="174"/>
      <c r="AF449" s="56"/>
      <c r="AG449" s="56"/>
      <c r="AH449" s="172"/>
      <c r="AI449" s="56"/>
      <c r="AJ449" s="56"/>
      <c r="AK449" s="56"/>
      <c r="AL449" s="56"/>
      <c r="AM449" s="56"/>
      <c r="AN449" s="56"/>
      <c r="AO449" s="172"/>
      <c r="AP449" s="56"/>
      <c r="AQ449" s="56"/>
      <c r="AR449" s="56"/>
      <c r="AS449" s="56"/>
      <c r="AT449" s="56"/>
      <c r="AU449" s="56"/>
      <c r="AV449" s="56"/>
      <c r="AW449" s="172"/>
      <c r="AX449" s="56"/>
      <c r="AY449" s="56"/>
      <c r="AZ449" s="56"/>
      <c r="BA449" s="172"/>
      <c r="BB449" s="56"/>
      <c r="BC449" s="10"/>
      <c r="BD449" s="56"/>
      <c r="BE449" s="56"/>
      <c r="BF449" s="56"/>
      <c r="BG449" s="56"/>
      <c r="BO449" s="145"/>
      <c r="CI449" s="145"/>
      <c r="CY449" s="145"/>
    </row>
    <row r="450" spans="1:103" s="97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65"/>
      <c r="M450" s="10"/>
      <c r="N450" s="56"/>
      <c r="O450" s="56"/>
      <c r="P450" s="162"/>
      <c r="Q450" s="178"/>
      <c r="R450" s="168"/>
      <c r="S450" s="56"/>
      <c r="T450" s="56"/>
      <c r="U450" s="56"/>
      <c r="V450" s="162"/>
      <c r="W450" s="178"/>
      <c r="X450" s="172"/>
      <c r="Y450" s="10"/>
      <c r="Z450" s="56"/>
      <c r="AA450" s="56"/>
      <c r="AB450" s="56"/>
      <c r="AC450" s="56"/>
      <c r="AD450" s="56"/>
      <c r="AE450" s="174"/>
      <c r="AF450" s="56"/>
      <c r="AG450" s="56"/>
      <c r="AH450" s="172"/>
      <c r="AI450" s="56"/>
      <c r="AJ450" s="56"/>
      <c r="AK450" s="56"/>
      <c r="AL450" s="56"/>
      <c r="AM450" s="56"/>
      <c r="AN450" s="56"/>
      <c r="AO450" s="172"/>
      <c r="AP450" s="56"/>
      <c r="AQ450" s="56"/>
      <c r="AR450" s="56"/>
      <c r="AS450" s="56"/>
      <c r="AT450" s="56"/>
      <c r="AU450" s="56"/>
      <c r="AV450" s="56"/>
      <c r="AW450" s="172"/>
      <c r="AX450" s="56"/>
      <c r="AY450" s="56"/>
      <c r="AZ450" s="56"/>
      <c r="BA450" s="172"/>
      <c r="BB450" s="56"/>
      <c r="BC450" s="10"/>
      <c r="BD450" s="56"/>
      <c r="BE450" s="56"/>
      <c r="BF450" s="56"/>
      <c r="BG450" s="56"/>
      <c r="BO450" s="145"/>
      <c r="CI450" s="145"/>
      <c r="CY450" s="145"/>
    </row>
    <row r="451" spans="1:103" s="97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65"/>
      <c r="M451" s="10"/>
      <c r="N451" s="56"/>
      <c r="O451" s="56"/>
      <c r="P451" s="162"/>
      <c r="Q451" s="178"/>
      <c r="R451" s="168"/>
      <c r="S451" s="56"/>
      <c r="T451" s="56"/>
      <c r="U451" s="56"/>
      <c r="V451" s="162"/>
      <c r="W451" s="178"/>
      <c r="X451" s="172"/>
      <c r="Y451" s="10"/>
      <c r="Z451" s="56"/>
      <c r="AA451" s="56"/>
      <c r="AB451" s="56"/>
      <c r="AC451" s="56"/>
      <c r="AD451" s="56"/>
      <c r="AE451" s="174"/>
      <c r="AF451" s="56"/>
      <c r="AG451" s="56"/>
      <c r="AH451" s="172"/>
      <c r="AI451" s="56"/>
      <c r="AJ451" s="56"/>
      <c r="AK451" s="56"/>
      <c r="AL451" s="56"/>
      <c r="AM451" s="56"/>
      <c r="AN451" s="56"/>
      <c r="AO451" s="172"/>
      <c r="AP451" s="56"/>
      <c r="AQ451" s="56"/>
      <c r="AR451" s="56"/>
      <c r="AS451" s="56"/>
      <c r="AT451" s="56"/>
      <c r="AU451" s="56"/>
      <c r="AV451" s="56"/>
      <c r="AW451" s="172"/>
      <c r="AX451" s="56"/>
      <c r="AY451" s="56"/>
      <c r="AZ451" s="56"/>
      <c r="BA451" s="172"/>
      <c r="BB451" s="56"/>
      <c r="BC451" s="10"/>
      <c r="BD451" s="56"/>
      <c r="BE451" s="56"/>
      <c r="BF451" s="56"/>
      <c r="BG451" s="56"/>
      <c r="BO451" s="145"/>
      <c r="CI451" s="145"/>
      <c r="CY451" s="145"/>
    </row>
    <row r="452" spans="1:103" s="97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65"/>
      <c r="M452" s="10"/>
      <c r="N452" s="56"/>
      <c r="O452" s="56"/>
      <c r="P452" s="162"/>
      <c r="Q452" s="178"/>
      <c r="R452" s="168"/>
      <c r="S452" s="56"/>
      <c r="T452" s="56"/>
      <c r="U452" s="56"/>
      <c r="V452" s="162"/>
      <c r="W452" s="178"/>
      <c r="X452" s="172"/>
      <c r="Y452" s="10"/>
      <c r="Z452" s="56"/>
      <c r="AA452" s="56"/>
      <c r="AB452" s="56"/>
      <c r="AC452" s="56"/>
      <c r="AD452" s="56"/>
      <c r="AE452" s="174"/>
      <c r="AF452" s="56"/>
      <c r="AG452" s="56"/>
      <c r="AH452" s="172"/>
      <c r="AI452" s="56"/>
      <c r="AJ452" s="56"/>
      <c r="AK452" s="56"/>
      <c r="AL452" s="56"/>
      <c r="AM452" s="56"/>
      <c r="AN452" s="56"/>
      <c r="AO452" s="172"/>
      <c r="AP452" s="56"/>
      <c r="AQ452" s="56"/>
      <c r="AR452" s="56"/>
      <c r="AS452" s="56"/>
      <c r="AT452" s="56"/>
      <c r="AU452" s="56"/>
      <c r="AV452" s="56"/>
      <c r="AW452" s="172"/>
      <c r="AX452" s="56"/>
      <c r="AY452" s="56"/>
      <c r="AZ452" s="56"/>
      <c r="BA452" s="172"/>
      <c r="BB452" s="56"/>
      <c r="BC452" s="10"/>
      <c r="BD452" s="56"/>
      <c r="BE452" s="56"/>
      <c r="BF452" s="56"/>
      <c r="BG452" s="56"/>
      <c r="BO452" s="145"/>
      <c r="CI452" s="145"/>
      <c r="CY452" s="145"/>
    </row>
    <row r="453" spans="1:103" s="97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65"/>
      <c r="M453" s="10"/>
      <c r="N453" s="56"/>
      <c r="O453" s="56"/>
      <c r="P453" s="162"/>
      <c r="Q453" s="178"/>
      <c r="R453" s="168"/>
      <c r="S453" s="56"/>
      <c r="T453" s="56"/>
      <c r="U453" s="56"/>
      <c r="V453" s="162"/>
      <c r="W453" s="178"/>
      <c r="X453" s="172"/>
      <c r="Y453" s="10"/>
      <c r="Z453" s="56"/>
      <c r="AA453" s="56"/>
      <c r="AB453" s="56"/>
      <c r="AC453" s="56"/>
      <c r="AD453" s="56"/>
      <c r="AE453" s="174"/>
      <c r="AF453" s="56"/>
      <c r="AG453" s="56"/>
      <c r="AH453" s="172"/>
      <c r="AI453" s="56"/>
      <c r="AJ453" s="56"/>
      <c r="AK453" s="56"/>
      <c r="AL453" s="56"/>
      <c r="AM453" s="56"/>
      <c r="AN453" s="56"/>
      <c r="AO453" s="172"/>
      <c r="AP453" s="56"/>
      <c r="AQ453" s="56"/>
      <c r="AR453" s="56"/>
      <c r="AS453" s="56"/>
      <c r="AT453" s="56"/>
      <c r="AU453" s="56"/>
      <c r="AV453" s="56"/>
      <c r="AW453" s="172"/>
      <c r="AX453" s="56"/>
      <c r="AY453" s="56"/>
      <c r="AZ453" s="56"/>
      <c r="BA453" s="172"/>
      <c r="BB453" s="56"/>
      <c r="BC453" s="10"/>
      <c r="BD453" s="56"/>
      <c r="BE453" s="56"/>
      <c r="BF453" s="56"/>
      <c r="BG453" s="56"/>
      <c r="BO453" s="145"/>
      <c r="CI453" s="145"/>
      <c r="CY453" s="145"/>
    </row>
    <row r="454" spans="1:103" s="97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65"/>
      <c r="M454" s="10"/>
      <c r="N454" s="56"/>
      <c r="O454" s="56"/>
      <c r="P454" s="162"/>
      <c r="Q454" s="178"/>
      <c r="R454" s="168"/>
      <c r="S454" s="56"/>
      <c r="T454" s="56"/>
      <c r="U454" s="56"/>
      <c r="V454" s="162"/>
      <c r="W454" s="178"/>
      <c r="X454" s="172"/>
      <c r="Y454" s="10"/>
      <c r="Z454" s="56"/>
      <c r="AA454" s="56"/>
      <c r="AB454" s="56"/>
      <c r="AC454" s="56"/>
      <c r="AD454" s="56"/>
      <c r="AE454" s="174"/>
      <c r="AF454" s="56"/>
      <c r="AG454" s="56"/>
      <c r="AH454" s="172"/>
      <c r="AI454" s="56"/>
      <c r="AJ454" s="56"/>
      <c r="AK454" s="56"/>
      <c r="AL454" s="56"/>
      <c r="AM454" s="56"/>
      <c r="AN454" s="56"/>
      <c r="AO454" s="172"/>
      <c r="AP454" s="56"/>
      <c r="AQ454" s="56"/>
      <c r="AR454" s="56"/>
      <c r="AS454" s="56"/>
      <c r="AT454" s="56"/>
      <c r="AU454" s="56"/>
      <c r="AV454" s="56"/>
      <c r="AW454" s="172"/>
      <c r="AX454" s="56"/>
      <c r="AY454" s="56"/>
      <c r="AZ454" s="56"/>
      <c r="BA454" s="172"/>
      <c r="BB454" s="56"/>
      <c r="BC454" s="10"/>
      <c r="BD454" s="56"/>
      <c r="BE454" s="56"/>
      <c r="BF454" s="56"/>
      <c r="BG454" s="56"/>
      <c r="BO454" s="145"/>
      <c r="CI454" s="145"/>
      <c r="CY454" s="145"/>
    </row>
    <row r="455" spans="1:103" s="97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65"/>
      <c r="M455" s="10"/>
      <c r="N455" s="56"/>
      <c r="O455" s="56"/>
      <c r="P455" s="162"/>
      <c r="Q455" s="178"/>
      <c r="R455" s="168"/>
      <c r="S455" s="56"/>
      <c r="T455" s="56"/>
      <c r="U455" s="56"/>
      <c r="V455" s="162"/>
      <c r="W455" s="178"/>
      <c r="X455" s="172"/>
      <c r="Y455" s="10"/>
      <c r="Z455" s="56"/>
      <c r="AA455" s="56"/>
      <c r="AB455" s="56"/>
      <c r="AC455" s="56"/>
      <c r="AD455" s="56"/>
      <c r="AE455" s="174"/>
      <c r="AF455" s="56"/>
      <c r="AG455" s="56"/>
      <c r="AH455" s="172"/>
      <c r="AI455" s="56"/>
      <c r="AJ455" s="56"/>
      <c r="AK455" s="56"/>
      <c r="AL455" s="56"/>
      <c r="AM455" s="56"/>
      <c r="AN455" s="56"/>
      <c r="AO455" s="172"/>
      <c r="AP455" s="56"/>
      <c r="AQ455" s="56"/>
      <c r="AR455" s="56"/>
      <c r="AS455" s="56"/>
      <c r="AT455" s="56"/>
      <c r="AU455" s="56"/>
      <c r="AV455" s="56"/>
      <c r="AW455" s="172"/>
      <c r="AX455" s="56"/>
      <c r="AY455" s="56"/>
      <c r="AZ455" s="56"/>
      <c r="BA455" s="172"/>
      <c r="BB455" s="56"/>
      <c r="BC455" s="10"/>
      <c r="BD455" s="56"/>
      <c r="BE455" s="56"/>
      <c r="BF455" s="56"/>
      <c r="BG455" s="56"/>
      <c r="BO455" s="145"/>
      <c r="CI455" s="145"/>
      <c r="CY455" s="145"/>
    </row>
    <row r="456" spans="1:103" s="97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65"/>
      <c r="M456" s="10"/>
      <c r="N456" s="56"/>
      <c r="O456" s="56"/>
      <c r="P456" s="162"/>
      <c r="Q456" s="178"/>
      <c r="R456" s="168"/>
      <c r="S456" s="56"/>
      <c r="T456" s="56"/>
      <c r="U456" s="56"/>
      <c r="V456" s="162"/>
      <c r="W456" s="178"/>
      <c r="X456" s="172"/>
      <c r="Y456" s="10"/>
      <c r="Z456" s="56"/>
      <c r="AA456" s="56"/>
      <c r="AB456" s="56"/>
      <c r="AC456" s="56"/>
      <c r="AD456" s="56"/>
      <c r="AE456" s="174"/>
      <c r="AF456" s="56"/>
      <c r="AG456" s="56"/>
      <c r="AH456" s="172"/>
      <c r="AI456" s="56"/>
      <c r="AJ456" s="56"/>
      <c r="AK456" s="56"/>
      <c r="AL456" s="56"/>
      <c r="AM456" s="56"/>
      <c r="AN456" s="56"/>
      <c r="AO456" s="172"/>
      <c r="AP456" s="56"/>
      <c r="AQ456" s="56"/>
      <c r="AR456" s="56"/>
      <c r="AS456" s="56"/>
      <c r="AT456" s="56"/>
      <c r="AU456" s="56"/>
      <c r="AV456" s="56"/>
      <c r="AW456" s="172"/>
      <c r="AX456" s="56"/>
      <c r="AY456" s="56"/>
      <c r="AZ456" s="56"/>
      <c r="BA456" s="172"/>
      <c r="BB456" s="56"/>
      <c r="BC456" s="10"/>
      <c r="BD456" s="56"/>
      <c r="BE456" s="56"/>
      <c r="BF456" s="56"/>
      <c r="BG456" s="56"/>
      <c r="BO456" s="145"/>
      <c r="CI456" s="145"/>
      <c r="CY456" s="145"/>
    </row>
    <row r="457" spans="1:103" s="97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65"/>
      <c r="M457" s="10"/>
      <c r="N457" s="56"/>
      <c r="O457" s="56"/>
      <c r="P457" s="162"/>
      <c r="Q457" s="178"/>
      <c r="R457" s="168"/>
      <c r="S457" s="56"/>
      <c r="T457" s="56"/>
      <c r="U457" s="56"/>
      <c r="V457" s="162"/>
      <c r="W457" s="178"/>
      <c r="X457" s="172"/>
      <c r="Y457" s="10"/>
      <c r="Z457" s="56"/>
      <c r="AA457" s="56"/>
      <c r="AB457" s="56"/>
      <c r="AC457" s="56"/>
      <c r="AD457" s="56"/>
      <c r="AE457" s="174"/>
      <c r="AF457" s="56"/>
      <c r="AG457" s="56"/>
      <c r="AH457" s="172"/>
      <c r="AI457" s="56"/>
      <c r="AJ457" s="56"/>
      <c r="AK457" s="56"/>
      <c r="AL457" s="56"/>
      <c r="AM457" s="56"/>
      <c r="AN457" s="56"/>
      <c r="AO457" s="172"/>
      <c r="AP457" s="56"/>
      <c r="AQ457" s="56"/>
      <c r="AR457" s="56"/>
      <c r="AS457" s="56"/>
      <c r="AT457" s="56"/>
      <c r="AU457" s="56"/>
      <c r="AV457" s="56"/>
      <c r="AW457" s="172"/>
      <c r="AX457" s="56"/>
      <c r="AY457" s="56"/>
      <c r="AZ457" s="56"/>
      <c r="BA457" s="172"/>
      <c r="BB457" s="56"/>
      <c r="BC457" s="10"/>
      <c r="BD457" s="56"/>
      <c r="BE457" s="56"/>
      <c r="BF457" s="56"/>
      <c r="BG457" s="56"/>
      <c r="BO457" s="145"/>
      <c r="CI457" s="145"/>
      <c r="CY457" s="145"/>
    </row>
    <row r="458" spans="1:103" s="97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65"/>
      <c r="M458" s="10"/>
      <c r="N458" s="56"/>
      <c r="O458" s="56"/>
      <c r="P458" s="162"/>
      <c r="Q458" s="178"/>
      <c r="R458" s="168"/>
      <c r="S458" s="56"/>
      <c r="T458" s="56"/>
      <c r="U458" s="56"/>
      <c r="V458" s="162"/>
      <c r="W458" s="178"/>
      <c r="X458" s="172"/>
      <c r="Y458" s="10"/>
      <c r="Z458" s="56"/>
      <c r="AA458" s="56"/>
      <c r="AB458" s="56"/>
      <c r="AC458" s="56"/>
      <c r="AD458" s="56"/>
      <c r="AE458" s="174"/>
      <c r="AF458" s="56"/>
      <c r="AG458" s="56"/>
      <c r="AH458" s="172"/>
      <c r="AI458" s="56"/>
      <c r="AJ458" s="56"/>
      <c r="AK458" s="56"/>
      <c r="AL458" s="56"/>
      <c r="AM458" s="56"/>
      <c r="AN458" s="56"/>
      <c r="AO458" s="172"/>
      <c r="AP458" s="56"/>
      <c r="AQ458" s="56"/>
      <c r="AR458" s="56"/>
      <c r="AS458" s="56"/>
      <c r="AT458" s="56"/>
      <c r="AU458" s="56"/>
      <c r="AV458" s="56"/>
      <c r="AW458" s="172"/>
      <c r="AX458" s="56"/>
      <c r="AY458" s="56"/>
      <c r="AZ458" s="56"/>
      <c r="BA458" s="172"/>
      <c r="BB458" s="56"/>
      <c r="BC458" s="10"/>
      <c r="BD458" s="56"/>
      <c r="BE458" s="56"/>
      <c r="BF458" s="56"/>
      <c r="BG458" s="56"/>
      <c r="BO458" s="145"/>
      <c r="CI458" s="145"/>
      <c r="CY458" s="145"/>
    </row>
    <row r="459" spans="1:103" s="97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65"/>
      <c r="M459" s="10"/>
      <c r="N459" s="56"/>
      <c r="O459" s="56"/>
      <c r="P459" s="162"/>
      <c r="Q459" s="178"/>
      <c r="R459" s="168"/>
      <c r="S459" s="56"/>
      <c r="T459" s="56"/>
      <c r="U459" s="56"/>
      <c r="V459" s="162"/>
      <c r="W459" s="178"/>
      <c r="X459" s="172"/>
      <c r="Y459" s="10"/>
      <c r="Z459" s="56"/>
      <c r="AA459" s="56"/>
      <c r="AB459" s="56"/>
      <c r="AC459" s="56"/>
      <c r="AD459" s="56"/>
      <c r="AE459" s="174"/>
      <c r="AF459" s="56"/>
      <c r="AG459" s="56"/>
      <c r="AH459" s="172"/>
      <c r="AI459" s="56"/>
      <c r="AJ459" s="56"/>
      <c r="AK459" s="56"/>
      <c r="AL459" s="56"/>
      <c r="AM459" s="56"/>
      <c r="AN459" s="56"/>
      <c r="AO459" s="172"/>
      <c r="AP459" s="56"/>
      <c r="AQ459" s="56"/>
      <c r="AR459" s="56"/>
      <c r="AS459" s="56"/>
      <c r="AT459" s="56"/>
      <c r="AU459" s="56"/>
      <c r="AV459" s="56"/>
      <c r="AW459" s="172"/>
      <c r="AX459" s="56"/>
      <c r="AY459" s="56"/>
      <c r="AZ459" s="56"/>
      <c r="BA459" s="172"/>
      <c r="BB459" s="56"/>
      <c r="BC459" s="10"/>
      <c r="BD459" s="56"/>
      <c r="BE459" s="56"/>
      <c r="BF459" s="56"/>
      <c r="BG459" s="56"/>
      <c r="BO459" s="145"/>
      <c r="CI459" s="145"/>
      <c r="CY459" s="145"/>
    </row>
    <row r="460" spans="1:103" s="97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65"/>
      <c r="M460" s="10"/>
      <c r="N460" s="56"/>
      <c r="O460" s="56"/>
      <c r="P460" s="162"/>
      <c r="Q460" s="178"/>
      <c r="R460" s="168"/>
      <c r="S460" s="56"/>
      <c r="T460" s="56"/>
      <c r="U460" s="56"/>
      <c r="V460" s="162"/>
      <c r="W460" s="178"/>
      <c r="X460" s="172"/>
      <c r="Y460" s="10"/>
      <c r="Z460" s="56"/>
      <c r="AA460" s="56"/>
      <c r="AB460" s="56"/>
      <c r="AC460" s="56"/>
      <c r="AD460" s="56"/>
      <c r="AE460" s="174"/>
      <c r="AF460" s="56"/>
      <c r="AG460" s="56"/>
      <c r="AH460" s="172"/>
      <c r="AI460" s="56"/>
      <c r="AJ460" s="56"/>
      <c r="AK460" s="56"/>
      <c r="AL460" s="56"/>
      <c r="AM460" s="56"/>
      <c r="AN460" s="56"/>
      <c r="AO460" s="172"/>
      <c r="AP460" s="56"/>
      <c r="AQ460" s="56"/>
      <c r="AR460" s="56"/>
      <c r="AS460" s="56"/>
      <c r="AT460" s="56"/>
      <c r="AU460" s="56"/>
      <c r="AV460" s="56"/>
      <c r="AW460" s="172"/>
      <c r="AX460" s="56"/>
      <c r="AY460" s="56"/>
      <c r="AZ460" s="56"/>
      <c r="BA460" s="172"/>
      <c r="BB460" s="56"/>
      <c r="BC460" s="10"/>
      <c r="BD460" s="56"/>
      <c r="BE460" s="56"/>
      <c r="BF460" s="56"/>
      <c r="BG460" s="56"/>
      <c r="BO460" s="145"/>
      <c r="CI460" s="145"/>
      <c r="CY460" s="145"/>
    </row>
    <row r="461" spans="1:103" s="97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65"/>
      <c r="M461" s="10"/>
      <c r="N461" s="56"/>
      <c r="O461" s="56"/>
      <c r="P461" s="162"/>
      <c r="Q461" s="178"/>
      <c r="R461" s="168"/>
      <c r="S461" s="56"/>
      <c r="T461" s="56"/>
      <c r="U461" s="56"/>
      <c r="V461" s="162"/>
      <c r="W461" s="178"/>
      <c r="X461" s="172"/>
      <c r="Y461" s="10"/>
      <c r="Z461" s="56"/>
      <c r="AA461" s="56"/>
      <c r="AB461" s="56"/>
      <c r="AC461" s="56"/>
      <c r="AD461" s="56"/>
      <c r="AE461" s="174"/>
      <c r="AF461" s="56"/>
      <c r="AG461" s="56"/>
      <c r="AH461" s="172"/>
      <c r="AI461" s="56"/>
      <c r="AJ461" s="56"/>
      <c r="AK461" s="56"/>
      <c r="AL461" s="56"/>
      <c r="AM461" s="56"/>
      <c r="AN461" s="56"/>
      <c r="AO461" s="172"/>
      <c r="AP461" s="56"/>
      <c r="AQ461" s="56"/>
      <c r="AR461" s="56"/>
      <c r="AS461" s="56"/>
      <c r="AT461" s="56"/>
      <c r="AU461" s="56"/>
      <c r="AV461" s="56"/>
      <c r="AW461" s="172"/>
      <c r="AX461" s="56"/>
      <c r="AY461" s="56"/>
      <c r="AZ461" s="56"/>
      <c r="BA461" s="172"/>
      <c r="BB461" s="56"/>
      <c r="BC461" s="10"/>
      <c r="BD461" s="56"/>
      <c r="BE461" s="56"/>
      <c r="BF461" s="56"/>
      <c r="BG461" s="56"/>
      <c r="BO461" s="145"/>
      <c r="CI461" s="145"/>
      <c r="CY461" s="145"/>
    </row>
    <row r="462" spans="1:103" s="97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65"/>
      <c r="M462" s="10"/>
      <c r="N462" s="56"/>
      <c r="O462" s="56"/>
      <c r="P462" s="162"/>
      <c r="Q462" s="178"/>
      <c r="R462" s="168"/>
      <c r="S462" s="56"/>
      <c r="T462" s="56"/>
      <c r="U462" s="56"/>
      <c r="V462" s="162"/>
      <c r="W462" s="178"/>
      <c r="X462" s="172"/>
      <c r="Y462" s="10"/>
      <c r="Z462" s="56"/>
      <c r="AA462" s="56"/>
      <c r="AB462" s="56"/>
      <c r="AC462" s="56"/>
      <c r="AD462" s="56"/>
      <c r="AE462" s="174"/>
      <c r="AF462" s="56"/>
      <c r="AG462" s="56"/>
      <c r="AH462" s="172"/>
      <c r="AI462" s="56"/>
      <c r="AJ462" s="56"/>
      <c r="AK462" s="56"/>
      <c r="AL462" s="56"/>
      <c r="AM462" s="56"/>
      <c r="AN462" s="56"/>
      <c r="AO462" s="172"/>
      <c r="AP462" s="56"/>
      <c r="AQ462" s="56"/>
      <c r="AR462" s="56"/>
      <c r="AS462" s="56"/>
      <c r="AT462" s="56"/>
      <c r="AU462" s="56"/>
      <c r="AV462" s="56"/>
      <c r="AW462" s="172"/>
      <c r="AX462" s="56"/>
      <c r="AY462" s="56"/>
      <c r="AZ462" s="56"/>
      <c r="BA462" s="172"/>
      <c r="BB462" s="56"/>
      <c r="BC462" s="10"/>
      <c r="BD462" s="56"/>
      <c r="BE462" s="56"/>
      <c r="BF462" s="56"/>
      <c r="BG462" s="56"/>
      <c r="BO462" s="145"/>
      <c r="CI462" s="145"/>
      <c r="CY462" s="145"/>
    </row>
    <row r="463" spans="1:103" s="97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65"/>
      <c r="M463" s="10"/>
      <c r="N463" s="56"/>
      <c r="O463" s="56"/>
      <c r="P463" s="162"/>
      <c r="Q463" s="178"/>
      <c r="R463" s="168"/>
      <c r="S463" s="56"/>
      <c r="T463" s="56"/>
      <c r="U463" s="56"/>
      <c r="V463" s="162"/>
      <c r="W463" s="178"/>
      <c r="X463" s="172"/>
      <c r="Y463" s="10"/>
      <c r="Z463" s="56"/>
      <c r="AA463" s="56"/>
      <c r="AB463" s="56"/>
      <c r="AC463" s="56"/>
      <c r="AD463" s="56"/>
      <c r="AE463" s="174"/>
      <c r="AF463" s="56"/>
      <c r="AG463" s="56"/>
      <c r="AH463" s="172"/>
      <c r="AI463" s="56"/>
      <c r="AJ463" s="56"/>
      <c r="AK463" s="56"/>
      <c r="AL463" s="56"/>
      <c r="AM463" s="56"/>
      <c r="AN463" s="56"/>
      <c r="AO463" s="172"/>
      <c r="AP463" s="56"/>
      <c r="AQ463" s="56"/>
      <c r="AR463" s="56"/>
      <c r="AS463" s="56"/>
      <c r="AT463" s="56"/>
      <c r="AU463" s="56"/>
      <c r="AV463" s="56"/>
      <c r="AW463" s="172"/>
      <c r="AX463" s="56"/>
      <c r="AY463" s="56"/>
      <c r="AZ463" s="56"/>
      <c r="BA463" s="172"/>
      <c r="BB463" s="56"/>
      <c r="BC463" s="10"/>
      <c r="BD463" s="56"/>
      <c r="BE463" s="56"/>
      <c r="BF463" s="56"/>
      <c r="BG463" s="56"/>
      <c r="BO463" s="145"/>
      <c r="CI463" s="145"/>
      <c r="CY463" s="145"/>
    </row>
    <row r="464" spans="1:103" s="97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65"/>
      <c r="M464" s="10"/>
      <c r="N464" s="56"/>
      <c r="O464" s="56"/>
      <c r="P464" s="162"/>
      <c r="Q464" s="178"/>
      <c r="R464" s="168"/>
      <c r="S464" s="56"/>
      <c r="T464" s="56"/>
      <c r="U464" s="56"/>
      <c r="V464" s="162"/>
      <c r="W464" s="178"/>
      <c r="X464" s="172"/>
      <c r="Y464" s="10"/>
      <c r="Z464" s="56"/>
      <c r="AA464" s="56"/>
      <c r="AB464" s="56"/>
      <c r="AC464" s="56"/>
      <c r="AD464" s="56"/>
      <c r="AE464" s="174"/>
      <c r="AF464" s="56"/>
      <c r="AG464" s="56"/>
      <c r="AH464" s="172"/>
      <c r="AI464" s="56"/>
      <c r="AJ464" s="56"/>
      <c r="AK464" s="56"/>
      <c r="AL464" s="56"/>
      <c r="AM464" s="56"/>
      <c r="AN464" s="56"/>
      <c r="AO464" s="172"/>
      <c r="AP464" s="56"/>
      <c r="AQ464" s="56"/>
      <c r="AR464" s="56"/>
      <c r="AS464" s="56"/>
      <c r="AT464" s="56"/>
      <c r="AU464" s="56"/>
      <c r="AV464" s="56"/>
      <c r="AW464" s="172"/>
      <c r="AX464" s="56"/>
      <c r="AY464" s="56"/>
      <c r="AZ464" s="56"/>
      <c r="BA464" s="172"/>
      <c r="BB464" s="56"/>
      <c r="BC464" s="10"/>
      <c r="BD464" s="56"/>
      <c r="BE464" s="56"/>
      <c r="BF464" s="56"/>
      <c r="BG464" s="56"/>
      <c r="BO464" s="145"/>
      <c r="CI464" s="145"/>
      <c r="CY464" s="145"/>
    </row>
    <row r="465" spans="1:103" s="97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65"/>
      <c r="M465" s="10"/>
      <c r="N465" s="56"/>
      <c r="O465" s="56"/>
      <c r="P465" s="162"/>
      <c r="Q465" s="178"/>
      <c r="R465" s="168"/>
      <c r="S465" s="56"/>
      <c r="T465" s="56"/>
      <c r="U465" s="56"/>
      <c r="V465" s="162"/>
      <c r="W465" s="178"/>
      <c r="X465" s="172"/>
      <c r="Y465" s="10"/>
      <c r="Z465" s="56"/>
      <c r="AA465" s="56"/>
      <c r="AB465" s="56"/>
      <c r="AC465" s="56"/>
      <c r="AD465" s="56"/>
      <c r="AE465" s="174"/>
      <c r="AF465" s="56"/>
      <c r="AG465" s="56"/>
      <c r="AH465" s="172"/>
      <c r="AI465" s="56"/>
      <c r="AJ465" s="56"/>
      <c r="AK465" s="56"/>
      <c r="AL465" s="56"/>
      <c r="AM465" s="56"/>
      <c r="AN465" s="56"/>
      <c r="AO465" s="172"/>
      <c r="AP465" s="56"/>
      <c r="AQ465" s="56"/>
      <c r="AR465" s="56"/>
      <c r="AS465" s="56"/>
      <c r="AT465" s="56"/>
      <c r="AU465" s="56"/>
      <c r="AV465" s="56"/>
      <c r="AW465" s="172"/>
      <c r="AX465" s="56"/>
      <c r="AY465" s="56"/>
      <c r="AZ465" s="56"/>
      <c r="BA465" s="172"/>
      <c r="BB465" s="56"/>
      <c r="BC465" s="10"/>
      <c r="BD465" s="56"/>
      <c r="BE465" s="56"/>
      <c r="BF465" s="56"/>
      <c r="BG465" s="56"/>
      <c r="BO465" s="145"/>
      <c r="CI465" s="145"/>
      <c r="CY465" s="145"/>
    </row>
    <row r="466" spans="1:103" s="97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65"/>
      <c r="M466" s="10"/>
      <c r="N466" s="56"/>
      <c r="O466" s="56"/>
      <c r="P466" s="162"/>
      <c r="Q466" s="178"/>
      <c r="R466" s="168"/>
      <c r="S466" s="56"/>
      <c r="T466" s="56"/>
      <c r="U466" s="56"/>
      <c r="V466" s="162"/>
      <c r="W466" s="178"/>
      <c r="X466" s="172"/>
      <c r="Y466" s="10"/>
      <c r="Z466" s="56"/>
      <c r="AA466" s="56"/>
      <c r="AB466" s="56"/>
      <c r="AC466" s="56"/>
      <c r="AD466" s="56"/>
      <c r="AE466" s="174"/>
      <c r="AF466" s="56"/>
      <c r="AG466" s="56"/>
      <c r="AH466" s="172"/>
      <c r="AI466" s="56"/>
      <c r="AJ466" s="56"/>
      <c r="AK466" s="56"/>
      <c r="AL466" s="56"/>
      <c r="AM466" s="56"/>
      <c r="AN466" s="56"/>
      <c r="AO466" s="172"/>
      <c r="AP466" s="56"/>
      <c r="AQ466" s="56"/>
      <c r="AR466" s="56"/>
      <c r="AS466" s="56"/>
      <c r="AT466" s="56"/>
      <c r="AU466" s="56"/>
      <c r="AV466" s="56"/>
      <c r="AW466" s="172"/>
      <c r="AX466" s="56"/>
      <c r="AY466" s="56"/>
      <c r="AZ466" s="56"/>
      <c r="BA466" s="172"/>
      <c r="BB466" s="56"/>
      <c r="BC466" s="10"/>
      <c r="BD466" s="56"/>
      <c r="BE466" s="56"/>
      <c r="BF466" s="56"/>
      <c r="BG466" s="56"/>
      <c r="BO466" s="145"/>
      <c r="CI466" s="145"/>
      <c r="CY466" s="145"/>
    </row>
    <row r="467" spans="1:103" s="97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65"/>
      <c r="M467" s="10"/>
      <c r="N467" s="56"/>
      <c r="O467" s="56"/>
      <c r="P467" s="162"/>
      <c r="Q467" s="178"/>
      <c r="R467" s="168"/>
      <c r="S467" s="56"/>
      <c r="T467" s="56"/>
      <c r="U467" s="56"/>
      <c r="V467" s="162"/>
      <c r="W467" s="178"/>
      <c r="X467" s="172"/>
      <c r="Y467" s="10"/>
      <c r="Z467" s="56"/>
      <c r="AA467" s="56"/>
      <c r="AB467" s="56"/>
      <c r="AC467" s="56"/>
      <c r="AD467" s="56"/>
      <c r="AE467" s="174"/>
      <c r="AF467" s="56"/>
      <c r="AG467" s="56"/>
      <c r="AH467" s="172"/>
      <c r="AI467" s="56"/>
      <c r="AJ467" s="56"/>
      <c r="AK467" s="56"/>
      <c r="AL467" s="56"/>
      <c r="AM467" s="56"/>
      <c r="AN467" s="56"/>
      <c r="AO467" s="172"/>
      <c r="AP467" s="56"/>
      <c r="AQ467" s="56"/>
      <c r="AR467" s="56"/>
      <c r="AS467" s="56"/>
      <c r="AT467" s="56"/>
      <c r="AU467" s="56"/>
      <c r="AV467" s="56"/>
      <c r="AW467" s="172"/>
      <c r="AX467" s="56"/>
      <c r="AY467" s="56"/>
      <c r="AZ467" s="56"/>
      <c r="BA467" s="172"/>
      <c r="BB467" s="56"/>
      <c r="BC467" s="10"/>
      <c r="BD467" s="56"/>
      <c r="BE467" s="56"/>
      <c r="BF467" s="56"/>
      <c r="BG467" s="56"/>
      <c r="BO467" s="145"/>
      <c r="CI467" s="145"/>
      <c r="CY467" s="145"/>
    </row>
    <row r="468" spans="1:103" s="97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65"/>
      <c r="M468" s="10"/>
      <c r="N468" s="56"/>
      <c r="O468" s="56"/>
      <c r="P468" s="162"/>
      <c r="Q468" s="178"/>
      <c r="R468" s="168"/>
      <c r="S468" s="56"/>
      <c r="T468" s="56"/>
      <c r="U468" s="56"/>
      <c r="V468" s="162"/>
      <c r="W468" s="178"/>
      <c r="X468" s="172"/>
      <c r="Y468" s="10"/>
      <c r="Z468" s="56"/>
      <c r="AA468" s="56"/>
      <c r="AB468" s="56"/>
      <c r="AC468" s="56"/>
      <c r="AD468" s="56"/>
      <c r="AE468" s="174"/>
      <c r="AF468" s="56"/>
      <c r="AG468" s="56"/>
      <c r="AH468" s="172"/>
      <c r="AI468" s="56"/>
      <c r="AJ468" s="56"/>
      <c r="AK468" s="56"/>
      <c r="AL468" s="56"/>
      <c r="AM468" s="56"/>
      <c r="AN468" s="56"/>
      <c r="AO468" s="172"/>
      <c r="AP468" s="56"/>
      <c r="AQ468" s="56"/>
      <c r="AR468" s="56"/>
      <c r="AS468" s="56"/>
      <c r="AT468" s="56"/>
      <c r="AU468" s="56"/>
      <c r="AV468" s="56"/>
      <c r="AW468" s="172"/>
      <c r="AX468" s="56"/>
      <c r="AY468" s="56"/>
      <c r="AZ468" s="56"/>
      <c r="BA468" s="172"/>
      <c r="BB468" s="56"/>
      <c r="BC468" s="10"/>
      <c r="BD468" s="56"/>
      <c r="BE468" s="56"/>
      <c r="BF468" s="56"/>
      <c r="BG468" s="56"/>
      <c r="BO468" s="145"/>
      <c r="CI468" s="145"/>
      <c r="CY468" s="145"/>
    </row>
    <row r="469" spans="1:103" s="97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65"/>
      <c r="M469" s="10"/>
      <c r="N469" s="56"/>
      <c r="O469" s="56"/>
      <c r="P469" s="162"/>
      <c r="Q469" s="178"/>
      <c r="R469" s="168"/>
      <c r="S469" s="56"/>
      <c r="T469" s="56"/>
      <c r="U469" s="56"/>
      <c r="V469" s="162"/>
      <c r="W469" s="178"/>
      <c r="X469" s="172"/>
      <c r="Y469" s="10"/>
      <c r="Z469" s="56"/>
      <c r="AA469" s="56"/>
      <c r="AB469" s="56"/>
      <c r="AC469" s="56"/>
      <c r="AD469" s="56"/>
      <c r="AE469" s="174"/>
      <c r="AF469" s="56"/>
      <c r="AG469" s="56"/>
      <c r="AH469" s="172"/>
      <c r="AI469" s="56"/>
      <c r="AJ469" s="56"/>
      <c r="AK469" s="56"/>
      <c r="AL469" s="56"/>
      <c r="AM469" s="56"/>
      <c r="AN469" s="56"/>
      <c r="AO469" s="172"/>
      <c r="AP469" s="56"/>
      <c r="AQ469" s="56"/>
      <c r="AR469" s="56"/>
      <c r="AS469" s="56"/>
      <c r="AT469" s="56"/>
      <c r="AU469" s="56"/>
      <c r="AV469" s="56"/>
      <c r="AW469" s="172"/>
      <c r="AX469" s="56"/>
      <c r="AY469" s="56"/>
      <c r="AZ469" s="56"/>
      <c r="BA469" s="172"/>
      <c r="BB469" s="56"/>
      <c r="BC469" s="10"/>
      <c r="BD469" s="56"/>
      <c r="BE469" s="56"/>
      <c r="BF469" s="56"/>
      <c r="BG469" s="56"/>
      <c r="BO469" s="145"/>
      <c r="CI469" s="145"/>
      <c r="CY469" s="145"/>
    </row>
    <row r="470" spans="1:103" s="97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65"/>
      <c r="M470" s="10"/>
      <c r="N470" s="56"/>
      <c r="O470" s="56"/>
      <c r="P470" s="162"/>
      <c r="Q470" s="178"/>
      <c r="R470" s="168"/>
      <c r="S470" s="56"/>
      <c r="T470" s="56"/>
      <c r="U470" s="56"/>
      <c r="V470" s="162"/>
      <c r="W470" s="178"/>
      <c r="X470" s="172"/>
      <c r="Y470" s="10"/>
      <c r="Z470" s="56"/>
      <c r="AA470" s="56"/>
      <c r="AB470" s="56"/>
      <c r="AC470" s="56"/>
      <c r="AD470" s="56"/>
      <c r="AE470" s="174"/>
      <c r="AF470" s="56"/>
      <c r="AG470" s="56"/>
      <c r="AH470" s="172"/>
      <c r="AI470" s="56"/>
      <c r="AJ470" s="56"/>
      <c r="AK470" s="56"/>
      <c r="AL470" s="56"/>
      <c r="AM470" s="56"/>
      <c r="AN470" s="56"/>
      <c r="AO470" s="172"/>
      <c r="AP470" s="56"/>
      <c r="AQ470" s="56"/>
      <c r="AR470" s="56"/>
      <c r="AS470" s="56"/>
      <c r="AT470" s="56"/>
      <c r="AU470" s="56"/>
      <c r="AV470" s="56"/>
      <c r="AW470" s="172"/>
      <c r="AX470" s="56"/>
      <c r="AY470" s="56"/>
      <c r="AZ470" s="56"/>
      <c r="BA470" s="172"/>
      <c r="BB470" s="56"/>
      <c r="BC470" s="10"/>
      <c r="BD470" s="56"/>
      <c r="BE470" s="56"/>
      <c r="BF470" s="56"/>
      <c r="BG470" s="56"/>
      <c r="BO470" s="145"/>
      <c r="CI470" s="145"/>
      <c r="CY470" s="145"/>
    </row>
    <row r="471" spans="1:103" s="97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65"/>
      <c r="M471" s="10"/>
      <c r="N471" s="56"/>
      <c r="O471" s="56"/>
      <c r="P471" s="162"/>
      <c r="Q471" s="178"/>
      <c r="R471" s="168"/>
      <c r="S471" s="56"/>
      <c r="T471" s="56"/>
      <c r="U471" s="56"/>
      <c r="V471" s="162"/>
      <c r="W471" s="178"/>
      <c r="X471" s="172"/>
      <c r="Y471" s="10"/>
      <c r="Z471" s="56"/>
      <c r="AA471" s="56"/>
      <c r="AB471" s="56"/>
      <c r="AC471" s="56"/>
      <c r="AD471" s="56"/>
      <c r="AE471" s="174"/>
      <c r="AF471" s="56"/>
      <c r="AG471" s="56"/>
      <c r="AH471" s="172"/>
      <c r="AI471" s="56"/>
      <c r="AJ471" s="56"/>
      <c r="AK471" s="56"/>
      <c r="AL471" s="56"/>
      <c r="AM471" s="56"/>
      <c r="AN471" s="56"/>
      <c r="AO471" s="172"/>
      <c r="AP471" s="56"/>
      <c r="AQ471" s="56"/>
      <c r="AR471" s="56"/>
      <c r="AS471" s="56"/>
      <c r="AT471" s="56"/>
      <c r="AU471" s="56"/>
      <c r="AV471" s="56"/>
      <c r="AW471" s="172"/>
      <c r="AX471" s="56"/>
      <c r="AY471" s="56"/>
      <c r="AZ471" s="56"/>
      <c r="BA471" s="172"/>
      <c r="BB471" s="56"/>
      <c r="BC471" s="10"/>
      <c r="BD471" s="56"/>
      <c r="BE471" s="56"/>
      <c r="BF471" s="56"/>
      <c r="BG471" s="56"/>
      <c r="BO471" s="145"/>
      <c r="CI471" s="145"/>
      <c r="CY471" s="145"/>
    </row>
    <row r="472" spans="1:103" s="97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65"/>
      <c r="M472" s="10"/>
      <c r="N472" s="56"/>
      <c r="O472" s="56"/>
      <c r="P472" s="162"/>
      <c r="Q472" s="178"/>
      <c r="R472" s="168"/>
      <c r="S472" s="56"/>
      <c r="T472" s="56"/>
      <c r="U472" s="56"/>
      <c r="V472" s="162"/>
      <c r="W472" s="178"/>
      <c r="X472" s="172"/>
      <c r="Y472" s="10"/>
      <c r="Z472" s="56"/>
      <c r="AA472" s="56"/>
      <c r="AB472" s="56"/>
      <c r="AC472" s="56"/>
      <c r="AD472" s="56"/>
      <c r="AE472" s="174"/>
      <c r="AF472" s="56"/>
      <c r="AG472" s="56"/>
      <c r="AH472" s="172"/>
      <c r="AI472" s="56"/>
      <c r="AJ472" s="56"/>
      <c r="AK472" s="56"/>
      <c r="AL472" s="56"/>
      <c r="AM472" s="56"/>
      <c r="AN472" s="56"/>
      <c r="AO472" s="172"/>
      <c r="AP472" s="56"/>
      <c r="AQ472" s="56"/>
      <c r="AR472" s="56"/>
      <c r="AS472" s="56"/>
      <c r="AT472" s="56"/>
      <c r="AU472" s="56"/>
      <c r="AV472" s="56"/>
      <c r="AW472" s="172"/>
      <c r="AX472" s="56"/>
      <c r="AY472" s="56"/>
      <c r="AZ472" s="56"/>
      <c r="BA472" s="172"/>
      <c r="BB472" s="56"/>
      <c r="BC472" s="10"/>
      <c r="BD472" s="56"/>
      <c r="BE472" s="56"/>
      <c r="BF472" s="56"/>
      <c r="BG472" s="56"/>
      <c r="BO472" s="145"/>
      <c r="CI472" s="145"/>
      <c r="CY472" s="145"/>
    </row>
    <row r="473" spans="1:103" s="97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65"/>
      <c r="M473" s="10"/>
      <c r="N473" s="56"/>
      <c r="O473" s="56"/>
      <c r="P473" s="162"/>
      <c r="Q473" s="178"/>
      <c r="R473" s="168"/>
      <c r="S473" s="56"/>
      <c r="T473" s="56"/>
      <c r="U473" s="56"/>
      <c r="V473" s="162"/>
      <c r="W473" s="178"/>
      <c r="X473" s="172"/>
      <c r="Y473" s="10"/>
      <c r="Z473" s="56"/>
      <c r="AA473" s="56"/>
      <c r="AB473" s="56"/>
      <c r="AC473" s="56"/>
      <c r="AD473" s="56"/>
      <c r="AE473" s="174"/>
      <c r="AF473" s="56"/>
      <c r="AG473" s="56"/>
      <c r="AH473" s="172"/>
      <c r="AI473" s="56"/>
      <c r="AJ473" s="56"/>
      <c r="AK473" s="56"/>
      <c r="AL473" s="56"/>
      <c r="AM473" s="56"/>
      <c r="AN473" s="56"/>
      <c r="AO473" s="172"/>
      <c r="AP473" s="56"/>
      <c r="AQ473" s="56"/>
      <c r="AR473" s="56"/>
      <c r="AS473" s="56"/>
      <c r="AT473" s="56"/>
      <c r="AU473" s="56"/>
      <c r="AV473" s="56"/>
      <c r="AW473" s="172"/>
      <c r="AX473" s="56"/>
      <c r="AY473" s="56"/>
      <c r="AZ473" s="56"/>
      <c r="BA473" s="172"/>
      <c r="BB473" s="56"/>
      <c r="BC473" s="10"/>
      <c r="BD473" s="56"/>
      <c r="BE473" s="56"/>
      <c r="BF473" s="56"/>
      <c r="BG473" s="56"/>
      <c r="BO473" s="145"/>
      <c r="CI473" s="145"/>
      <c r="CY473" s="145"/>
    </row>
    <row r="474" spans="1:103" s="97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65"/>
      <c r="M474" s="10"/>
      <c r="N474" s="56"/>
      <c r="O474" s="56"/>
      <c r="P474" s="162"/>
      <c r="Q474" s="178"/>
      <c r="R474" s="168"/>
      <c r="S474" s="56"/>
      <c r="T474" s="56"/>
      <c r="U474" s="56"/>
      <c r="V474" s="162"/>
      <c r="W474" s="178"/>
      <c r="X474" s="172"/>
      <c r="Y474" s="10"/>
      <c r="Z474" s="56"/>
      <c r="AA474" s="56"/>
      <c r="AB474" s="56"/>
      <c r="AC474" s="56"/>
      <c r="AD474" s="56"/>
      <c r="AE474" s="174"/>
      <c r="AF474" s="56"/>
      <c r="AG474" s="56"/>
      <c r="AH474" s="172"/>
      <c r="AI474" s="56"/>
      <c r="AJ474" s="56"/>
      <c r="AK474" s="56"/>
      <c r="AL474" s="56"/>
      <c r="AM474" s="56"/>
      <c r="AN474" s="56"/>
      <c r="AO474" s="172"/>
      <c r="AP474" s="56"/>
      <c r="AQ474" s="56"/>
      <c r="AR474" s="56"/>
      <c r="AS474" s="56"/>
      <c r="AT474" s="56"/>
      <c r="AU474" s="56"/>
      <c r="AV474" s="56"/>
      <c r="AW474" s="172"/>
      <c r="AX474" s="56"/>
      <c r="AY474" s="56"/>
      <c r="AZ474" s="56"/>
      <c r="BA474" s="172"/>
      <c r="BB474" s="56"/>
      <c r="BC474" s="10"/>
      <c r="BD474" s="56"/>
      <c r="BE474" s="56"/>
      <c r="BF474" s="56"/>
      <c r="BG474" s="56"/>
      <c r="BO474" s="145"/>
      <c r="CI474" s="145"/>
      <c r="CY474" s="145"/>
    </row>
    <row r="475" spans="1:103" s="97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65"/>
      <c r="M475" s="10"/>
      <c r="N475" s="56"/>
      <c r="O475" s="56"/>
      <c r="P475" s="162"/>
      <c r="Q475" s="178"/>
      <c r="R475" s="168"/>
      <c r="S475" s="56"/>
      <c r="T475" s="56"/>
      <c r="U475" s="56"/>
      <c r="V475" s="162"/>
      <c r="W475" s="178"/>
      <c r="X475" s="172"/>
      <c r="Y475" s="10"/>
      <c r="Z475" s="56"/>
      <c r="AA475" s="56"/>
      <c r="AB475" s="56"/>
      <c r="AC475" s="56"/>
      <c r="AD475" s="56"/>
      <c r="AE475" s="174"/>
      <c r="AF475" s="56"/>
      <c r="AG475" s="56"/>
      <c r="AH475" s="172"/>
      <c r="AI475" s="56"/>
      <c r="AJ475" s="56"/>
      <c r="AK475" s="56"/>
      <c r="AL475" s="56"/>
      <c r="AM475" s="56"/>
      <c r="AN475" s="56"/>
      <c r="AO475" s="172"/>
      <c r="AP475" s="56"/>
      <c r="AQ475" s="56"/>
      <c r="AR475" s="56"/>
      <c r="AS475" s="56"/>
      <c r="AT475" s="56"/>
      <c r="AU475" s="56"/>
      <c r="AV475" s="56"/>
      <c r="AW475" s="172"/>
      <c r="AX475" s="56"/>
      <c r="AY475" s="56"/>
      <c r="AZ475" s="56"/>
      <c r="BA475" s="172"/>
      <c r="BB475" s="56"/>
      <c r="BC475" s="10"/>
      <c r="BD475" s="56"/>
      <c r="BE475" s="56"/>
      <c r="BF475" s="56"/>
      <c r="BG475" s="56"/>
      <c r="BO475" s="145"/>
      <c r="CI475" s="145"/>
      <c r="CY475" s="145"/>
    </row>
    <row r="476" spans="1:103" s="97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65"/>
      <c r="M476" s="10"/>
      <c r="N476" s="56"/>
      <c r="O476" s="56"/>
      <c r="P476" s="162"/>
      <c r="Q476" s="178"/>
      <c r="R476" s="168"/>
      <c r="S476" s="56"/>
      <c r="T476" s="56"/>
      <c r="U476" s="56"/>
      <c r="V476" s="162"/>
      <c r="W476" s="178"/>
      <c r="X476" s="172"/>
      <c r="Y476" s="10"/>
      <c r="Z476" s="56"/>
      <c r="AA476" s="56"/>
      <c r="AB476" s="56"/>
      <c r="AC476" s="56"/>
      <c r="AD476" s="56"/>
      <c r="AE476" s="174"/>
      <c r="AF476" s="56"/>
      <c r="AG476" s="56"/>
      <c r="AH476" s="172"/>
      <c r="AI476" s="56"/>
      <c r="AJ476" s="56"/>
      <c r="AK476" s="56"/>
      <c r="AL476" s="56"/>
      <c r="AM476" s="56"/>
      <c r="AN476" s="56"/>
      <c r="AO476" s="172"/>
      <c r="AP476" s="56"/>
      <c r="AQ476" s="56"/>
      <c r="AR476" s="56"/>
      <c r="AS476" s="56"/>
      <c r="AT476" s="56"/>
      <c r="AU476" s="56"/>
      <c r="AV476" s="56"/>
      <c r="AW476" s="172"/>
      <c r="AX476" s="56"/>
      <c r="AY476" s="56"/>
      <c r="AZ476" s="56"/>
      <c r="BA476" s="172"/>
      <c r="BB476" s="56"/>
      <c r="BC476" s="10"/>
      <c r="BD476" s="56"/>
      <c r="BE476" s="56"/>
      <c r="BF476" s="56"/>
      <c r="BG476" s="56"/>
      <c r="BO476" s="145"/>
      <c r="CI476" s="145"/>
      <c r="CY476" s="145"/>
    </row>
    <row r="477" spans="1:103" s="97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65"/>
      <c r="M477" s="10"/>
      <c r="N477" s="56"/>
      <c r="O477" s="56"/>
      <c r="P477" s="162"/>
      <c r="Q477" s="178"/>
      <c r="R477" s="168"/>
      <c r="S477" s="56"/>
      <c r="T477" s="56"/>
      <c r="U477" s="56"/>
      <c r="V477" s="162"/>
      <c r="W477" s="178"/>
      <c r="X477" s="172"/>
      <c r="Y477" s="10"/>
      <c r="Z477" s="56"/>
      <c r="AA477" s="56"/>
      <c r="AB477" s="56"/>
      <c r="AC477" s="56"/>
      <c r="AD477" s="56"/>
      <c r="AE477" s="174"/>
      <c r="AF477" s="56"/>
      <c r="AG477" s="56"/>
      <c r="AH477" s="172"/>
      <c r="AI477" s="56"/>
      <c r="AJ477" s="56"/>
      <c r="AK477" s="56"/>
      <c r="AL477" s="56"/>
      <c r="AM477" s="56"/>
      <c r="AN477" s="56"/>
      <c r="AO477" s="172"/>
      <c r="AP477" s="56"/>
      <c r="AQ477" s="56"/>
      <c r="AR477" s="56"/>
      <c r="AS477" s="56"/>
      <c r="AT477" s="56"/>
      <c r="AU477" s="56"/>
      <c r="AV477" s="56"/>
      <c r="AW477" s="172"/>
      <c r="AX477" s="56"/>
      <c r="AY477" s="56"/>
      <c r="AZ477" s="56"/>
      <c r="BA477" s="172"/>
      <c r="BB477" s="56"/>
      <c r="BC477" s="10"/>
      <c r="BD477" s="56"/>
      <c r="BE477" s="56"/>
      <c r="BF477" s="56"/>
      <c r="BG477" s="56"/>
      <c r="BO477" s="145"/>
      <c r="CI477" s="145"/>
      <c r="CY477" s="145"/>
    </row>
    <row r="478" spans="1:103" s="97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65"/>
      <c r="M478" s="10"/>
      <c r="N478" s="56"/>
      <c r="O478" s="56"/>
      <c r="P478" s="162"/>
      <c r="Q478" s="178"/>
      <c r="R478" s="168"/>
      <c r="S478" s="56"/>
      <c r="T478" s="56"/>
      <c r="U478" s="56"/>
      <c r="V478" s="162"/>
      <c r="W478" s="178"/>
      <c r="X478" s="172"/>
      <c r="Y478" s="10"/>
      <c r="Z478" s="56"/>
      <c r="AA478" s="56"/>
      <c r="AB478" s="56"/>
      <c r="AC478" s="56"/>
      <c r="AD478" s="56"/>
      <c r="AE478" s="174"/>
      <c r="AF478" s="56"/>
      <c r="AG478" s="56"/>
      <c r="AH478" s="172"/>
      <c r="AI478" s="56"/>
      <c r="AJ478" s="56"/>
      <c r="AK478" s="56"/>
      <c r="AL478" s="56"/>
      <c r="AM478" s="56"/>
      <c r="AN478" s="56"/>
      <c r="AO478" s="172"/>
      <c r="AP478" s="56"/>
      <c r="AQ478" s="56"/>
      <c r="AR478" s="56"/>
      <c r="AS478" s="56"/>
      <c r="AT478" s="56"/>
      <c r="AU478" s="56"/>
      <c r="AV478" s="56"/>
      <c r="AW478" s="172"/>
      <c r="AX478" s="56"/>
      <c r="AY478" s="56"/>
      <c r="AZ478" s="56"/>
      <c r="BA478" s="172"/>
      <c r="BB478" s="56"/>
      <c r="BC478" s="10"/>
      <c r="BD478" s="56"/>
      <c r="BE478" s="56"/>
      <c r="BF478" s="56"/>
      <c r="BG478" s="56"/>
      <c r="BO478" s="145"/>
      <c r="CI478" s="145"/>
      <c r="CY478" s="145"/>
    </row>
    <row r="479" spans="1:103" s="97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65"/>
      <c r="M479" s="10"/>
      <c r="N479" s="56"/>
      <c r="O479" s="56"/>
      <c r="P479" s="162"/>
      <c r="Q479" s="178"/>
      <c r="R479" s="168"/>
      <c r="S479" s="56"/>
      <c r="T479" s="56"/>
      <c r="U479" s="56"/>
      <c r="V479" s="162"/>
      <c r="W479" s="178"/>
      <c r="X479" s="172"/>
      <c r="Y479" s="10"/>
      <c r="Z479" s="56"/>
      <c r="AA479" s="56"/>
      <c r="AB479" s="56"/>
      <c r="AC479" s="56"/>
      <c r="AD479" s="56"/>
      <c r="AE479" s="174"/>
      <c r="AF479" s="56"/>
      <c r="AG479" s="56"/>
      <c r="AH479" s="172"/>
      <c r="AI479" s="56"/>
      <c r="AJ479" s="56"/>
      <c r="AK479" s="56"/>
      <c r="AL479" s="56"/>
      <c r="AM479" s="56"/>
      <c r="AN479" s="56"/>
      <c r="AO479" s="172"/>
      <c r="AP479" s="56"/>
      <c r="AQ479" s="56"/>
      <c r="AR479" s="56"/>
      <c r="AS479" s="56"/>
      <c r="AT479" s="56"/>
      <c r="AU479" s="56"/>
      <c r="AV479" s="56"/>
      <c r="AW479" s="172"/>
      <c r="AX479" s="56"/>
      <c r="AY479" s="56"/>
      <c r="AZ479" s="56"/>
      <c r="BA479" s="172"/>
      <c r="BB479" s="56"/>
      <c r="BC479" s="10"/>
      <c r="BD479" s="56"/>
      <c r="BE479" s="56"/>
      <c r="BF479" s="56"/>
      <c r="BG479" s="56"/>
      <c r="BO479" s="145"/>
      <c r="CI479" s="145"/>
      <c r="CY479" s="145"/>
    </row>
    <row r="480" spans="1:103" s="97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65"/>
      <c r="M480" s="10"/>
      <c r="N480" s="56"/>
      <c r="O480" s="56"/>
      <c r="P480" s="162"/>
      <c r="Q480" s="178"/>
      <c r="R480" s="168"/>
      <c r="S480" s="56"/>
      <c r="T480" s="56"/>
      <c r="U480" s="56"/>
      <c r="V480" s="162"/>
      <c r="W480" s="178"/>
      <c r="X480" s="172"/>
      <c r="Y480" s="10"/>
      <c r="Z480" s="56"/>
      <c r="AA480" s="56"/>
      <c r="AB480" s="56"/>
      <c r="AC480" s="56"/>
      <c r="AD480" s="56"/>
      <c r="AE480" s="174"/>
      <c r="AF480" s="56"/>
      <c r="AG480" s="56"/>
      <c r="AH480" s="172"/>
      <c r="AI480" s="56"/>
      <c r="AJ480" s="56"/>
      <c r="AK480" s="56"/>
      <c r="AL480" s="56"/>
      <c r="AM480" s="56"/>
      <c r="AN480" s="56"/>
      <c r="AO480" s="172"/>
      <c r="AP480" s="56"/>
      <c r="AQ480" s="56"/>
      <c r="AR480" s="56"/>
      <c r="AS480" s="56"/>
      <c r="AT480" s="56"/>
      <c r="AU480" s="56"/>
      <c r="AV480" s="56"/>
      <c r="AW480" s="172"/>
      <c r="AX480" s="56"/>
      <c r="AY480" s="56"/>
      <c r="AZ480" s="56"/>
      <c r="BA480" s="172"/>
      <c r="BB480" s="56"/>
      <c r="BC480" s="10"/>
      <c r="BD480" s="56"/>
      <c r="BE480" s="56"/>
      <c r="BF480" s="56"/>
      <c r="BG480" s="56"/>
      <c r="BO480" s="145"/>
      <c r="CI480" s="145"/>
      <c r="CY480" s="145"/>
    </row>
    <row r="481" spans="1:103" s="97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65"/>
      <c r="M481" s="10"/>
      <c r="N481" s="56"/>
      <c r="O481" s="56"/>
      <c r="P481" s="162"/>
      <c r="Q481" s="178"/>
      <c r="R481" s="168"/>
      <c r="S481" s="56"/>
      <c r="T481" s="56"/>
      <c r="U481" s="56"/>
      <c r="V481" s="162"/>
      <c r="W481" s="178"/>
      <c r="X481" s="172"/>
      <c r="Y481" s="10"/>
      <c r="Z481" s="56"/>
      <c r="AA481" s="56"/>
      <c r="AB481" s="56"/>
      <c r="AC481" s="56"/>
      <c r="AD481" s="56"/>
      <c r="AE481" s="174"/>
      <c r="AF481" s="56"/>
      <c r="AG481" s="56"/>
      <c r="AH481" s="172"/>
      <c r="AI481" s="56"/>
      <c r="AJ481" s="56"/>
      <c r="AK481" s="56"/>
      <c r="AL481" s="56"/>
      <c r="AM481" s="56"/>
      <c r="AN481" s="56"/>
      <c r="AO481" s="172"/>
      <c r="AP481" s="56"/>
      <c r="AQ481" s="56"/>
      <c r="AR481" s="56"/>
      <c r="AS481" s="56"/>
      <c r="AT481" s="56"/>
      <c r="AU481" s="56"/>
      <c r="AV481" s="56"/>
      <c r="AW481" s="172"/>
      <c r="AX481" s="56"/>
      <c r="AY481" s="56"/>
      <c r="AZ481" s="56"/>
      <c r="BA481" s="172"/>
      <c r="BB481" s="56"/>
      <c r="BC481" s="10"/>
      <c r="BD481" s="56"/>
      <c r="BE481" s="56"/>
      <c r="BF481" s="56"/>
      <c r="BG481" s="56"/>
      <c r="BO481" s="145"/>
      <c r="CI481" s="145"/>
      <c r="CY481" s="145"/>
    </row>
    <row r="482" spans="1:103" s="97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65"/>
      <c r="M482" s="10"/>
      <c r="N482" s="56"/>
      <c r="O482" s="56"/>
      <c r="P482" s="162"/>
      <c r="Q482" s="178"/>
      <c r="R482" s="168"/>
      <c r="S482" s="56"/>
      <c r="T482" s="56"/>
      <c r="U482" s="56"/>
      <c r="V482" s="162"/>
      <c r="W482" s="178"/>
      <c r="X482" s="172"/>
      <c r="Y482" s="10"/>
      <c r="Z482" s="56"/>
      <c r="AA482" s="56"/>
      <c r="AB482" s="56"/>
      <c r="AC482" s="56"/>
      <c r="AD482" s="56"/>
      <c r="AE482" s="174"/>
      <c r="AF482" s="56"/>
      <c r="AG482" s="56"/>
      <c r="AH482" s="172"/>
      <c r="AI482" s="56"/>
      <c r="AJ482" s="56"/>
      <c r="AK482" s="56"/>
      <c r="AL482" s="56"/>
      <c r="AM482" s="56"/>
      <c r="AN482" s="56"/>
      <c r="AO482" s="172"/>
      <c r="AP482" s="56"/>
      <c r="AQ482" s="56"/>
      <c r="AR482" s="56"/>
      <c r="AS482" s="56"/>
      <c r="AT482" s="56"/>
      <c r="AU482" s="56"/>
      <c r="AV482" s="56"/>
      <c r="AW482" s="172"/>
      <c r="AX482" s="56"/>
      <c r="AY482" s="56"/>
      <c r="AZ482" s="56"/>
      <c r="BA482" s="172"/>
      <c r="BB482" s="56"/>
      <c r="BC482" s="10"/>
      <c r="BD482" s="56"/>
      <c r="BE482" s="56"/>
      <c r="BF482" s="56"/>
      <c r="BG482" s="56"/>
      <c r="BO482" s="145"/>
      <c r="CI482" s="145"/>
      <c r="CY482" s="145"/>
    </row>
    <row r="483" spans="1:103" s="97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65"/>
      <c r="M483" s="10"/>
      <c r="N483" s="56"/>
      <c r="O483" s="56"/>
      <c r="P483" s="162"/>
      <c r="Q483" s="178"/>
      <c r="R483" s="168"/>
      <c r="S483" s="56"/>
      <c r="T483" s="56"/>
      <c r="U483" s="56"/>
      <c r="V483" s="162"/>
      <c r="W483" s="178"/>
      <c r="X483" s="172"/>
      <c r="Y483" s="10"/>
      <c r="Z483" s="56"/>
      <c r="AA483" s="56"/>
      <c r="AB483" s="56"/>
      <c r="AC483" s="56"/>
      <c r="AD483" s="56"/>
      <c r="AE483" s="174"/>
      <c r="AF483" s="56"/>
      <c r="AG483" s="56"/>
      <c r="AH483" s="172"/>
      <c r="AI483" s="56"/>
      <c r="AJ483" s="56"/>
      <c r="AK483" s="56"/>
      <c r="AL483" s="56"/>
      <c r="AM483" s="56"/>
      <c r="AN483" s="56"/>
      <c r="AO483" s="172"/>
      <c r="AP483" s="56"/>
      <c r="AQ483" s="56"/>
      <c r="AR483" s="56"/>
      <c r="AS483" s="56"/>
      <c r="AT483" s="56"/>
      <c r="AU483" s="56"/>
      <c r="AV483" s="56"/>
      <c r="AW483" s="172"/>
      <c r="AX483" s="56"/>
      <c r="AY483" s="56"/>
      <c r="AZ483" s="56"/>
      <c r="BA483" s="172"/>
      <c r="BB483" s="56"/>
      <c r="BC483" s="10"/>
      <c r="BD483" s="56"/>
      <c r="BE483" s="56"/>
      <c r="BF483" s="56"/>
      <c r="BG483" s="56"/>
      <c r="BO483" s="145"/>
      <c r="CI483" s="145"/>
      <c r="CY483" s="145"/>
    </row>
    <row r="484" spans="1:103" s="97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65"/>
      <c r="M484" s="10"/>
      <c r="N484" s="56"/>
      <c r="O484" s="56"/>
      <c r="P484" s="162"/>
      <c r="Q484" s="178"/>
      <c r="R484" s="168"/>
      <c r="S484" s="56"/>
      <c r="T484" s="56"/>
      <c r="U484" s="56"/>
      <c r="V484" s="162"/>
      <c r="W484" s="178"/>
      <c r="X484" s="172"/>
      <c r="Y484" s="10"/>
      <c r="Z484" s="56"/>
      <c r="AA484" s="56"/>
      <c r="AB484" s="56"/>
      <c r="AC484" s="56"/>
      <c r="AD484" s="56"/>
      <c r="AE484" s="174"/>
      <c r="AF484" s="56"/>
      <c r="AG484" s="56"/>
      <c r="AH484" s="172"/>
      <c r="AI484" s="56"/>
      <c r="AJ484" s="56"/>
      <c r="AK484" s="56"/>
      <c r="AL484" s="56"/>
      <c r="AM484" s="56"/>
      <c r="AN484" s="56"/>
      <c r="AO484" s="172"/>
      <c r="AP484" s="56"/>
      <c r="AQ484" s="56"/>
      <c r="AR484" s="56"/>
      <c r="AS484" s="56"/>
      <c r="AT484" s="56"/>
      <c r="AU484" s="56"/>
      <c r="AV484" s="56"/>
      <c r="AW484" s="172"/>
      <c r="AX484" s="56"/>
      <c r="AY484" s="56"/>
      <c r="AZ484" s="56"/>
      <c r="BA484" s="172"/>
      <c r="BB484" s="56"/>
      <c r="BC484" s="10"/>
      <c r="BD484" s="56"/>
      <c r="BE484" s="56"/>
      <c r="BF484" s="56"/>
      <c r="BG484" s="56"/>
      <c r="BO484" s="145"/>
      <c r="CI484" s="145"/>
      <c r="CY484" s="145"/>
    </row>
    <row r="485" spans="1:103" s="97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65"/>
      <c r="M485" s="10"/>
      <c r="N485" s="56"/>
      <c r="O485" s="56"/>
      <c r="P485" s="162"/>
      <c r="Q485" s="178"/>
      <c r="R485" s="168"/>
      <c r="S485" s="56"/>
      <c r="T485" s="56"/>
      <c r="U485" s="56"/>
      <c r="V485" s="162"/>
      <c r="W485" s="178"/>
      <c r="X485" s="172"/>
      <c r="Y485" s="10"/>
      <c r="Z485" s="56"/>
      <c r="AA485" s="56"/>
      <c r="AB485" s="56"/>
      <c r="AC485" s="56"/>
      <c r="AD485" s="56"/>
      <c r="AE485" s="174"/>
      <c r="AF485" s="56"/>
      <c r="AG485" s="56"/>
      <c r="AH485" s="172"/>
      <c r="AI485" s="56"/>
      <c r="AJ485" s="56"/>
      <c r="AK485" s="56"/>
      <c r="AL485" s="56"/>
      <c r="AM485" s="56"/>
      <c r="AN485" s="56"/>
      <c r="AO485" s="172"/>
      <c r="AP485" s="56"/>
      <c r="AQ485" s="56"/>
      <c r="AR485" s="56"/>
      <c r="AS485" s="56"/>
      <c r="AT485" s="56"/>
      <c r="AU485" s="56"/>
      <c r="AV485" s="56"/>
      <c r="AW485" s="172"/>
      <c r="AX485" s="56"/>
      <c r="AY485" s="56"/>
      <c r="AZ485" s="56"/>
      <c r="BA485" s="172"/>
      <c r="BB485" s="56"/>
      <c r="BC485" s="10"/>
      <c r="BD485" s="56"/>
      <c r="BE485" s="56"/>
      <c r="BF485" s="56"/>
      <c r="BG485" s="56"/>
      <c r="BO485" s="145"/>
      <c r="CI485" s="145"/>
      <c r="CY485" s="145"/>
    </row>
    <row r="486" spans="1:103" s="97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65"/>
      <c r="M486" s="10"/>
      <c r="N486" s="56"/>
      <c r="O486" s="56"/>
      <c r="P486" s="162"/>
      <c r="Q486" s="178"/>
      <c r="R486" s="168"/>
      <c r="S486" s="56"/>
      <c r="T486" s="56"/>
      <c r="U486" s="56"/>
      <c r="V486" s="162"/>
      <c r="W486" s="178"/>
      <c r="X486" s="172"/>
      <c r="Y486" s="10"/>
      <c r="Z486" s="56"/>
      <c r="AA486" s="56"/>
      <c r="AB486" s="56"/>
      <c r="AC486" s="56"/>
      <c r="AD486" s="56"/>
      <c r="AE486" s="174"/>
      <c r="AF486" s="56"/>
      <c r="AG486" s="56"/>
      <c r="AH486" s="172"/>
      <c r="AI486" s="56"/>
      <c r="AJ486" s="56"/>
      <c r="AK486" s="56"/>
      <c r="AL486" s="56"/>
      <c r="AM486" s="56"/>
      <c r="AN486" s="56"/>
      <c r="AO486" s="172"/>
      <c r="AP486" s="56"/>
      <c r="AQ486" s="56"/>
      <c r="AR486" s="56"/>
      <c r="AS486" s="56"/>
      <c r="AT486" s="56"/>
      <c r="AU486" s="56"/>
      <c r="AV486" s="56"/>
      <c r="AW486" s="172"/>
      <c r="AX486" s="56"/>
      <c r="AY486" s="56"/>
      <c r="AZ486" s="56"/>
      <c r="BA486" s="172"/>
      <c r="BB486" s="56"/>
      <c r="BC486" s="10"/>
      <c r="BD486" s="56"/>
      <c r="BE486" s="56"/>
      <c r="BF486" s="56"/>
      <c r="BG486" s="56"/>
      <c r="BO486" s="145"/>
      <c r="CI486" s="145"/>
      <c r="CY486" s="145"/>
    </row>
    <row r="487" spans="1:103" s="97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65"/>
      <c r="M487" s="10"/>
      <c r="N487" s="56"/>
      <c r="O487" s="56"/>
      <c r="P487" s="162"/>
      <c r="Q487" s="178"/>
      <c r="R487" s="168"/>
      <c r="S487" s="56"/>
      <c r="T487" s="56"/>
      <c r="U487" s="56"/>
      <c r="V487" s="162"/>
      <c r="W487" s="178"/>
      <c r="X487" s="172"/>
      <c r="Y487" s="10"/>
      <c r="Z487" s="56"/>
      <c r="AA487" s="56"/>
      <c r="AB487" s="56"/>
      <c r="AC487" s="56"/>
      <c r="AD487" s="56"/>
      <c r="AE487" s="174"/>
      <c r="AF487" s="56"/>
      <c r="AG487" s="56"/>
      <c r="AH487" s="172"/>
      <c r="AI487" s="56"/>
      <c r="AJ487" s="56"/>
      <c r="AK487" s="56"/>
      <c r="AL487" s="56"/>
      <c r="AM487" s="56"/>
      <c r="AN487" s="56"/>
      <c r="AO487" s="172"/>
      <c r="AP487" s="56"/>
      <c r="AQ487" s="56"/>
      <c r="AR487" s="56"/>
      <c r="AS487" s="56"/>
      <c r="AT487" s="56"/>
      <c r="AU487" s="56"/>
      <c r="AV487" s="56"/>
      <c r="AW487" s="172"/>
      <c r="AX487" s="56"/>
      <c r="AY487" s="56"/>
      <c r="AZ487" s="56"/>
      <c r="BA487" s="172"/>
      <c r="BB487" s="56"/>
      <c r="BC487" s="10"/>
      <c r="BD487" s="56"/>
      <c r="BE487" s="56"/>
      <c r="BF487" s="56"/>
      <c r="BG487" s="56"/>
      <c r="BO487" s="145"/>
      <c r="CI487" s="145"/>
      <c r="CY487" s="145"/>
    </row>
    <row r="488" spans="1:103" s="97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65"/>
      <c r="M488" s="10"/>
      <c r="N488" s="56"/>
      <c r="O488" s="56"/>
      <c r="P488" s="162"/>
      <c r="Q488" s="178"/>
      <c r="R488" s="168"/>
      <c r="S488" s="56"/>
      <c r="T488" s="56"/>
      <c r="U488" s="56"/>
      <c r="V488" s="162"/>
      <c r="W488" s="178"/>
      <c r="X488" s="172"/>
      <c r="Y488" s="10"/>
      <c r="Z488" s="56"/>
      <c r="AA488" s="56"/>
      <c r="AB488" s="56"/>
      <c r="AC488" s="56"/>
      <c r="AD488" s="56"/>
      <c r="AE488" s="174"/>
      <c r="AF488" s="56"/>
      <c r="AG488" s="56"/>
      <c r="AH488" s="172"/>
      <c r="AI488" s="56"/>
      <c r="AJ488" s="56"/>
      <c r="AK488" s="56"/>
      <c r="AL488" s="56"/>
      <c r="AM488" s="56"/>
      <c r="AN488" s="56"/>
      <c r="AO488" s="172"/>
      <c r="AP488" s="56"/>
      <c r="AQ488" s="56"/>
      <c r="AR488" s="56"/>
      <c r="AS488" s="56"/>
      <c r="AT488" s="56"/>
      <c r="AU488" s="56"/>
      <c r="AV488" s="56"/>
      <c r="AW488" s="172"/>
      <c r="AX488" s="56"/>
      <c r="AY488" s="56"/>
      <c r="AZ488" s="56"/>
      <c r="BA488" s="172"/>
      <c r="BB488" s="56"/>
      <c r="BC488" s="10"/>
      <c r="BD488" s="56"/>
      <c r="BE488" s="56"/>
      <c r="BF488" s="56"/>
      <c r="BG488" s="56"/>
      <c r="BO488" s="145"/>
      <c r="CI488" s="145"/>
      <c r="CY488" s="145"/>
    </row>
    <row r="489" spans="1:103" s="97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65"/>
      <c r="M489" s="10"/>
      <c r="N489" s="56"/>
      <c r="O489" s="56"/>
      <c r="P489" s="162"/>
      <c r="Q489" s="178"/>
      <c r="R489" s="168"/>
      <c r="S489" s="56"/>
      <c r="T489" s="56"/>
      <c r="U489" s="56"/>
      <c r="V489" s="162"/>
      <c r="W489" s="178"/>
      <c r="X489" s="172"/>
      <c r="Y489" s="10"/>
      <c r="Z489" s="56"/>
      <c r="AA489" s="56"/>
      <c r="AB489" s="56"/>
      <c r="AC489" s="56"/>
      <c r="AD489" s="56"/>
      <c r="AE489" s="174"/>
      <c r="AF489" s="56"/>
      <c r="AG489" s="56"/>
      <c r="AH489" s="172"/>
      <c r="AI489" s="56"/>
      <c r="AJ489" s="56"/>
      <c r="AK489" s="56"/>
      <c r="AL489" s="56"/>
      <c r="AM489" s="56"/>
      <c r="AN489" s="56"/>
      <c r="AO489" s="172"/>
      <c r="AP489" s="56"/>
      <c r="AQ489" s="56"/>
      <c r="AR489" s="56"/>
      <c r="AS489" s="56"/>
      <c r="AT489" s="56"/>
      <c r="AU489" s="56"/>
      <c r="AV489" s="56"/>
      <c r="AW489" s="172"/>
      <c r="AX489" s="56"/>
      <c r="AY489" s="56"/>
      <c r="AZ489" s="56"/>
      <c r="BA489" s="172"/>
      <c r="BB489" s="56"/>
      <c r="BC489" s="10"/>
      <c r="BD489" s="56"/>
      <c r="BE489" s="56"/>
      <c r="BF489" s="56"/>
      <c r="BG489" s="56"/>
      <c r="BO489" s="145"/>
      <c r="CI489" s="145"/>
      <c r="CY489" s="145"/>
    </row>
    <row r="490" spans="1:103" s="97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65"/>
      <c r="M490" s="10"/>
      <c r="N490" s="56"/>
      <c r="O490" s="56"/>
      <c r="P490" s="162"/>
      <c r="Q490" s="178"/>
      <c r="R490" s="168"/>
      <c r="S490" s="56"/>
      <c r="T490" s="56"/>
      <c r="U490" s="56"/>
      <c r="V490" s="162"/>
      <c r="W490" s="178"/>
      <c r="X490" s="172"/>
      <c r="Y490" s="10"/>
      <c r="Z490" s="56"/>
      <c r="AA490" s="56"/>
      <c r="AB490" s="56"/>
      <c r="AC490" s="56"/>
      <c r="AD490" s="56"/>
      <c r="AE490" s="174"/>
      <c r="AF490" s="56"/>
      <c r="AG490" s="56"/>
      <c r="AH490" s="172"/>
      <c r="AI490" s="56"/>
      <c r="AJ490" s="56"/>
      <c r="AK490" s="56"/>
      <c r="AL490" s="56"/>
      <c r="AM490" s="56"/>
      <c r="AN490" s="56"/>
      <c r="AO490" s="172"/>
      <c r="AP490" s="56"/>
      <c r="AQ490" s="56"/>
      <c r="AR490" s="56"/>
      <c r="AS490" s="56"/>
      <c r="AT490" s="56"/>
      <c r="AU490" s="56"/>
      <c r="AV490" s="56"/>
      <c r="AW490" s="172"/>
      <c r="AX490" s="56"/>
      <c r="AY490" s="56"/>
      <c r="AZ490" s="56"/>
      <c r="BA490" s="172"/>
      <c r="BB490" s="56"/>
      <c r="BC490" s="10"/>
      <c r="BD490" s="56"/>
      <c r="BE490" s="56"/>
      <c r="BF490" s="56"/>
      <c r="BG490" s="56"/>
      <c r="BO490" s="145"/>
      <c r="CI490" s="145"/>
      <c r="CY490" s="145"/>
    </row>
    <row r="491" spans="1:103" s="97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65"/>
      <c r="M491" s="10"/>
      <c r="N491" s="56"/>
      <c r="O491" s="56"/>
      <c r="P491" s="162"/>
      <c r="Q491" s="178"/>
      <c r="R491" s="168"/>
      <c r="S491" s="56"/>
      <c r="T491" s="56"/>
      <c r="U491" s="56"/>
      <c r="V491" s="162"/>
      <c r="W491" s="178"/>
      <c r="X491" s="172"/>
      <c r="Y491" s="10"/>
      <c r="Z491" s="56"/>
      <c r="AA491" s="56"/>
      <c r="AB491" s="56"/>
      <c r="AC491" s="56"/>
      <c r="AD491" s="56"/>
      <c r="AE491" s="174"/>
      <c r="AF491" s="56"/>
      <c r="AG491" s="56"/>
      <c r="AH491" s="172"/>
      <c r="AI491" s="56"/>
      <c r="AJ491" s="56"/>
      <c r="AK491" s="56"/>
      <c r="AL491" s="56"/>
      <c r="AM491" s="56"/>
      <c r="AN491" s="56"/>
      <c r="AO491" s="172"/>
      <c r="AP491" s="56"/>
      <c r="AQ491" s="56"/>
      <c r="AR491" s="56"/>
      <c r="AS491" s="56"/>
      <c r="AT491" s="56"/>
      <c r="AU491" s="56"/>
      <c r="AV491" s="56"/>
      <c r="AW491" s="172"/>
      <c r="AX491" s="56"/>
      <c r="AY491" s="56"/>
      <c r="AZ491" s="56"/>
      <c r="BA491" s="172"/>
      <c r="BB491" s="56"/>
      <c r="BC491" s="10"/>
      <c r="BD491" s="56"/>
      <c r="BE491" s="56"/>
      <c r="BF491" s="56"/>
      <c r="BG491" s="56"/>
      <c r="BO491" s="145"/>
      <c r="CI491" s="145"/>
      <c r="CY491" s="145"/>
    </row>
    <row r="492" spans="1:103" s="97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65"/>
      <c r="M492" s="10"/>
      <c r="N492" s="56"/>
      <c r="O492" s="56"/>
      <c r="P492" s="162"/>
      <c r="Q492" s="178"/>
      <c r="R492" s="168"/>
      <c r="S492" s="56"/>
      <c r="T492" s="56"/>
      <c r="U492" s="56"/>
      <c r="V492" s="162"/>
      <c r="W492" s="178"/>
      <c r="X492" s="172"/>
      <c r="Y492" s="10"/>
      <c r="Z492" s="56"/>
      <c r="AA492" s="56"/>
      <c r="AB492" s="56"/>
      <c r="AC492" s="56"/>
      <c r="AD492" s="56"/>
      <c r="AE492" s="174"/>
      <c r="AF492" s="56"/>
      <c r="AG492" s="56"/>
      <c r="AH492" s="172"/>
      <c r="AI492" s="56"/>
      <c r="AJ492" s="56"/>
      <c r="AK492" s="56"/>
      <c r="AL492" s="56"/>
      <c r="AM492" s="56"/>
      <c r="AN492" s="56"/>
      <c r="AO492" s="172"/>
      <c r="AP492" s="56"/>
      <c r="AQ492" s="56"/>
      <c r="AR492" s="56"/>
      <c r="AS492" s="56"/>
      <c r="AT492" s="56"/>
      <c r="AU492" s="56"/>
      <c r="AV492" s="56"/>
      <c r="AW492" s="172"/>
      <c r="AX492" s="56"/>
      <c r="AY492" s="56"/>
      <c r="AZ492" s="56"/>
      <c r="BA492" s="172"/>
      <c r="BB492" s="56"/>
      <c r="BC492" s="10"/>
      <c r="BD492" s="56"/>
      <c r="BE492" s="56"/>
      <c r="BF492" s="56"/>
      <c r="BG492" s="56"/>
      <c r="BO492" s="145"/>
      <c r="CI492" s="145"/>
      <c r="CY492" s="145"/>
    </row>
    <row r="493" spans="1:103" s="97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65"/>
      <c r="M493" s="10"/>
      <c r="N493" s="56"/>
      <c r="O493" s="56"/>
      <c r="P493" s="162"/>
      <c r="Q493" s="178"/>
      <c r="R493" s="168"/>
      <c r="S493" s="56"/>
      <c r="T493" s="56"/>
      <c r="U493" s="56"/>
      <c r="V493" s="162"/>
      <c r="W493" s="178"/>
      <c r="X493" s="172"/>
      <c r="Y493" s="10"/>
      <c r="Z493" s="56"/>
      <c r="AA493" s="56"/>
      <c r="AB493" s="56"/>
      <c r="AC493" s="56"/>
      <c r="AD493" s="56"/>
      <c r="AE493" s="174"/>
      <c r="AF493" s="56"/>
      <c r="AG493" s="56"/>
      <c r="AH493" s="172"/>
      <c r="AI493" s="56"/>
      <c r="AJ493" s="56"/>
      <c r="AK493" s="56"/>
      <c r="AL493" s="56"/>
      <c r="AM493" s="56"/>
      <c r="AN493" s="56"/>
      <c r="AO493" s="172"/>
      <c r="AP493" s="56"/>
      <c r="AQ493" s="56"/>
      <c r="AR493" s="56"/>
      <c r="AS493" s="56"/>
      <c r="AT493" s="56"/>
      <c r="AU493" s="56"/>
      <c r="AV493" s="56"/>
      <c r="AW493" s="172"/>
      <c r="AX493" s="56"/>
      <c r="AY493" s="56"/>
      <c r="AZ493" s="56"/>
      <c r="BA493" s="172"/>
      <c r="BB493" s="56"/>
      <c r="BC493" s="10"/>
      <c r="BD493" s="56"/>
      <c r="BE493" s="56"/>
      <c r="BF493" s="56"/>
      <c r="BG493" s="56"/>
      <c r="BO493" s="145"/>
      <c r="CI493" s="145"/>
      <c r="CY493" s="145"/>
    </row>
    <row r="494" spans="1:103" s="97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65"/>
      <c r="M494" s="10"/>
      <c r="N494" s="56"/>
      <c r="O494" s="56"/>
      <c r="P494" s="162"/>
      <c r="Q494" s="178"/>
      <c r="R494" s="168"/>
      <c r="S494" s="56"/>
      <c r="T494" s="56"/>
      <c r="U494" s="56"/>
      <c r="V494" s="162"/>
      <c r="W494" s="178"/>
      <c r="X494" s="172"/>
      <c r="Y494" s="10"/>
      <c r="Z494" s="56"/>
      <c r="AA494" s="56"/>
      <c r="AB494" s="56"/>
      <c r="AC494" s="56"/>
      <c r="AD494" s="56"/>
      <c r="AE494" s="174"/>
      <c r="AF494" s="56"/>
      <c r="AG494" s="56"/>
      <c r="AH494" s="172"/>
      <c r="AI494" s="56"/>
      <c r="AJ494" s="56"/>
      <c r="AK494" s="56"/>
      <c r="AL494" s="56"/>
      <c r="AM494" s="56"/>
      <c r="AN494" s="56"/>
      <c r="AO494" s="172"/>
      <c r="AP494" s="56"/>
      <c r="AQ494" s="56"/>
      <c r="AR494" s="56"/>
      <c r="AS494" s="56"/>
      <c r="AT494" s="56"/>
      <c r="AU494" s="56"/>
      <c r="AV494" s="56"/>
      <c r="AW494" s="172"/>
      <c r="AX494" s="56"/>
      <c r="AY494" s="56"/>
      <c r="AZ494" s="56"/>
      <c r="BA494" s="172"/>
      <c r="BB494" s="56"/>
      <c r="BC494" s="10"/>
      <c r="BD494" s="56"/>
      <c r="BE494" s="56"/>
      <c r="BF494" s="56"/>
      <c r="BG494" s="56"/>
      <c r="BO494" s="145"/>
      <c r="CI494" s="145"/>
      <c r="CY494" s="145"/>
    </row>
    <row r="495" spans="1:103" s="97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65"/>
      <c r="M495" s="10"/>
      <c r="N495" s="56"/>
      <c r="O495" s="56"/>
      <c r="P495" s="162"/>
      <c r="Q495" s="178"/>
      <c r="R495" s="168"/>
      <c r="S495" s="56"/>
      <c r="T495" s="56"/>
      <c r="U495" s="56"/>
      <c r="V495" s="162"/>
      <c r="W495" s="178"/>
      <c r="X495" s="172"/>
      <c r="Y495" s="10"/>
      <c r="Z495" s="56"/>
      <c r="AA495" s="56"/>
      <c r="AB495" s="56"/>
      <c r="AC495" s="56"/>
      <c r="AD495" s="56"/>
      <c r="AE495" s="174"/>
      <c r="AF495" s="56"/>
      <c r="AG495" s="56"/>
      <c r="AH495" s="172"/>
      <c r="AI495" s="56"/>
      <c r="AJ495" s="56"/>
      <c r="AK495" s="56"/>
      <c r="AL495" s="56"/>
      <c r="AM495" s="56"/>
      <c r="AN495" s="56"/>
      <c r="AO495" s="172"/>
      <c r="AP495" s="56"/>
      <c r="AQ495" s="56"/>
      <c r="AR495" s="56"/>
      <c r="AS495" s="56"/>
      <c r="AT495" s="56"/>
      <c r="AU495" s="56"/>
      <c r="AV495" s="56"/>
      <c r="AW495" s="172"/>
      <c r="AX495" s="56"/>
      <c r="AY495" s="56"/>
      <c r="AZ495" s="56"/>
      <c r="BA495" s="172"/>
      <c r="BB495" s="56"/>
      <c r="BC495" s="10"/>
      <c r="BD495" s="56"/>
      <c r="BE495" s="56"/>
      <c r="BF495" s="56"/>
      <c r="BG495" s="56"/>
      <c r="BO495" s="145"/>
      <c r="CI495" s="145"/>
      <c r="CY495" s="145"/>
    </row>
    <row r="496" spans="1:103" s="97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65"/>
      <c r="M496" s="10"/>
      <c r="N496" s="56"/>
      <c r="O496" s="56"/>
      <c r="P496" s="162"/>
      <c r="Q496" s="178"/>
      <c r="R496" s="168"/>
      <c r="S496" s="56"/>
      <c r="T496" s="56"/>
      <c r="U496" s="56"/>
      <c r="V496" s="162"/>
      <c r="W496" s="178"/>
      <c r="X496" s="172"/>
      <c r="Y496" s="10"/>
      <c r="Z496" s="56"/>
      <c r="AA496" s="56"/>
      <c r="AB496" s="56"/>
      <c r="AC496" s="56"/>
      <c r="AD496" s="56"/>
      <c r="AE496" s="174"/>
      <c r="AF496" s="56"/>
      <c r="AG496" s="56"/>
      <c r="AH496" s="172"/>
      <c r="AI496" s="56"/>
      <c r="AJ496" s="56"/>
      <c r="AK496" s="56"/>
      <c r="AL496" s="56"/>
      <c r="AM496" s="56"/>
      <c r="AN496" s="56"/>
      <c r="AO496" s="172"/>
      <c r="AP496" s="56"/>
      <c r="AQ496" s="56"/>
      <c r="AR496" s="56"/>
      <c r="AS496" s="56"/>
      <c r="AT496" s="56"/>
      <c r="AU496" s="56"/>
      <c r="AV496" s="56"/>
      <c r="AW496" s="172"/>
      <c r="AX496" s="56"/>
      <c r="AY496" s="56"/>
      <c r="AZ496" s="56"/>
      <c r="BA496" s="172"/>
      <c r="BB496" s="56"/>
      <c r="BC496" s="10"/>
      <c r="BD496" s="56"/>
      <c r="BE496" s="56"/>
      <c r="BF496" s="56"/>
      <c r="BG496" s="56"/>
      <c r="BO496" s="145"/>
      <c r="CI496" s="145"/>
      <c r="CY496" s="145"/>
    </row>
    <row r="497" spans="1:103" s="97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65"/>
      <c r="M497" s="10"/>
      <c r="N497" s="56"/>
      <c r="O497" s="56"/>
      <c r="P497" s="162"/>
      <c r="Q497" s="178"/>
      <c r="R497" s="168"/>
      <c r="S497" s="56"/>
      <c r="T497" s="56"/>
      <c r="U497" s="56"/>
      <c r="V497" s="162"/>
      <c r="W497" s="178"/>
      <c r="X497" s="172"/>
      <c r="Y497" s="10"/>
      <c r="Z497" s="56"/>
      <c r="AA497" s="56"/>
      <c r="AB497" s="56"/>
      <c r="AC497" s="56"/>
      <c r="AD497" s="56"/>
      <c r="AE497" s="174"/>
      <c r="AF497" s="56"/>
      <c r="AG497" s="56"/>
      <c r="AH497" s="172"/>
      <c r="AI497" s="56"/>
      <c r="AJ497" s="56"/>
      <c r="AK497" s="56"/>
      <c r="AL497" s="56"/>
      <c r="AM497" s="56"/>
      <c r="AN497" s="56"/>
      <c r="AO497" s="172"/>
      <c r="AP497" s="56"/>
      <c r="AQ497" s="56"/>
      <c r="AR497" s="56"/>
      <c r="AS497" s="56"/>
      <c r="AT497" s="56"/>
      <c r="AU497" s="56"/>
      <c r="AV497" s="56"/>
      <c r="AW497" s="172"/>
      <c r="AX497" s="56"/>
      <c r="AY497" s="56"/>
      <c r="AZ497" s="56"/>
      <c r="BA497" s="172"/>
      <c r="BB497" s="56"/>
      <c r="BC497" s="10"/>
      <c r="BD497" s="56"/>
      <c r="BE497" s="56"/>
      <c r="BF497" s="56"/>
      <c r="BG497" s="56"/>
      <c r="BO497" s="145"/>
      <c r="CI497" s="145"/>
      <c r="CY497" s="145"/>
    </row>
    <row r="498" spans="1:103" s="97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65"/>
      <c r="M498" s="10"/>
      <c r="N498" s="56"/>
      <c r="O498" s="56"/>
      <c r="P498" s="162"/>
      <c r="Q498" s="178"/>
      <c r="R498" s="168"/>
      <c r="S498" s="56"/>
      <c r="T498" s="56"/>
      <c r="U498" s="56"/>
      <c r="V498" s="162"/>
      <c r="W498" s="178"/>
      <c r="X498" s="172"/>
      <c r="Y498" s="10"/>
      <c r="Z498" s="56"/>
      <c r="AA498" s="56"/>
      <c r="AB498" s="56"/>
      <c r="AC498" s="56"/>
      <c r="AD498" s="56"/>
      <c r="AE498" s="174"/>
      <c r="AF498" s="56"/>
      <c r="AG498" s="56"/>
      <c r="AH498" s="172"/>
      <c r="AI498" s="56"/>
      <c r="AJ498" s="56"/>
      <c r="AK498" s="56"/>
      <c r="AL498" s="56"/>
      <c r="AM498" s="56"/>
      <c r="AN498" s="56"/>
      <c r="AO498" s="172"/>
      <c r="AP498" s="56"/>
      <c r="AQ498" s="56"/>
      <c r="AR498" s="56"/>
      <c r="AS498" s="56"/>
      <c r="AT498" s="56"/>
      <c r="AU498" s="56"/>
      <c r="AV498" s="56"/>
      <c r="AW498" s="172"/>
      <c r="AX498" s="56"/>
      <c r="AY498" s="56"/>
      <c r="AZ498" s="56"/>
      <c r="BA498" s="172"/>
      <c r="BB498" s="56"/>
      <c r="BC498" s="10"/>
      <c r="BD498" s="56"/>
      <c r="BE498" s="56"/>
      <c r="BF498" s="56"/>
      <c r="BG498" s="56"/>
      <c r="BO498" s="145"/>
      <c r="CI498" s="145"/>
      <c r="CY498" s="145"/>
    </row>
    <row r="499" spans="1:103" s="97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65"/>
      <c r="M499" s="10"/>
      <c r="N499" s="56"/>
      <c r="O499" s="56"/>
      <c r="P499" s="162"/>
      <c r="Q499" s="178"/>
      <c r="R499" s="168"/>
      <c r="S499" s="56"/>
      <c r="T499" s="56"/>
      <c r="U499" s="56"/>
      <c r="V499" s="162"/>
      <c r="W499" s="178"/>
      <c r="X499" s="172"/>
      <c r="Y499" s="10"/>
      <c r="Z499" s="56"/>
      <c r="AA499" s="56"/>
      <c r="AB499" s="56"/>
      <c r="AC499" s="56"/>
      <c r="AD499" s="56"/>
      <c r="AE499" s="174"/>
      <c r="AF499" s="56"/>
      <c r="AG499" s="56"/>
      <c r="AH499" s="172"/>
      <c r="AI499" s="56"/>
      <c r="AJ499" s="56"/>
      <c r="AK499" s="56"/>
      <c r="AL499" s="56"/>
      <c r="AM499" s="56"/>
      <c r="AN499" s="56"/>
      <c r="AO499" s="172"/>
      <c r="AP499" s="56"/>
      <c r="AQ499" s="56"/>
      <c r="AR499" s="56"/>
      <c r="AS499" s="56"/>
      <c r="AT499" s="56"/>
      <c r="AU499" s="56"/>
      <c r="AV499" s="56"/>
      <c r="AW499" s="172"/>
      <c r="AX499" s="56"/>
      <c r="AY499" s="56"/>
      <c r="AZ499" s="56"/>
      <c r="BA499" s="172"/>
      <c r="BB499" s="56"/>
      <c r="BC499" s="10"/>
      <c r="BD499" s="56"/>
      <c r="BE499" s="56"/>
      <c r="BF499" s="56"/>
      <c r="BG499" s="56"/>
      <c r="BO499" s="145"/>
      <c r="CI499" s="145"/>
      <c r="CY499" s="145"/>
    </row>
    <row r="500" spans="1:103" s="97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65"/>
      <c r="M500" s="10"/>
      <c r="N500" s="56"/>
      <c r="O500" s="56"/>
      <c r="P500" s="162"/>
      <c r="Q500" s="178"/>
      <c r="R500" s="168"/>
      <c r="S500" s="56"/>
      <c r="T500" s="56"/>
      <c r="U500" s="56"/>
      <c r="V500" s="162"/>
      <c r="W500" s="178"/>
      <c r="X500" s="172"/>
      <c r="Y500" s="10"/>
      <c r="Z500" s="56"/>
      <c r="AA500" s="56"/>
      <c r="AB500" s="56"/>
      <c r="AC500" s="56"/>
      <c r="AD500" s="56"/>
      <c r="AE500" s="174"/>
      <c r="AF500" s="56"/>
      <c r="AG500" s="56"/>
      <c r="AH500" s="172"/>
      <c r="AI500" s="56"/>
      <c r="AJ500" s="56"/>
      <c r="AK500" s="56"/>
      <c r="AL500" s="56"/>
      <c r="AM500" s="56"/>
      <c r="AN500" s="56"/>
      <c r="AO500" s="172"/>
      <c r="AP500" s="56"/>
      <c r="AQ500" s="56"/>
      <c r="AR500" s="56"/>
      <c r="AS500" s="56"/>
      <c r="AT500" s="56"/>
      <c r="AU500" s="56"/>
      <c r="AV500" s="56"/>
      <c r="AW500" s="172"/>
      <c r="AX500" s="56"/>
      <c r="AY500" s="56"/>
      <c r="AZ500" s="56"/>
      <c r="BA500" s="172"/>
      <c r="BB500" s="56"/>
      <c r="BC500" s="10"/>
      <c r="BD500" s="56"/>
      <c r="BE500" s="56"/>
      <c r="BF500" s="56"/>
      <c r="BG500" s="56"/>
      <c r="BO500" s="145"/>
      <c r="CI500" s="145"/>
      <c r="CY500" s="145"/>
    </row>
    <row r="501" spans="1:103" s="97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65"/>
      <c r="M501" s="10"/>
      <c r="N501" s="56"/>
      <c r="O501" s="56"/>
      <c r="P501" s="162"/>
      <c r="Q501" s="178"/>
      <c r="R501" s="168"/>
      <c r="S501" s="56"/>
      <c r="T501" s="56"/>
      <c r="U501" s="56"/>
      <c r="V501" s="162"/>
      <c r="W501" s="178"/>
      <c r="X501" s="172"/>
      <c r="Y501" s="10"/>
      <c r="Z501" s="56"/>
      <c r="AA501" s="56"/>
      <c r="AB501" s="56"/>
      <c r="AC501" s="56"/>
      <c r="AD501" s="56"/>
      <c r="AE501" s="174"/>
      <c r="AF501" s="56"/>
      <c r="AG501" s="56"/>
      <c r="AH501" s="172"/>
      <c r="AI501" s="56"/>
      <c r="AJ501" s="56"/>
      <c r="AK501" s="56"/>
      <c r="AL501" s="56"/>
      <c r="AM501" s="56"/>
      <c r="AN501" s="56"/>
      <c r="AO501" s="172"/>
      <c r="AP501" s="56"/>
      <c r="AQ501" s="56"/>
      <c r="AR501" s="56"/>
      <c r="AS501" s="56"/>
      <c r="AT501" s="56"/>
      <c r="AU501" s="56"/>
      <c r="AV501" s="56"/>
      <c r="AW501" s="172"/>
      <c r="AX501" s="56"/>
      <c r="AY501" s="56"/>
      <c r="AZ501" s="56"/>
      <c r="BA501" s="172"/>
      <c r="BB501" s="56"/>
      <c r="BC501" s="10"/>
      <c r="BD501" s="56"/>
      <c r="BE501" s="56"/>
      <c r="BF501" s="56"/>
      <c r="BG501" s="56"/>
      <c r="BO501" s="145"/>
      <c r="CI501" s="145"/>
      <c r="CY501" s="145"/>
    </row>
    <row r="502" spans="1:103" s="97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65"/>
      <c r="M502" s="10"/>
      <c r="N502" s="56"/>
      <c r="O502" s="56"/>
      <c r="P502" s="162"/>
      <c r="Q502" s="178"/>
      <c r="R502" s="168"/>
      <c r="S502" s="56"/>
      <c r="T502" s="56"/>
      <c r="U502" s="56"/>
      <c r="V502" s="162"/>
      <c r="W502" s="178"/>
      <c r="X502" s="172"/>
      <c r="Y502" s="10"/>
      <c r="Z502" s="56"/>
      <c r="AA502" s="56"/>
      <c r="AB502" s="56"/>
      <c r="AC502" s="56"/>
      <c r="AD502" s="56"/>
      <c r="AE502" s="174"/>
      <c r="AF502" s="56"/>
      <c r="AG502" s="56"/>
      <c r="AH502" s="172"/>
      <c r="AI502" s="56"/>
      <c r="AJ502" s="56"/>
      <c r="AK502" s="56"/>
      <c r="AL502" s="56"/>
      <c r="AM502" s="56"/>
      <c r="AN502" s="56"/>
      <c r="AO502" s="172"/>
      <c r="AP502" s="56"/>
      <c r="AQ502" s="56"/>
      <c r="AR502" s="56"/>
      <c r="AS502" s="56"/>
      <c r="AT502" s="56"/>
      <c r="AU502" s="56"/>
      <c r="AV502" s="56"/>
      <c r="AW502" s="172"/>
      <c r="AX502" s="56"/>
      <c r="AY502" s="56"/>
      <c r="AZ502" s="56"/>
      <c r="BA502" s="172"/>
      <c r="BB502" s="56"/>
      <c r="BC502" s="10"/>
      <c r="BD502" s="56"/>
      <c r="BE502" s="56"/>
      <c r="BF502" s="56"/>
      <c r="BG502" s="56"/>
      <c r="BO502" s="145"/>
      <c r="CI502" s="145"/>
      <c r="CY502" s="145"/>
    </row>
    <row r="503" spans="1:103" s="97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65"/>
      <c r="M503" s="10"/>
      <c r="N503" s="56"/>
      <c r="O503" s="56"/>
      <c r="P503" s="162"/>
      <c r="Q503" s="178"/>
      <c r="R503" s="168"/>
      <c r="S503" s="56"/>
      <c r="T503" s="56"/>
      <c r="U503" s="56"/>
      <c r="V503" s="162"/>
      <c r="W503" s="178"/>
      <c r="X503" s="172"/>
      <c r="Y503" s="10"/>
      <c r="Z503" s="56"/>
      <c r="AA503" s="56"/>
      <c r="AB503" s="56"/>
      <c r="AC503" s="56"/>
      <c r="AD503" s="56"/>
      <c r="AE503" s="174"/>
      <c r="AF503" s="56"/>
      <c r="AG503" s="56"/>
      <c r="AH503" s="172"/>
      <c r="AI503" s="56"/>
      <c r="AJ503" s="56"/>
      <c r="AK503" s="56"/>
      <c r="AL503" s="56"/>
      <c r="AM503" s="56"/>
      <c r="AN503" s="56"/>
      <c r="AO503" s="172"/>
      <c r="AP503" s="56"/>
      <c r="AQ503" s="56"/>
      <c r="AR503" s="56"/>
      <c r="AS503" s="56"/>
      <c r="AT503" s="56"/>
      <c r="AU503" s="56"/>
      <c r="AV503" s="56"/>
      <c r="AW503" s="172"/>
      <c r="AX503" s="56"/>
      <c r="AY503" s="56"/>
      <c r="AZ503" s="56"/>
      <c r="BA503" s="172"/>
      <c r="BB503" s="56"/>
      <c r="BC503" s="10"/>
      <c r="BD503" s="56"/>
      <c r="BE503" s="56"/>
      <c r="BF503" s="56"/>
      <c r="BG503" s="56"/>
      <c r="BO503" s="145"/>
      <c r="CI503" s="145"/>
      <c r="CY503" s="145"/>
    </row>
    <row r="504" spans="1:103" s="97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65"/>
      <c r="M504" s="10"/>
      <c r="N504" s="56"/>
      <c r="O504" s="56"/>
      <c r="P504" s="162"/>
      <c r="Q504" s="178"/>
      <c r="R504" s="168"/>
      <c r="S504" s="56"/>
      <c r="T504" s="56"/>
      <c r="U504" s="56"/>
      <c r="V504" s="162"/>
      <c r="W504" s="178"/>
      <c r="X504" s="172"/>
      <c r="Y504" s="10"/>
      <c r="Z504" s="56"/>
      <c r="AA504" s="56"/>
      <c r="AB504" s="56"/>
      <c r="AC504" s="56"/>
      <c r="AD504" s="56"/>
      <c r="AE504" s="174"/>
      <c r="AF504" s="56"/>
      <c r="AG504" s="56"/>
      <c r="AH504" s="172"/>
      <c r="AI504" s="56"/>
      <c r="AJ504" s="56"/>
      <c r="AK504" s="56"/>
      <c r="AL504" s="56"/>
      <c r="AM504" s="56"/>
      <c r="AN504" s="56"/>
      <c r="AO504" s="172"/>
      <c r="AP504" s="56"/>
      <c r="AQ504" s="56"/>
      <c r="AR504" s="56"/>
      <c r="AS504" s="56"/>
      <c r="AT504" s="56"/>
      <c r="AU504" s="56"/>
      <c r="AV504" s="56"/>
      <c r="AW504" s="172"/>
      <c r="AX504" s="56"/>
      <c r="AY504" s="56"/>
      <c r="AZ504" s="56"/>
      <c r="BA504" s="172"/>
      <c r="BB504" s="56"/>
      <c r="BC504" s="10"/>
      <c r="BD504" s="56"/>
      <c r="BE504" s="56"/>
      <c r="BF504" s="56"/>
      <c r="BG504" s="56"/>
      <c r="BO504" s="145"/>
      <c r="CI504" s="145"/>
      <c r="CY504" s="145"/>
    </row>
    <row r="505" spans="1:103" s="97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65"/>
      <c r="M505" s="10"/>
      <c r="N505" s="56"/>
      <c r="O505" s="56"/>
      <c r="P505" s="162"/>
      <c r="Q505" s="178"/>
      <c r="R505" s="168"/>
      <c r="S505" s="56"/>
      <c r="T505" s="56"/>
      <c r="U505" s="56"/>
      <c r="V505" s="162"/>
      <c r="W505" s="178"/>
      <c r="X505" s="172"/>
      <c r="Y505" s="10"/>
      <c r="Z505" s="56"/>
      <c r="AA505" s="56"/>
      <c r="AB505" s="56"/>
      <c r="AC505" s="56"/>
      <c r="AD505" s="56"/>
      <c r="AE505" s="174"/>
      <c r="AF505" s="56"/>
      <c r="AG505" s="56"/>
      <c r="AH505" s="172"/>
      <c r="AI505" s="56"/>
      <c r="AJ505" s="56"/>
      <c r="AK505" s="56"/>
      <c r="AL505" s="56"/>
      <c r="AM505" s="56"/>
      <c r="AN505" s="56"/>
      <c r="AO505" s="172"/>
      <c r="AP505" s="56"/>
      <c r="AQ505" s="56"/>
      <c r="AR505" s="56"/>
      <c r="AS505" s="56"/>
      <c r="AT505" s="56"/>
      <c r="AU505" s="56"/>
      <c r="AV505" s="56"/>
      <c r="AW505" s="172"/>
      <c r="AX505" s="56"/>
      <c r="AY505" s="56"/>
      <c r="AZ505" s="56"/>
      <c r="BA505" s="172"/>
      <c r="BB505" s="56"/>
      <c r="BC505" s="10"/>
      <c r="BD505" s="56"/>
      <c r="BE505" s="56"/>
      <c r="BF505" s="56"/>
      <c r="BG505" s="56"/>
      <c r="BO505" s="145"/>
      <c r="CI505" s="145"/>
      <c r="CY505" s="145"/>
    </row>
    <row r="506" spans="1:103" s="97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65"/>
      <c r="M506" s="10"/>
      <c r="N506" s="56"/>
      <c r="O506" s="56"/>
      <c r="P506" s="162"/>
      <c r="Q506" s="178"/>
      <c r="R506" s="168"/>
      <c r="S506" s="56"/>
      <c r="T506" s="56"/>
      <c r="U506" s="56"/>
      <c r="V506" s="162"/>
      <c r="W506" s="178"/>
      <c r="X506" s="172"/>
      <c r="Y506" s="10"/>
      <c r="Z506" s="56"/>
      <c r="AA506" s="56"/>
      <c r="AB506" s="56"/>
      <c r="AC506" s="56"/>
      <c r="AD506" s="56"/>
      <c r="AE506" s="174"/>
      <c r="AF506" s="56"/>
      <c r="AG506" s="56"/>
      <c r="AH506" s="172"/>
      <c r="AI506" s="56"/>
      <c r="AJ506" s="56"/>
      <c r="AK506" s="56"/>
      <c r="AL506" s="56"/>
      <c r="AM506" s="56"/>
      <c r="AN506" s="56"/>
      <c r="AO506" s="172"/>
      <c r="AP506" s="56"/>
      <c r="AQ506" s="56"/>
      <c r="AR506" s="56"/>
      <c r="AS506" s="56"/>
      <c r="AT506" s="56"/>
      <c r="AU506" s="56"/>
      <c r="AV506" s="56"/>
      <c r="AW506" s="172"/>
      <c r="AX506" s="56"/>
      <c r="AY506" s="56"/>
      <c r="AZ506" s="56"/>
      <c r="BA506" s="172"/>
      <c r="BB506" s="56"/>
      <c r="BC506" s="10"/>
      <c r="BD506" s="56"/>
      <c r="BE506" s="56"/>
      <c r="BF506" s="56"/>
      <c r="BG506" s="56"/>
      <c r="BO506" s="145"/>
      <c r="CI506" s="145"/>
      <c r="CY506" s="145"/>
    </row>
    <row r="507" spans="1:103" s="97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65"/>
      <c r="M507" s="10"/>
      <c r="N507" s="56"/>
      <c r="O507" s="56"/>
      <c r="P507" s="162"/>
      <c r="Q507" s="178"/>
      <c r="R507" s="168"/>
      <c r="S507" s="56"/>
      <c r="T507" s="56"/>
      <c r="U507" s="56"/>
      <c r="V507" s="162"/>
      <c r="W507" s="178"/>
      <c r="X507" s="172"/>
      <c r="Y507" s="10"/>
      <c r="Z507" s="56"/>
      <c r="AA507" s="56"/>
      <c r="AB507" s="56"/>
      <c r="AC507" s="56"/>
      <c r="AD507" s="56"/>
      <c r="AE507" s="174"/>
      <c r="AF507" s="56"/>
      <c r="AG507" s="56"/>
      <c r="AH507" s="172"/>
      <c r="AI507" s="56"/>
      <c r="AJ507" s="56"/>
      <c r="AK507" s="56"/>
      <c r="AL507" s="56"/>
      <c r="AM507" s="56"/>
      <c r="AN507" s="56"/>
      <c r="AO507" s="172"/>
      <c r="AP507" s="56"/>
      <c r="AQ507" s="56"/>
      <c r="AR507" s="56"/>
      <c r="AS507" s="56"/>
      <c r="AT507" s="56"/>
      <c r="AU507" s="56"/>
      <c r="AV507" s="56"/>
      <c r="AW507" s="172"/>
      <c r="AX507" s="56"/>
      <c r="AY507" s="56"/>
      <c r="AZ507" s="56"/>
      <c r="BA507" s="172"/>
      <c r="BB507" s="56"/>
      <c r="BC507" s="10"/>
      <c r="BD507" s="56"/>
      <c r="BE507" s="56"/>
      <c r="BF507" s="56"/>
      <c r="BG507" s="56"/>
      <c r="BO507" s="145"/>
      <c r="CI507" s="145"/>
      <c r="CY507" s="145"/>
    </row>
    <row r="508" spans="1:103" s="97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65"/>
      <c r="M508" s="10"/>
      <c r="N508" s="56"/>
      <c r="O508" s="56"/>
      <c r="P508" s="162"/>
      <c r="Q508" s="178"/>
      <c r="R508" s="168"/>
      <c r="S508" s="56"/>
      <c r="T508" s="56"/>
      <c r="U508" s="56"/>
      <c r="V508" s="162"/>
      <c r="W508" s="178"/>
      <c r="X508" s="172"/>
      <c r="Y508" s="10"/>
      <c r="Z508" s="56"/>
      <c r="AA508" s="56"/>
      <c r="AB508" s="56"/>
      <c r="AC508" s="56"/>
      <c r="AD508" s="56"/>
      <c r="AE508" s="174"/>
      <c r="AF508" s="56"/>
      <c r="AG508" s="56"/>
      <c r="AH508" s="172"/>
      <c r="AI508" s="56"/>
      <c r="AJ508" s="56"/>
      <c r="AK508" s="56"/>
      <c r="AL508" s="56"/>
      <c r="AM508" s="56"/>
      <c r="AN508" s="56"/>
      <c r="AO508" s="172"/>
      <c r="AP508" s="56"/>
      <c r="AQ508" s="56"/>
      <c r="AR508" s="56"/>
      <c r="AS508" s="56"/>
      <c r="AT508" s="56"/>
      <c r="AU508" s="56"/>
      <c r="AV508" s="56"/>
      <c r="AW508" s="172"/>
      <c r="AX508" s="56"/>
      <c r="AY508" s="56"/>
      <c r="AZ508" s="56"/>
      <c r="BA508" s="172"/>
      <c r="BB508" s="56"/>
      <c r="BC508" s="10"/>
      <c r="BD508" s="56"/>
      <c r="BE508" s="56"/>
      <c r="BF508" s="56"/>
      <c r="BG508" s="56"/>
      <c r="BO508" s="145"/>
      <c r="CI508" s="145"/>
      <c r="CY508" s="145"/>
    </row>
    <row r="509" spans="1:103" s="97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65"/>
      <c r="M509" s="10"/>
      <c r="N509" s="56"/>
      <c r="O509" s="56"/>
      <c r="P509" s="162"/>
      <c r="Q509" s="178"/>
      <c r="R509" s="168"/>
      <c r="S509" s="56"/>
      <c r="T509" s="56"/>
      <c r="U509" s="56"/>
      <c r="V509" s="162"/>
      <c r="W509" s="178"/>
      <c r="X509" s="172"/>
      <c r="Y509" s="10"/>
      <c r="Z509" s="56"/>
      <c r="AA509" s="56"/>
      <c r="AB509" s="56"/>
      <c r="AC509" s="56"/>
      <c r="AD509" s="56"/>
      <c r="AE509" s="174"/>
      <c r="AF509" s="56"/>
      <c r="AG509" s="56"/>
      <c r="AH509" s="172"/>
      <c r="AI509" s="56"/>
      <c r="AJ509" s="56"/>
      <c r="AK509" s="56"/>
      <c r="AL509" s="56"/>
      <c r="AM509" s="56"/>
      <c r="AN509" s="56"/>
      <c r="AO509" s="172"/>
      <c r="AP509" s="56"/>
      <c r="AQ509" s="56"/>
      <c r="AR509" s="56"/>
      <c r="AS509" s="56"/>
      <c r="AT509" s="56"/>
      <c r="AU509" s="56"/>
      <c r="AV509" s="56"/>
      <c r="AW509" s="172"/>
      <c r="AX509" s="56"/>
      <c r="AY509" s="56"/>
      <c r="AZ509" s="56"/>
      <c r="BA509" s="172"/>
      <c r="BB509" s="56"/>
      <c r="BC509" s="10"/>
      <c r="BD509" s="56"/>
      <c r="BE509" s="56"/>
      <c r="BF509" s="56"/>
      <c r="BG509" s="56"/>
      <c r="BO509" s="145"/>
      <c r="CI509" s="145"/>
      <c r="CY509" s="145"/>
    </row>
    <row r="510" spans="1:103" s="97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65"/>
      <c r="M510" s="10"/>
      <c r="N510" s="56"/>
      <c r="O510" s="56"/>
      <c r="P510" s="162"/>
      <c r="Q510" s="178"/>
      <c r="R510" s="168"/>
      <c r="S510" s="56"/>
      <c r="T510" s="56"/>
      <c r="U510" s="56"/>
      <c r="V510" s="162"/>
      <c r="W510" s="178"/>
      <c r="X510" s="172"/>
      <c r="Y510" s="10"/>
      <c r="Z510" s="56"/>
      <c r="AA510" s="56"/>
      <c r="AB510" s="56"/>
      <c r="AC510" s="56"/>
      <c r="AD510" s="56"/>
      <c r="AE510" s="174"/>
      <c r="AF510" s="56"/>
      <c r="AG510" s="56"/>
      <c r="AH510" s="172"/>
      <c r="AI510" s="56"/>
      <c r="AJ510" s="56"/>
      <c r="AK510" s="56"/>
      <c r="AL510" s="56"/>
      <c r="AM510" s="56"/>
      <c r="AN510" s="56"/>
      <c r="AO510" s="172"/>
      <c r="AP510" s="56"/>
      <c r="AQ510" s="56"/>
      <c r="AR510" s="56"/>
      <c r="AS510" s="56"/>
      <c r="AT510" s="56"/>
      <c r="AU510" s="56"/>
      <c r="AV510" s="56"/>
      <c r="AW510" s="172"/>
      <c r="AX510" s="56"/>
      <c r="AY510" s="56"/>
      <c r="AZ510" s="56"/>
      <c r="BA510" s="172"/>
      <c r="BB510" s="56"/>
      <c r="BC510" s="10"/>
      <c r="BD510" s="56"/>
      <c r="BE510" s="56"/>
      <c r="BF510" s="56"/>
      <c r="BG510" s="56"/>
      <c r="BO510" s="145"/>
      <c r="CI510" s="145"/>
      <c r="CY510" s="145"/>
    </row>
    <row r="511" spans="1:103" s="97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65"/>
      <c r="M511" s="10"/>
      <c r="N511" s="56"/>
      <c r="O511" s="56"/>
      <c r="P511" s="162"/>
      <c r="Q511" s="178"/>
      <c r="R511" s="168"/>
      <c r="S511" s="56"/>
      <c r="T511" s="56"/>
      <c r="U511" s="56"/>
      <c r="V511" s="162"/>
      <c r="W511" s="178"/>
      <c r="X511" s="172"/>
      <c r="Y511" s="10"/>
      <c r="Z511" s="56"/>
      <c r="AA511" s="56"/>
      <c r="AB511" s="56"/>
      <c r="AC511" s="56"/>
      <c r="AD511" s="56"/>
      <c r="AE511" s="174"/>
      <c r="AF511" s="56"/>
      <c r="AG511" s="56"/>
      <c r="AH511" s="172"/>
      <c r="AI511" s="56"/>
      <c r="AJ511" s="56"/>
      <c r="AK511" s="56"/>
      <c r="AL511" s="56"/>
      <c r="AM511" s="56"/>
      <c r="AN511" s="56"/>
      <c r="AO511" s="172"/>
      <c r="AP511" s="56"/>
      <c r="AQ511" s="56"/>
      <c r="AR511" s="56"/>
      <c r="AS511" s="56"/>
      <c r="AT511" s="56"/>
      <c r="AU511" s="56"/>
      <c r="AV511" s="56"/>
      <c r="AW511" s="172"/>
      <c r="AX511" s="56"/>
      <c r="AY511" s="56"/>
      <c r="AZ511" s="56"/>
      <c r="BA511" s="172"/>
      <c r="BB511" s="56"/>
      <c r="BC511" s="10"/>
      <c r="BD511" s="56"/>
      <c r="BE511" s="56"/>
      <c r="BF511" s="56"/>
      <c r="BG511" s="56"/>
      <c r="BO511" s="145"/>
      <c r="CI511" s="145"/>
      <c r="CY511" s="145"/>
    </row>
    <row r="512" spans="1:103" s="97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65"/>
      <c r="M512" s="10"/>
      <c r="N512" s="56"/>
      <c r="O512" s="56"/>
      <c r="P512" s="162"/>
      <c r="Q512" s="178"/>
      <c r="R512" s="168"/>
      <c r="S512" s="56"/>
      <c r="T512" s="56"/>
      <c r="U512" s="56"/>
      <c r="V512" s="162"/>
      <c r="W512" s="178"/>
      <c r="X512" s="172"/>
      <c r="Y512" s="10"/>
      <c r="Z512" s="56"/>
      <c r="AA512" s="56"/>
      <c r="AB512" s="56"/>
      <c r="AC512" s="56"/>
      <c r="AD512" s="56"/>
      <c r="AE512" s="174"/>
      <c r="AF512" s="56"/>
      <c r="AG512" s="56"/>
      <c r="AH512" s="172"/>
      <c r="AI512" s="56"/>
      <c r="AJ512" s="56"/>
      <c r="AK512" s="56"/>
      <c r="AL512" s="56"/>
      <c r="AM512" s="56"/>
      <c r="AN512" s="56"/>
      <c r="AO512" s="172"/>
      <c r="AP512" s="56"/>
      <c r="AQ512" s="56"/>
      <c r="AR512" s="56"/>
      <c r="AS512" s="56"/>
      <c r="AT512" s="56"/>
      <c r="AU512" s="56"/>
      <c r="AV512" s="56"/>
      <c r="AW512" s="172"/>
      <c r="AX512" s="56"/>
      <c r="AY512" s="56"/>
      <c r="AZ512" s="56"/>
      <c r="BA512" s="172"/>
      <c r="BB512" s="56"/>
      <c r="BC512" s="10"/>
      <c r="BD512" s="56"/>
      <c r="BE512" s="56"/>
      <c r="BF512" s="56"/>
      <c r="BG512" s="56"/>
      <c r="BO512" s="145"/>
      <c r="CI512" s="145"/>
      <c r="CY512" s="145"/>
    </row>
    <row r="513" spans="1:103" s="97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65"/>
      <c r="M513" s="10"/>
      <c r="N513" s="56"/>
      <c r="O513" s="56"/>
      <c r="P513" s="162"/>
      <c r="Q513" s="178"/>
      <c r="R513" s="168"/>
      <c r="S513" s="56"/>
      <c r="T513" s="56"/>
      <c r="U513" s="56"/>
      <c r="V513" s="162"/>
      <c r="W513" s="178"/>
      <c r="X513" s="172"/>
      <c r="Y513" s="10"/>
      <c r="Z513" s="56"/>
      <c r="AA513" s="56"/>
      <c r="AB513" s="56"/>
      <c r="AC513" s="56"/>
      <c r="AD513" s="56"/>
      <c r="AE513" s="174"/>
      <c r="AF513" s="56"/>
      <c r="AG513" s="56"/>
      <c r="AH513" s="172"/>
      <c r="AI513" s="56"/>
      <c r="AJ513" s="56"/>
      <c r="AK513" s="56"/>
      <c r="AL513" s="56"/>
      <c r="AM513" s="56"/>
      <c r="AN513" s="56"/>
      <c r="AO513" s="172"/>
      <c r="AP513" s="56"/>
      <c r="AQ513" s="56"/>
      <c r="AR513" s="56"/>
      <c r="AS513" s="56"/>
      <c r="AT513" s="56"/>
      <c r="AU513" s="56"/>
      <c r="AV513" s="56"/>
      <c r="AW513" s="172"/>
      <c r="AX513" s="56"/>
      <c r="AY513" s="56"/>
      <c r="AZ513" s="56"/>
      <c r="BA513" s="172"/>
      <c r="BB513" s="56"/>
      <c r="BC513" s="10"/>
      <c r="BD513" s="56"/>
      <c r="BE513" s="56"/>
      <c r="BF513" s="56"/>
      <c r="BG513" s="56"/>
      <c r="BO513" s="145"/>
      <c r="CI513" s="145"/>
      <c r="CY513" s="145"/>
    </row>
    <row r="514" spans="1:103" s="97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65"/>
      <c r="M514" s="10"/>
      <c r="N514" s="56"/>
      <c r="O514" s="56"/>
      <c r="P514" s="162"/>
      <c r="Q514" s="178"/>
      <c r="R514" s="168"/>
      <c r="S514" s="56"/>
      <c r="T514" s="56"/>
      <c r="U514" s="56"/>
      <c r="V514" s="162"/>
      <c r="W514" s="178"/>
      <c r="X514" s="172"/>
      <c r="Y514" s="10"/>
      <c r="Z514" s="56"/>
      <c r="AA514" s="56"/>
      <c r="AB514" s="56"/>
      <c r="AC514" s="56"/>
      <c r="AD514" s="56"/>
      <c r="AE514" s="174"/>
      <c r="AF514" s="56"/>
      <c r="AG514" s="56"/>
      <c r="AH514" s="172"/>
      <c r="AI514" s="56"/>
      <c r="AJ514" s="56"/>
      <c r="AK514" s="56"/>
      <c r="AL514" s="56"/>
      <c r="AM514" s="56"/>
      <c r="AN514" s="56"/>
      <c r="AO514" s="172"/>
      <c r="AP514" s="56"/>
      <c r="AQ514" s="56"/>
      <c r="AR514" s="56"/>
      <c r="AS514" s="56"/>
      <c r="AT514" s="56"/>
      <c r="AU514" s="56"/>
      <c r="AV514" s="56"/>
      <c r="AW514" s="172"/>
      <c r="AX514" s="56"/>
      <c r="AY514" s="56"/>
      <c r="AZ514" s="56"/>
      <c r="BA514" s="172"/>
      <c r="BB514" s="56"/>
      <c r="BC514" s="10"/>
      <c r="BD514" s="56"/>
      <c r="BE514" s="56"/>
      <c r="BF514" s="56"/>
      <c r="BG514" s="56"/>
      <c r="BO514" s="145"/>
      <c r="CI514" s="145"/>
      <c r="CY514" s="145"/>
    </row>
    <row r="515" spans="1:103" s="97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65"/>
      <c r="M515" s="10"/>
      <c r="N515" s="56"/>
      <c r="O515" s="56"/>
      <c r="P515" s="162"/>
      <c r="Q515" s="178"/>
      <c r="R515" s="168"/>
      <c r="S515" s="56"/>
      <c r="T515" s="56"/>
      <c r="U515" s="56"/>
      <c r="V515" s="162"/>
      <c r="W515" s="178"/>
      <c r="X515" s="172"/>
      <c r="Y515" s="10"/>
      <c r="Z515" s="56"/>
      <c r="AA515" s="56"/>
      <c r="AB515" s="56"/>
      <c r="AC515" s="56"/>
      <c r="AD515" s="56"/>
      <c r="AE515" s="174"/>
      <c r="AF515" s="56"/>
      <c r="AG515" s="56"/>
      <c r="AH515" s="172"/>
      <c r="AI515" s="56"/>
      <c r="AJ515" s="56"/>
      <c r="AK515" s="56"/>
      <c r="AL515" s="56"/>
      <c r="AM515" s="56"/>
      <c r="AN515" s="56"/>
      <c r="AO515" s="172"/>
      <c r="AP515" s="56"/>
      <c r="AQ515" s="56"/>
      <c r="AR515" s="56"/>
      <c r="AS515" s="56"/>
      <c r="AT515" s="56"/>
      <c r="AU515" s="56"/>
      <c r="AV515" s="56"/>
      <c r="AW515" s="172"/>
      <c r="AX515" s="56"/>
      <c r="AY515" s="56"/>
      <c r="AZ515" s="56"/>
      <c r="BA515" s="172"/>
      <c r="BB515" s="56"/>
      <c r="BC515" s="10"/>
      <c r="BD515" s="56"/>
      <c r="BE515" s="56"/>
      <c r="BF515" s="56"/>
      <c r="BG515" s="56"/>
      <c r="BO515" s="145"/>
      <c r="CI515" s="145"/>
      <c r="CY515" s="145"/>
    </row>
    <row r="516" spans="1:103" s="97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65"/>
      <c r="M516" s="10"/>
      <c r="N516" s="56"/>
      <c r="O516" s="56"/>
      <c r="P516" s="162"/>
      <c r="Q516" s="178"/>
      <c r="R516" s="168"/>
      <c r="S516" s="56"/>
      <c r="T516" s="56"/>
      <c r="U516" s="56"/>
      <c r="V516" s="162"/>
      <c r="W516" s="178"/>
      <c r="X516" s="172"/>
      <c r="Y516" s="10"/>
      <c r="Z516" s="56"/>
      <c r="AA516" s="56"/>
      <c r="AB516" s="56"/>
      <c r="AC516" s="56"/>
      <c r="AD516" s="56"/>
      <c r="AE516" s="174"/>
      <c r="AF516" s="56"/>
      <c r="AG516" s="56"/>
      <c r="AH516" s="172"/>
      <c r="AI516" s="56"/>
      <c r="AJ516" s="56"/>
      <c r="AK516" s="56"/>
      <c r="AL516" s="56"/>
      <c r="AM516" s="56"/>
      <c r="AN516" s="56"/>
      <c r="AO516" s="172"/>
      <c r="AP516" s="56"/>
      <c r="AQ516" s="56"/>
      <c r="AR516" s="56"/>
      <c r="AS516" s="56"/>
      <c r="AT516" s="56"/>
      <c r="AU516" s="56"/>
      <c r="AV516" s="56"/>
      <c r="AW516" s="172"/>
      <c r="AX516" s="56"/>
      <c r="AY516" s="56"/>
      <c r="AZ516" s="56"/>
      <c r="BA516" s="172"/>
      <c r="BB516" s="56"/>
      <c r="BC516" s="10"/>
      <c r="BD516" s="56"/>
      <c r="BE516" s="56"/>
      <c r="BF516" s="56"/>
      <c r="BG516" s="56"/>
      <c r="BO516" s="145"/>
      <c r="CI516" s="145"/>
      <c r="CY516" s="145"/>
    </row>
    <row r="517" spans="1:103" s="97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65"/>
      <c r="M517" s="10"/>
      <c r="N517" s="56"/>
      <c r="O517" s="56"/>
      <c r="P517" s="162"/>
      <c r="Q517" s="178"/>
      <c r="R517" s="168"/>
      <c r="S517" s="56"/>
      <c r="T517" s="56"/>
      <c r="U517" s="56"/>
      <c r="V517" s="162"/>
      <c r="W517" s="178"/>
      <c r="X517" s="172"/>
      <c r="Y517" s="10"/>
      <c r="Z517" s="56"/>
      <c r="AA517" s="56"/>
      <c r="AB517" s="56"/>
      <c r="AC517" s="56"/>
      <c r="AD517" s="56"/>
      <c r="AE517" s="174"/>
      <c r="AF517" s="56"/>
      <c r="AG517" s="56"/>
      <c r="AH517" s="172"/>
      <c r="AI517" s="56"/>
      <c r="AJ517" s="56"/>
      <c r="AK517" s="56"/>
      <c r="AL517" s="56"/>
      <c r="AM517" s="56"/>
      <c r="AN517" s="56"/>
      <c r="AO517" s="172"/>
      <c r="AP517" s="56"/>
      <c r="AQ517" s="56"/>
      <c r="AR517" s="56"/>
      <c r="AS517" s="56"/>
      <c r="AT517" s="56"/>
      <c r="AU517" s="56"/>
      <c r="AV517" s="56"/>
      <c r="AW517" s="172"/>
      <c r="AX517" s="56"/>
      <c r="AY517" s="56"/>
      <c r="AZ517" s="56"/>
      <c r="BA517" s="172"/>
      <c r="BB517" s="56"/>
      <c r="BC517" s="10"/>
      <c r="BD517" s="56"/>
      <c r="BE517" s="56"/>
      <c r="BF517" s="56"/>
      <c r="BG517" s="56"/>
      <c r="BO517" s="145"/>
      <c r="CI517" s="145"/>
      <c r="CY517" s="145"/>
    </row>
    <row r="518" spans="1:103" s="97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65"/>
      <c r="M518" s="10"/>
      <c r="N518" s="56"/>
      <c r="O518" s="56"/>
      <c r="P518" s="162"/>
      <c r="Q518" s="178"/>
      <c r="R518" s="168"/>
      <c r="S518" s="56"/>
      <c r="T518" s="56"/>
      <c r="U518" s="56"/>
      <c r="V518" s="162"/>
      <c r="W518" s="178"/>
      <c r="X518" s="172"/>
      <c r="Y518" s="10"/>
      <c r="Z518" s="56"/>
      <c r="AA518" s="56"/>
      <c r="AB518" s="56"/>
      <c r="AC518" s="56"/>
      <c r="AD518" s="56"/>
      <c r="AE518" s="174"/>
      <c r="AF518" s="56"/>
      <c r="AG518" s="56"/>
      <c r="AH518" s="172"/>
      <c r="AI518" s="56"/>
      <c r="AJ518" s="56"/>
      <c r="AK518" s="56"/>
      <c r="AL518" s="56"/>
      <c r="AM518" s="56"/>
      <c r="AN518" s="56"/>
      <c r="AO518" s="172"/>
      <c r="AP518" s="56"/>
      <c r="AQ518" s="56"/>
      <c r="AR518" s="56"/>
      <c r="AS518" s="56"/>
      <c r="AT518" s="56"/>
      <c r="AU518" s="56"/>
      <c r="AV518" s="56"/>
      <c r="AW518" s="172"/>
      <c r="AX518" s="56"/>
      <c r="AY518" s="56"/>
      <c r="AZ518" s="56"/>
      <c r="BA518" s="172"/>
      <c r="BB518" s="56"/>
      <c r="BC518" s="10"/>
      <c r="BD518" s="56"/>
      <c r="BE518" s="56"/>
      <c r="BF518" s="56"/>
      <c r="BG518" s="56"/>
      <c r="BO518" s="145"/>
      <c r="CI518" s="145"/>
      <c r="CY518" s="145"/>
    </row>
    <row r="519" spans="1:103" s="97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65"/>
      <c r="M519" s="10"/>
      <c r="N519" s="56"/>
      <c r="O519" s="56"/>
      <c r="P519" s="162"/>
      <c r="Q519" s="178"/>
      <c r="R519" s="168"/>
      <c r="S519" s="56"/>
      <c r="T519" s="56"/>
      <c r="U519" s="56"/>
      <c r="V519" s="162"/>
      <c r="W519" s="178"/>
      <c r="X519" s="172"/>
      <c r="Y519" s="10"/>
      <c r="Z519" s="56"/>
      <c r="AA519" s="56"/>
      <c r="AB519" s="56"/>
      <c r="AC519" s="56"/>
      <c r="AD519" s="56"/>
      <c r="AE519" s="174"/>
      <c r="AF519" s="56"/>
      <c r="AG519" s="56"/>
      <c r="AH519" s="172"/>
      <c r="AI519" s="56"/>
      <c r="AJ519" s="56"/>
      <c r="AK519" s="56"/>
      <c r="AL519" s="56"/>
      <c r="AM519" s="56"/>
      <c r="AN519" s="56"/>
      <c r="AO519" s="172"/>
      <c r="AP519" s="56"/>
      <c r="AQ519" s="56"/>
      <c r="AR519" s="56"/>
      <c r="AS519" s="56"/>
      <c r="AT519" s="56"/>
      <c r="AU519" s="56"/>
      <c r="AV519" s="56"/>
      <c r="AW519" s="172"/>
      <c r="AX519" s="56"/>
      <c r="AY519" s="56"/>
      <c r="AZ519" s="56"/>
      <c r="BA519" s="172"/>
      <c r="BB519" s="56"/>
      <c r="BC519" s="10"/>
      <c r="BD519" s="56"/>
      <c r="BE519" s="56"/>
      <c r="BF519" s="56"/>
      <c r="BG519" s="56"/>
      <c r="BO519" s="145"/>
      <c r="CI519" s="145"/>
      <c r="CY519" s="145"/>
    </row>
    <row r="520" spans="1:103" s="97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65"/>
      <c r="M520" s="10"/>
      <c r="N520" s="56"/>
      <c r="O520" s="56"/>
      <c r="P520" s="162"/>
      <c r="Q520" s="178"/>
      <c r="R520" s="168"/>
      <c r="S520" s="56"/>
      <c r="T520" s="56"/>
      <c r="U520" s="56"/>
      <c r="V520" s="162"/>
      <c r="W520" s="178"/>
      <c r="X520" s="172"/>
      <c r="Y520" s="10"/>
      <c r="Z520" s="56"/>
      <c r="AA520" s="56"/>
      <c r="AB520" s="56"/>
      <c r="AC520" s="56"/>
      <c r="AD520" s="56"/>
      <c r="AE520" s="174"/>
      <c r="AF520" s="56"/>
      <c r="AG520" s="56"/>
      <c r="AH520" s="172"/>
      <c r="AI520" s="56"/>
      <c r="AJ520" s="56"/>
      <c r="AK520" s="56"/>
      <c r="AL520" s="56"/>
      <c r="AM520" s="56"/>
      <c r="AN520" s="56"/>
      <c r="AO520" s="172"/>
      <c r="AP520" s="56"/>
      <c r="AQ520" s="56"/>
      <c r="AR520" s="56"/>
      <c r="AS520" s="56"/>
      <c r="AT520" s="56"/>
      <c r="AU520" s="56"/>
      <c r="AV520" s="56"/>
      <c r="AW520" s="172"/>
      <c r="AX520" s="56"/>
      <c r="AY520" s="56"/>
      <c r="AZ520" s="56"/>
      <c r="BA520" s="172"/>
      <c r="BB520" s="56"/>
      <c r="BC520" s="10"/>
      <c r="BD520" s="56"/>
      <c r="BE520" s="56"/>
      <c r="BF520" s="56"/>
      <c r="BG520" s="56"/>
      <c r="BO520" s="145"/>
      <c r="CI520" s="145"/>
      <c r="CY520" s="145"/>
    </row>
    <row r="521" spans="1:103" s="97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65"/>
      <c r="M521" s="10"/>
      <c r="N521" s="56"/>
      <c r="O521" s="56"/>
      <c r="P521" s="162"/>
      <c r="Q521" s="178"/>
      <c r="R521" s="168"/>
      <c r="S521" s="56"/>
      <c r="T521" s="56"/>
      <c r="U521" s="56"/>
      <c r="V521" s="162"/>
      <c r="W521" s="178"/>
      <c r="X521" s="172"/>
      <c r="Y521" s="10"/>
      <c r="Z521" s="56"/>
      <c r="AA521" s="56"/>
      <c r="AB521" s="56"/>
      <c r="AC521" s="56"/>
      <c r="AD521" s="56"/>
      <c r="AE521" s="174"/>
      <c r="AF521" s="56"/>
      <c r="AG521" s="56"/>
      <c r="AH521" s="172"/>
      <c r="AI521" s="56"/>
      <c r="AJ521" s="56"/>
      <c r="AK521" s="56"/>
      <c r="AL521" s="56"/>
      <c r="AM521" s="56"/>
      <c r="AN521" s="56"/>
      <c r="AO521" s="172"/>
      <c r="AP521" s="56"/>
      <c r="AQ521" s="56"/>
      <c r="AR521" s="56"/>
      <c r="AS521" s="56"/>
      <c r="AT521" s="56"/>
      <c r="AU521" s="56"/>
      <c r="AV521" s="56"/>
      <c r="AW521" s="172"/>
      <c r="AX521" s="56"/>
      <c r="AY521" s="56"/>
      <c r="AZ521" s="56"/>
      <c r="BA521" s="172"/>
      <c r="BB521" s="56"/>
      <c r="BC521" s="10"/>
      <c r="BD521" s="56"/>
      <c r="BE521" s="56"/>
      <c r="BF521" s="56"/>
      <c r="BG521" s="56"/>
      <c r="BO521" s="145"/>
      <c r="CI521" s="145"/>
      <c r="CY521" s="145"/>
    </row>
    <row r="522" spans="1:103" s="97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65"/>
      <c r="M522" s="10"/>
      <c r="N522" s="56"/>
      <c r="O522" s="56"/>
      <c r="P522" s="162"/>
      <c r="Q522" s="178"/>
      <c r="R522" s="168"/>
      <c r="S522" s="56"/>
      <c r="T522" s="56"/>
      <c r="U522" s="56"/>
      <c r="V522" s="162"/>
      <c r="W522" s="178"/>
      <c r="X522" s="172"/>
      <c r="Y522" s="10"/>
      <c r="Z522" s="56"/>
      <c r="AA522" s="56"/>
      <c r="AB522" s="56"/>
      <c r="AC522" s="56"/>
      <c r="AD522" s="56"/>
      <c r="AE522" s="174"/>
      <c r="AF522" s="56"/>
      <c r="AG522" s="56"/>
      <c r="AH522" s="172"/>
      <c r="AI522" s="56"/>
      <c r="AJ522" s="56"/>
      <c r="AK522" s="56"/>
      <c r="AL522" s="56"/>
      <c r="AM522" s="56"/>
      <c r="AN522" s="56"/>
      <c r="AO522" s="172"/>
      <c r="AP522" s="56"/>
      <c r="AQ522" s="56"/>
      <c r="AR522" s="56"/>
      <c r="AS522" s="56"/>
      <c r="AT522" s="56"/>
      <c r="AU522" s="56"/>
      <c r="AV522" s="56"/>
      <c r="AW522" s="172"/>
      <c r="AX522" s="56"/>
      <c r="AY522" s="56"/>
      <c r="AZ522" s="56"/>
      <c r="BA522" s="172"/>
      <c r="BB522" s="56"/>
      <c r="BC522" s="10"/>
      <c r="BD522" s="56"/>
      <c r="BE522" s="56"/>
      <c r="BF522" s="56"/>
      <c r="BG522" s="56"/>
      <c r="BO522" s="145"/>
      <c r="CI522" s="145"/>
      <c r="CY522" s="145"/>
    </row>
    <row r="523" spans="1:103" s="97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65"/>
      <c r="M523" s="10"/>
      <c r="N523" s="56"/>
      <c r="O523" s="56"/>
      <c r="P523" s="162"/>
      <c r="Q523" s="178"/>
      <c r="R523" s="168"/>
      <c r="S523" s="56"/>
      <c r="T523" s="56"/>
      <c r="U523" s="56"/>
      <c r="V523" s="162"/>
      <c r="W523" s="178"/>
      <c r="X523" s="172"/>
      <c r="Y523" s="10"/>
      <c r="Z523" s="56"/>
      <c r="AA523" s="56"/>
      <c r="AB523" s="56"/>
      <c r="AC523" s="56"/>
      <c r="AD523" s="56"/>
      <c r="AE523" s="174"/>
      <c r="AF523" s="56"/>
      <c r="AG523" s="56"/>
      <c r="AH523" s="172"/>
      <c r="AI523" s="56"/>
      <c r="AJ523" s="56"/>
      <c r="AK523" s="56"/>
      <c r="AL523" s="56"/>
      <c r="AM523" s="56"/>
      <c r="AN523" s="56"/>
      <c r="AO523" s="172"/>
      <c r="AP523" s="56"/>
      <c r="AQ523" s="56"/>
      <c r="AR523" s="56"/>
      <c r="AS523" s="56"/>
      <c r="AT523" s="56"/>
      <c r="AU523" s="56"/>
      <c r="AV523" s="56"/>
      <c r="AW523" s="172"/>
      <c r="AX523" s="56"/>
      <c r="AY523" s="56"/>
      <c r="AZ523" s="56"/>
      <c r="BA523" s="172"/>
      <c r="BB523" s="56"/>
      <c r="BC523" s="10"/>
      <c r="BD523" s="56"/>
      <c r="BE523" s="56"/>
      <c r="BF523" s="56"/>
      <c r="BG523" s="56"/>
      <c r="BO523" s="145"/>
      <c r="CI523" s="145"/>
      <c r="CY523" s="145"/>
    </row>
    <row r="524" spans="1:103" s="97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65"/>
      <c r="M524" s="10"/>
      <c r="N524" s="56"/>
      <c r="O524" s="56"/>
      <c r="P524" s="162"/>
      <c r="Q524" s="178"/>
      <c r="R524" s="168"/>
      <c r="S524" s="56"/>
      <c r="T524" s="56"/>
      <c r="U524" s="56"/>
      <c r="V524" s="162"/>
      <c r="W524" s="178"/>
      <c r="X524" s="172"/>
      <c r="Y524" s="10"/>
      <c r="Z524" s="56"/>
      <c r="AA524" s="56"/>
      <c r="AB524" s="56"/>
      <c r="AC524" s="56"/>
      <c r="AD524" s="56"/>
      <c r="AE524" s="174"/>
      <c r="AF524" s="56"/>
      <c r="AG524" s="56"/>
      <c r="AH524" s="172"/>
      <c r="AI524" s="56"/>
      <c r="AJ524" s="56"/>
      <c r="AK524" s="56"/>
      <c r="AL524" s="56"/>
      <c r="AM524" s="56"/>
      <c r="AN524" s="56"/>
      <c r="AO524" s="172"/>
      <c r="AP524" s="56"/>
      <c r="AQ524" s="56"/>
      <c r="AR524" s="56"/>
      <c r="AS524" s="56"/>
      <c r="AT524" s="56"/>
      <c r="AU524" s="56"/>
      <c r="AV524" s="56"/>
      <c r="AW524" s="172"/>
      <c r="AX524" s="56"/>
      <c r="AY524" s="56"/>
      <c r="AZ524" s="56"/>
      <c r="BA524" s="172"/>
      <c r="BB524" s="56"/>
      <c r="BC524" s="10"/>
      <c r="BD524" s="56"/>
      <c r="BE524" s="56"/>
      <c r="BF524" s="56"/>
      <c r="BG524" s="56"/>
      <c r="BO524" s="145"/>
      <c r="CI524" s="145"/>
      <c r="CY524" s="145"/>
    </row>
    <row r="525" spans="1:103" s="97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65"/>
      <c r="M525" s="10"/>
      <c r="N525" s="56"/>
      <c r="O525" s="56"/>
      <c r="P525" s="162"/>
      <c r="Q525" s="178"/>
      <c r="R525" s="168"/>
      <c r="S525" s="56"/>
      <c r="T525" s="56"/>
      <c r="U525" s="56"/>
      <c r="V525" s="162"/>
      <c r="W525" s="178"/>
      <c r="X525" s="172"/>
      <c r="Y525" s="10"/>
      <c r="Z525" s="56"/>
      <c r="AA525" s="56"/>
      <c r="AB525" s="56"/>
      <c r="AC525" s="56"/>
      <c r="AD525" s="56"/>
      <c r="AE525" s="174"/>
      <c r="AF525" s="56"/>
      <c r="AG525" s="56"/>
      <c r="AH525" s="172"/>
      <c r="AI525" s="56"/>
      <c r="AJ525" s="56"/>
      <c r="AK525" s="56"/>
      <c r="AL525" s="56"/>
      <c r="AM525" s="56"/>
      <c r="AN525" s="56"/>
      <c r="AO525" s="172"/>
      <c r="AP525" s="56"/>
      <c r="AQ525" s="56"/>
      <c r="AR525" s="56"/>
      <c r="AS525" s="56"/>
      <c r="AT525" s="56"/>
      <c r="AU525" s="56"/>
      <c r="AV525" s="56"/>
      <c r="AW525" s="172"/>
      <c r="AX525" s="56"/>
      <c r="AY525" s="56"/>
      <c r="AZ525" s="56"/>
      <c r="BA525" s="172"/>
      <c r="BB525" s="56"/>
      <c r="BC525" s="10"/>
      <c r="BD525" s="56"/>
      <c r="BE525" s="56"/>
      <c r="BF525" s="56"/>
      <c r="BG525" s="56"/>
      <c r="BO525" s="145"/>
      <c r="CI525" s="145"/>
      <c r="CY525" s="145"/>
    </row>
    <row r="526" spans="1:103" s="97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65"/>
      <c r="M526" s="10"/>
      <c r="N526" s="56"/>
      <c r="O526" s="56"/>
      <c r="P526" s="162"/>
      <c r="Q526" s="178"/>
      <c r="R526" s="168"/>
      <c r="S526" s="56"/>
      <c r="T526" s="56"/>
      <c r="U526" s="56"/>
      <c r="V526" s="162"/>
      <c r="W526" s="178"/>
      <c r="X526" s="172"/>
      <c r="Y526" s="10"/>
      <c r="Z526" s="56"/>
      <c r="AA526" s="56"/>
      <c r="AB526" s="56"/>
      <c r="AC526" s="56"/>
      <c r="AD526" s="56"/>
      <c r="AE526" s="174"/>
      <c r="AF526" s="56"/>
      <c r="AG526" s="56"/>
      <c r="AH526" s="172"/>
      <c r="AI526" s="56"/>
      <c r="AJ526" s="56"/>
      <c r="AK526" s="56"/>
      <c r="AL526" s="56"/>
      <c r="AM526" s="56"/>
      <c r="AN526" s="56"/>
      <c r="AO526" s="172"/>
      <c r="AP526" s="56"/>
      <c r="AQ526" s="56"/>
      <c r="AR526" s="56"/>
      <c r="AS526" s="56"/>
      <c r="AT526" s="56"/>
      <c r="AU526" s="56"/>
      <c r="AV526" s="56"/>
      <c r="AW526" s="172"/>
      <c r="AX526" s="56"/>
      <c r="AY526" s="56"/>
      <c r="AZ526" s="56"/>
      <c r="BA526" s="172"/>
      <c r="BB526" s="56"/>
      <c r="BC526" s="10"/>
      <c r="BD526" s="56"/>
      <c r="BE526" s="56"/>
      <c r="BF526" s="56"/>
      <c r="BG526" s="56"/>
      <c r="BO526" s="145"/>
      <c r="CI526" s="145"/>
      <c r="CY526" s="145"/>
    </row>
    <row r="527" spans="1:103" s="97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65"/>
      <c r="M527" s="10"/>
      <c r="N527" s="56"/>
      <c r="O527" s="56"/>
      <c r="P527" s="162"/>
      <c r="Q527" s="178"/>
      <c r="R527" s="168"/>
      <c r="S527" s="56"/>
      <c r="T527" s="56"/>
      <c r="U527" s="56"/>
      <c r="V527" s="162"/>
      <c r="W527" s="178"/>
      <c r="X527" s="172"/>
      <c r="Y527" s="10"/>
      <c r="Z527" s="56"/>
      <c r="AA527" s="56"/>
      <c r="AB527" s="56"/>
      <c r="AC527" s="56"/>
      <c r="AD527" s="56"/>
      <c r="AE527" s="174"/>
      <c r="AF527" s="56"/>
      <c r="AG527" s="56"/>
      <c r="AH527" s="172"/>
      <c r="AI527" s="56"/>
      <c r="AJ527" s="56"/>
      <c r="AK527" s="56"/>
      <c r="AL527" s="56"/>
      <c r="AM527" s="56"/>
      <c r="AN527" s="56"/>
      <c r="AO527" s="172"/>
      <c r="AP527" s="56"/>
      <c r="AQ527" s="56"/>
      <c r="AR527" s="56"/>
      <c r="AS527" s="56"/>
      <c r="AT527" s="56"/>
      <c r="AU527" s="56"/>
      <c r="AV527" s="56"/>
      <c r="AW527" s="172"/>
      <c r="AX527" s="56"/>
      <c r="AY527" s="56"/>
      <c r="AZ527" s="56"/>
      <c r="BA527" s="172"/>
      <c r="BB527" s="56"/>
      <c r="BC527" s="10"/>
      <c r="BD527" s="56"/>
      <c r="BE527" s="56"/>
      <c r="BF527" s="56"/>
      <c r="BG527" s="56"/>
      <c r="BO527" s="145"/>
      <c r="CI527" s="145"/>
      <c r="CY527" s="145"/>
    </row>
    <row r="528" spans="1:103" s="97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65"/>
      <c r="M528" s="10"/>
      <c r="N528" s="56"/>
      <c r="O528" s="56"/>
      <c r="P528" s="162"/>
      <c r="Q528" s="178"/>
      <c r="R528" s="168"/>
      <c r="S528" s="56"/>
      <c r="T528" s="56"/>
      <c r="U528" s="56"/>
      <c r="V528" s="162"/>
      <c r="W528" s="178"/>
      <c r="X528" s="172"/>
      <c r="Y528" s="10"/>
      <c r="Z528" s="56"/>
      <c r="AA528" s="56"/>
      <c r="AB528" s="56"/>
      <c r="AC528" s="56"/>
      <c r="AD528" s="56"/>
      <c r="AE528" s="174"/>
      <c r="AF528" s="56"/>
      <c r="AG528" s="56"/>
      <c r="AH528" s="172"/>
      <c r="AI528" s="56"/>
      <c r="AJ528" s="56"/>
      <c r="AK528" s="56"/>
      <c r="AL528" s="56"/>
      <c r="AM528" s="56"/>
      <c r="AN528" s="56"/>
      <c r="AO528" s="172"/>
      <c r="AP528" s="56"/>
      <c r="AQ528" s="56"/>
      <c r="AR528" s="56"/>
      <c r="AS528" s="56"/>
      <c r="AT528" s="56"/>
      <c r="AU528" s="56"/>
      <c r="AV528" s="56"/>
      <c r="AW528" s="172"/>
      <c r="AX528" s="56"/>
      <c r="AY528" s="56"/>
      <c r="AZ528" s="56"/>
      <c r="BA528" s="172"/>
      <c r="BB528" s="56"/>
      <c r="BC528" s="10"/>
      <c r="BD528" s="56"/>
      <c r="BE528" s="56"/>
      <c r="BF528" s="56"/>
      <c r="BG528" s="56"/>
      <c r="BO528" s="145"/>
      <c r="CI528" s="145"/>
      <c r="CY528" s="145"/>
    </row>
    <row r="529" spans="1:103" s="97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65"/>
      <c r="M529" s="10"/>
      <c r="N529" s="56"/>
      <c r="O529" s="56"/>
      <c r="P529" s="162"/>
      <c r="Q529" s="178"/>
      <c r="R529" s="168"/>
      <c r="S529" s="56"/>
      <c r="T529" s="56"/>
      <c r="U529" s="56"/>
      <c r="V529" s="162"/>
      <c r="W529" s="178"/>
      <c r="X529" s="172"/>
      <c r="Y529" s="10"/>
      <c r="Z529" s="56"/>
      <c r="AA529" s="56"/>
      <c r="AB529" s="56"/>
      <c r="AC529" s="56"/>
      <c r="AD529" s="56"/>
      <c r="AE529" s="174"/>
      <c r="AF529" s="56"/>
      <c r="AG529" s="56"/>
      <c r="AH529" s="172"/>
      <c r="AI529" s="56"/>
      <c r="AJ529" s="56"/>
      <c r="AK529" s="56"/>
      <c r="AL529" s="56"/>
      <c r="AM529" s="56"/>
      <c r="AN529" s="56"/>
      <c r="AO529" s="172"/>
      <c r="AP529" s="56"/>
      <c r="AQ529" s="56"/>
      <c r="AR529" s="56"/>
      <c r="AS529" s="56"/>
      <c r="AT529" s="56"/>
      <c r="AU529" s="56"/>
      <c r="AV529" s="56"/>
      <c r="AW529" s="172"/>
      <c r="AX529" s="56"/>
      <c r="AY529" s="56"/>
      <c r="AZ529" s="56"/>
      <c r="BA529" s="172"/>
      <c r="BB529" s="56"/>
      <c r="BC529" s="10"/>
      <c r="BD529" s="56"/>
      <c r="BE529" s="56"/>
      <c r="BF529" s="56"/>
      <c r="BG529" s="56"/>
      <c r="BO529" s="145"/>
      <c r="CI529" s="145"/>
      <c r="CY529" s="145"/>
    </row>
    <row r="530" spans="1:103" s="97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65"/>
      <c r="M530" s="10"/>
      <c r="N530" s="56"/>
      <c r="O530" s="56"/>
      <c r="P530" s="162"/>
      <c r="Q530" s="178"/>
      <c r="R530" s="168"/>
      <c r="S530" s="56"/>
      <c r="T530" s="56"/>
      <c r="U530" s="56"/>
      <c r="V530" s="162"/>
      <c r="W530" s="178"/>
      <c r="X530" s="172"/>
      <c r="Y530" s="10"/>
      <c r="Z530" s="56"/>
      <c r="AA530" s="56"/>
      <c r="AB530" s="56"/>
      <c r="AC530" s="56"/>
      <c r="AD530" s="56"/>
      <c r="AE530" s="174"/>
      <c r="AF530" s="56"/>
      <c r="AG530" s="56"/>
      <c r="AH530" s="172"/>
      <c r="AI530" s="56"/>
      <c r="AJ530" s="56"/>
      <c r="AK530" s="56"/>
      <c r="AL530" s="56"/>
      <c r="AM530" s="56"/>
      <c r="AN530" s="56"/>
      <c r="AO530" s="172"/>
      <c r="AP530" s="56"/>
      <c r="AQ530" s="56"/>
      <c r="AR530" s="56"/>
      <c r="AS530" s="56"/>
      <c r="AT530" s="56"/>
      <c r="AU530" s="56"/>
      <c r="AV530" s="56"/>
      <c r="AW530" s="172"/>
      <c r="AX530" s="56"/>
      <c r="AY530" s="56"/>
      <c r="AZ530" s="56"/>
      <c r="BA530" s="172"/>
      <c r="BB530" s="56"/>
      <c r="BC530" s="10"/>
      <c r="BD530" s="56"/>
      <c r="BE530" s="56"/>
      <c r="BF530" s="56"/>
      <c r="BG530" s="56"/>
      <c r="BO530" s="145"/>
      <c r="CI530" s="145"/>
      <c r="CY530" s="145"/>
    </row>
    <row r="531" spans="1:103" s="97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65"/>
      <c r="M531" s="10"/>
      <c r="N531" s="56"/>
      <c r="O531" s="56"/>
      <c r="P531" s="162"/>
      <c r="Q531" s="178"/>
      <c r="R531" s="168"/>
      <c r="S531" s="56"/>
      <c r="T531" s="56"/>
      <c r="U531" s="56"/>
      <c r="V531" s="162"/>
      <c r="W531" s="178"/>
      <c r="X531" s="172"/>
      <c r="Y531" s="10"/>
      <c r="Z531" s="56"/>
      <c r="AA531" s="56"/>
      <c r="AB531" s="56"/>
      <c r="AC531" s="56"/>
      <c r="AD531" s="56"/>
      <c r="AE531" s="174"/>
      <c r="AF531" s="56"/>
      <c r="AG531" s="56"/>
      <c r="AH531" s="172"/>
      <c r="AI531" s="56"/>
      <c r="AJ531" s="56"/>
      <c r="AK531" s="56"/>
      <c r="AL531" s="56"/>
      <c r="AM531" s="56"/>
      <c r="AN531" s="56"/>
      <c r="AO531" s="172"/>
      <c r="AP531" s="56"/>
      <c r="AQ531" s="56"/>
      <c r="AR531" s="56"/>
      <c r="AS531" s="56"/>
      <c r="AT531" s="56"/>
      <c r="AU531" s="56"/>
      <c r="AV531" s="56"/>
      <c r="AW531" s="172"/>
      <c r="AX531" s="56"/>
      <c r="AY531" s="56"/>
      <c r="AZ531" s="56"/>
      <c r="BA531" s="172"/>
      <c r="BB531" s="56"/>
      <c r="BC531" s="10"/>
      <c r="BD531" s="56"/>
      <c r="BE531" s="56"/>
      <c r="BF531" s="56"/>
      <c r="BG531" s="56"/>
      <c r="BO531" s="145"/>
      <c r="CI531" s="145"/>
      <c r="CY531" s="145"/>
    </row>
    <row r="532" spans="1:103" s="97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65"/>
      <c r="M532" s="10"/>
      <c r="N532" s="56"/>
      <c r="O532" s="56"/>
      <c r="P532" s="162"/>
      <c r="Q532" s="178"/>
      <c r="R532" s="168"/>
      <c r="S532" s="56"/>
      <c r="T532" s="56"/>
      <c r="U532" s="56"/>
      <c r="V532" s="162"/>
      <c r="W532" s="178"/>
      <c r="X532" s="172"/>
      <c r="Y532" s="10"/>
      <c r="Z532" s="56"/>
      <c r="AA532" s="56"/>
      <c r="AB532" s="56"/>
      <c r="AC532" s="56"/>
      <c r="AD532" s="56"/>
      <c r="AE532" s="174"/>
      <c r="AF532" s="56"/>
      <c r="AG532" s="56"/>
      <c r="AH532" s="172"/>
      <c r="AI532" s="56"/>
      <c r="AJ532" s="56"/>
      <c r="AK532" s="56"/>
      <c r="AL532" s="56"/>
      <c r="AM532" s="56"/>
      <c r="AN532" s="56"/>
      <c r="AO532" s="172"/>
      <c r="AP532" s="56"/>
      <c r="AQ532" s="56"/>
      <c r="AR532" s="56"/>
      <c r="AS532" s="56"/>
      <c r="AT532" s="56"/>
      <c r="AU532" s="56"/>
      <c r="AV532" s="56"/>
      <c r="AW532" s="172"/>
      <c r="AX532" s="56"/>
      <c r="AY532" s="56"/>
      <c r="AZ532" s="56"/>
      <c r="BA532" s="172"/>
      <c r="BB532" s="56"/>
      <c r="BC532" s="10"/>
      <c r="BD532" s="56"/>
      <c r="BE532" s="56"/>
      <c r="BF532" s="56"/>
      <c r="BG532" s="56"/>
      <c r="BO532" s="145"/>
      <c r="CI532" s="145"/>
      <c r="CY532" s="145"/>
    </row>
    <row r="533" spans="1:103" s="97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65"/>
      <c r="M533" s="10"/>
      <c r="N533" s="56"/>
      <c r="O533" s="56"/>
      <c r="P533" s="162"/>
      <c r="Q533" s="178"/>
      <c r="R533" s="168"/>
      <c r="S533" s="56"/>
      <c r="T533" s="56"/>
      <c r="U533" s="56"/>
      <c r="V533" s="162"/>
      <c r="W533" s="178"/>
      <c r="X533" s="172"/>
      <c r="Y533" s="10"/>
      <c r="Z533" s="56"/>
      <c r="AA533" s="56"/>
      <c r="AB533" s="56"/>
      <c r="AC533" s="56"/>
      <c r="AD533" s="56"/>
      <c r="AE533" s="174"/>
      <c r="AF533" s="56"/>
      <c r="AG533" s="56"/>
      <c r="AH533" s="172"/>
      <c r="AI533" s="56"/>
      <c r="AJ533" s="56"/>
      <c r="AK533" s="56"/>
      <c r="AL533" s="56"/>
      <c r="AM533" s="56"/>
      <c r="AN533" s="56"/>
      <c r="AO533" s="172"/>
      <c r="AP533" s="56"/>
      <c r="AQ533" s="56"/>
      <c r="AR533" s="56"/>
      <c r="AS533" s="56"/>
      <c r="AT533" s="56"/>
      <c r="AU533" s="56"/>
      <c r="AV533" s="56"/>
      <c r="AW533" s="172"/>
      <c r="AX533" s="56"/>
      <c r="AY533" s="56"/>
      <c r="AZ533" s="56"/>
      <c r="BA533" s="172"/>
      <c r="BB533" s="56"/>
      <c r="BC533" s="10"/>
      <c r="BD533" s="56"/>
      <c r="BE533" s="56"/>
      <c r="BF533" s="56"/>
      <c r="BG533" s="56"/>
      <c r="BO533" s="145"/>
      <c r="CI533" s="145"/>
      <c r="CY533" s="145"/>
    </row>
    <row r="534" spans="1:103" s="97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65"/>
      <c r="M534" s="10"/>
      <c r="N534" s="56"/>
      <c r="O534" s="56"/>
      <c r="P534" s="162"/>
      <c r="Q534" s="178"/>
      <c r="R534" s="168"/>
      <c r="S534" s="56"/>
      <c r="T534" s="56"/>
      <c r="U534" s="56"/>
      <c r="V534" s="162"/>
      <c r="W534" s="178"/>
      <c r="X534" s="172"/>
      <c r="Y534" s="10"/>
      <c r="Z534" s="56"/>
      <c r="AA534" s="56"/>
      <c r="AB534" s="56"/>
      <c r="AC534" s="56"/>
      <c r="AD534" s="56"/>
      <c r="AE534" s="174"/>
      <c r="AF534" s="56"/>
      <c r="AG534" s="56"/>
      <c r="AH534" s="172"/>
      <c r="AI534" s="56"/>
      <c r="AJ534" s="56"/>
      <c r="AK534" s="56"/>
      <c r="AL534" s="56"/>
      <c r="AM534" s="56"/>
      <c r="AN534" s="56"/>
      <c r="AO534" s="172"/>
      <c r="AP534" s="56"/>
      <c r="AQ534" s="56"/>
      <c r="AR534" s="56"/>
      <c r="AS534" s="56"/>
      <c r="AT534" s="56"/>
      <c r="AU534" s="56"/>
      <c r="AV534" s="56"/>
      <c r="AW534" s="172"/>
      <c r="AX534" s="56"/>
      <c r="AY534" s="56"/>
      <c r="AZ534" s="56"/>
      <c r="BA534" s="172"/>
      <c r="BB534" s="56"/>
      <c r="BC534" s="10"/>
      <c r="BD534" s="56"/>
      <c r="BE534" s="56"/>
      <c r="BF534" s="56"/>
      <c r="BG534" s="56"/>
      <c r="BO534" s="145"/>
      <c r="CI534" s="145"/>
      <c r="CY534" s="145"/>
    </row>
    <row r="535" spans="1:103" s="97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65"/>
      <c r="M535" s="10"/>
      <c r="N535" s="56"/>
      <c r="O535" s="56"/>
      <c r="P535" s="162"/>
      <c r="Q535" s="178"/>
      <c r="R535" s="168"/>
      <c r="S535" s="56"/>
      <c r="T535" s="56"/>
      <c r="U535" s="56"/>
      <c r="V535" s="162"/>
      <c r="W535" s="178"/>
      <c r="X535" s="172"/>
      <c r="Y535" s="10"/>
      <c r="Z535" s="56"/>
      <c r="AA535" s="56"/>
      <c r="AB535" s="56"/>
      <c r="AC535" s="56"/>
      <c r="AD535" s="56"/>
      <c r="AE535" s="174"/>
      <c r="AF535" s="56"/>
      <c r="AG535" s="56"/>
      <c r="AH535" s="172"/>
      <c r="AI535" s="56"/>
      <c r="AJ535" s="56"/>
      <c r="AK535" s="56"/>
      <c r="AL535" s="56"/>
      <c r="AM535" s="56"/>
      <c r="AN535" s="56"/>
      <c r="AO535" s="172"/>
      <c r="AP535" s="56"/>
      <c r="AQ535" s="56"/>
      <c r="AR535" s="56"/>
      <c r="AS535" s="56"/>
      <c r="AT535" s="56"/>
      <c r="AU535" s="56"/>
      <c r="AV535" s="56"/>
      <c r="AW535" s="172"/>
      <c r="AX535" s="56"/>
      <c r="AY535" s="56"/>
      <c r="AZ535" s="56"/>
      <c r="BA535" s="172"/>
      <c r="BB535" s="56"/>
      <c r="BC535" s="10"/>
      <c r="BD535" s="56"/>
      <c r="BE535" s="56"/>
      <c r="BF535" s="56"/>
      <c r="BG535" s="56"/>
      <c r="BO535" s="145"/>
      <c r="CI535" s="145"/>
      <c r="CY535" s="145"/>
    </row>
    <row r="536" spans="1:103" s="97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65"/>
      <c r="M536" s="10"/>
      <c r="N536" s="56"/>
      <c r="O536" s="56"/>
      <c r="P536" s="162"/>
      <c r="Q536" s="178"/>
      <c r="R536" s="168"/>
      <c r="S536" s="56"/>
      <c r="T536" s="56"/>
      <c r="U536" s="56"/>
      <c r="V536" s="162"/>
      <c r="W536" s="178"/>
      <c r="X536" s="172"/>
      <c r="Y536" s="10"/>
      <c r="Z536" s="56"/>
      <c r="AA536" s="56"/>
      <c r="AB536" s="56"/>
      <c r="AC536" s="56"/>
      <c r="AD536" s="56"/>
      <c r="AE536" s="174"/>
      <c r="AF536" s="56"/>
      <c r="AG536" s="56"/>
      <c r="AH536" s="172"/>
      <c r="AI536" s="56"/>
      <c r="AJ536" s="56"/>
      <c r="AK536" s="56"/>
      <c r="AL536" s="56"/>
      <c r="AM536" s="56"/>
      <c r="AN536" s="56"/>
      <c r="AO536" s="172"/>
      <c r="AP536" s="56"/>
      <c r="AQ536" s="56"/>
      <c r="AR536" s="56"/>
      <c r="AS536" s="56"/>
      <c r="AT536" s="56"/>
      <c r="AU536" s="56"/>
      <c r="AV536" s="56"/>
      <c r="AW536" s="172"/>
      <c r="AX536" s="56"/>
      <c r="AY536" s="56"/>
      <c r="AZ536" s="56"/>
      <c r="BA536" s="172"/>
      <c r="BB536" s="56"/>
      <c r="BC536" s="10"/>
      <c r="BD536" s="56"/>
      <c r="BE536" s="56"/>
      <c r="BF536" s="56"/>
      <c r="BG536" s="56"/>
      <c r="BO536" s="145"/>
      <c r="CI536" s="145"/>
      <c r="CY536" s="145"/>
    </row>
    <row r="537" spans="1:103" s="97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65"/>
      <c r="M537" s="10"/>
      <c r="N537" s="56"/>
      <c r="O537" s="56"/>
      <c r="P537" s="162"/>
      <c r="Q537" s="178"/>
      <c r="R537" s="168"/>
      <c r="S537" s="56"/>
      <c r="T537" s="56"/>
      <c r="U537" s="56"/>
      <c r="V537" s="162"/>
      <c r="W537" s="178"/>
      <c r="X537" s="172"/>
      <c r="Y537" s="10"/>
      <c r="Z537" s="56"/>
      <c r="AA537" s="56"/>
      <c r="AB537" s="56"/>
      <c r="AC537" s="56"/>
      <c r="AD537" s="56"/>
      <c r="AE537" s="174"/>
      <c r="AF537" s="56"/>
      <c r="AG537" s="56"/>
      <c r="AH537" s="172"/>
      <c r="AI537" s="56"/>
      <c r="AJ537" s="56"/>
      <c r="AK537" s="56"/>
      <c r="AL537" s="56"/>
      <c r="AM537" s="56"/>
      <c r="AN537" s="56"/>
      <c r="AO537" s="172"/>
      <c r="AP537" s="56"/>
      <c r="AQ537" s="56"/>
      <c r="AR537" s="56"/>
      <c r="AS537" s="56"/>
      <c r="AT537" s="56"/>
      <c r="AU537" s="56"/>
      <c r="AV537" s="56"/>
      <c r="AW537" s="172"/>
      <c r="AX537" s="56"/>
      <c r="AY537" s="56"/>
      <c r="AZ537" s="56"/>
      <c r="BA537" s="172"/>
      <c r="BB537" s="56"/>
      <c r="BC537" s="10"/>
      <c r="BD537" s="56"/>
      <c r="BE537" s="56"/>
      <c r="BF537" s="56"/>
      <c r="BG537" s="56"/>
      <c r="BO537" s="145"/>
      <c r="CI537" s="145"/>
      <c r="CY537" s="145"/>
    </row>
    <row r="538" spans="1:103" s="97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65"/>
      <c r="M538" s="10"/>
      <c r="N538" s="56"/>
      <c r="O538" s="56"/>
      <c r="P538" s="162"/>
      <c r="Q538" s="178"/>
      <c r="R538" s="168"/>
      <c r="S538" s="56"/>
      <c r="T538" s="56"/>
      <c r="U538" s="56"/>
      <c r="V538" s="162"/>
      <c r="W538" s="178"/>
      <c r="X538" s="172"/>
      <c r="Y538" s="10"/>
      <c r="Z538" s="56"/>
      <c r="AA538" s="56"/>
      <c r="AB538" s="56"/>
      <c r="AC538" s="56"/>
      <c r="AD538" s="56"/>
      <c r="AE538" s="174"/>
      <c r="AF538" s="56"/>
      <c r="AG538" s="56"/>
      <c r="AH538" s="172"/>
      <c r="AI538" s="56"/>
      <c r="AJ538" s="56"/>
      <c r="AK538" s="56"/>
      <c r="AL538" s="56"/>
      <c r="AM538" s="56"/>
      <c r="AN538" s="56"/>
      <c r="AO538" s="172"/>
      <c r="AP538" s="56"/>
      <c r="AQ538" s="56"/>
      <c r="AR538" s="56"/>
      <c r="AS538" s="56"/>
      <c r="AT538" s="56"/>
      <c r="AU538" s="56"/>
      <c r="AV538" s="56"/>
      <c r="AW538" s="172"/>
      <c r="AX538" s="56"/>
      <c r="AY538" s="56"/>
      <c r="AZ538" s="56"/>
      <c r="BA538" s="172"/>
      <c r="BB538" s="56"/>
      <c r="BC538" s="10"/>
      <c r="BD538" s="56"/>
      <c r="BE538" s="56"/>
      <c r="BF538" s="56"/>
      <c r="BG538" s="56"/>
      <c r="BO538" s="145"/>
      <c r="CI538" s="145"/>
      <c r="CY538" s="145"/>
    </row>
    <row r="539" spans="1:103" s="97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65"/>
      <c r="M539" s="10"/>
      <c r="N539" s="56"/>
      <c r="O539" s="56"/>
      <c r="P539" s="162"/>
      <c r="Q539" s="178"/>
      <c r="R539" s="168"/>
      <c r="S539" s="56"/>
      <c r="T539" s="56"/>
      <c r="U539" s="56"/>
      <c r="V539" s="162"/>
      <c r="W539" s="178"/>
      <c r="X539" s="172"/>
      <c r="Y539" s="10"/>
      <c r="Z539" s="56"/>
      <c r="AA539" s="56"/>
      <c r="AB539" s="56"/>
      <c r="AC539" s="56"/>
      <c r="AD539" s="56"/>
      <c r="AE539" s="174"/>
      <c r="AF539" s="56"/>
      <c r="AG539" s="56"/>
      <c r="AH539" s="172"/>
      <c r="AI539" s="56"/>
      <c r="AJ539" s="56"/>
      <c r="AK539" s="56"/>
      <c r="AL539" s="56"/>
      <c r="AM539" s="56"/>
      <c r="AN539" s="56"/>
      <c r="AO539" s="172"/>
      <c r="AP539" s="56"/>
      <c r="AQ539" s="56"/>
      <c r="AR539" s="56"/>
      <c r="AS539" s="56"/>
      <c r="AT539" s="56"/>
      <c r="AU539" s="56"/>
      <c r="AV539" s="56"/>
      <c r="AW539" s="172"/>
      <c r="AX539" s="56"/>
      <c r="AY539" s="56"/>
      <c r="AZ539" s="56"/>
      <c r="BA539" s="172"/>
      <c r="BB539" s="56"/>
      <c r="BC539" s="10"/>
      <c r="BD539" s="56"/>
      <c r="BE539" s="56"/>
      <c r="BF539" s="56"/>
      <c r="BG539" s="56"/>
      <c r="BO539" s="145"/>
      <c r="CI539" s="145"/>
      <c r="CY539" s="145"/>
    </row>
    <row r="540" spans="1:103" s="97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65"/>
      <c r="M540" s="10"/>
      <c r="N540" s="56"/>
      <c r="O540" s="56"/>
      <c r="P540" s="162"/>
      <c r="Q540" s="178"/>
      <c r="R540" s="168"/>
      <c r="S540" s="56"/>
      <c r="T540" s="56"/>
      <c r="U540" s="56"/>
      <c r="V540" s="162"/>
      <c r="W540" s="178"/>
      <c r="X540" s="172"/>
      <c r="Y540" s="10"/>
      <c r="Z540" s="56"/>
      <c r="AA540" s="56"/>
      <c r="AB540" s="56"/>
      <c r="AC540" s="56"/>
      <c r="AD540" s="56"/>
      <c r="AE540" s="174"/>
      <c r="AF540" s="56"/>
      <c r="AG540" s="56"/>
      <c r="AH540" s="172"/>
      <c r="AI540" s="56"/>
      <c r="AJ540" s="56"/>
      <c r="AK540" s="56"/>
      <c r="AL540" s="56"/>
      <c r="AM540" s="56"/>
      <c r="AN540" s="56"/>
      <c r="AO540" s="172"/>
      <c r="AP540" s="56"/>
      <c r="AQ540" s="56"/>
      <c r="AR540" s="56"/>
      <c r="AS540" s="56"/>
      <c r="AT540" s="56"/>
      <c r="AU540" s="56"/>
      <c r="AV540" s="56"/>
      <c r="AW540" s="172"/>
      <c r="AX540" s="56"/>
      <c r="AY540" s="56"/>
      <c r="AZ540" s="56"/>
      <c r="BA540" s="172"/>
      <c r="BB540" s="56"/>
      <c r="BC540" s="10"/>
      <c r="BD540" s="56"/>
      <c r="BE540" s="56"/>
      <c r="BF540" s="56"/>
      <c r="BG540" s="56"/>
      <c r="BO540" s="145"/>
      <c r="CI540" s="145"/>
      <c r="CY540" s="145"/>
    </row>
    <row r="541" spans="1:103" s="97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65"/>
      <c r="M541" s="10"/>
      <c r="N541" s="56"/>
      <c r="O541" s="56"/>
      <c r="P541" s="162"/>
      <c r="Q541" s="178"/>
      <c r="R541" s="168"/>
      <c r="S541" s="56"/>
      <c r="T541" s="56"/>
      <c r="U541" s="56"/>
      <c r="V541" s="162"/>
      <c r="W541" s="178"/>
      <c r="X541" s="172"/>
      <c r="Y541" s="10"/>
      <c r="Z541" s="56"/>
      <c r="AA541" s="56"/>
      <c r="AB541" s="56"/>
      <c r="AC541" s="56"/>
      <c r="AD541" s="56"/>
      <c r="AE541" s="174"/>
      <c r="AF541" s="56"/>
      <c r="AG541" s="56"/>
      <c r="AH541" s="172"/>
      <c r="AI541" s="56"/>
      <c r="AJ541" s="56"/>
      <c r="AK541" s="56"/>
      <c r="AL541" s="56"/>
      <c r="AM541" s="56"/>
      <c r="AN541" s="56"/>
      <c r="AO541" s="172"/>
      <c r="AP541" s="56"/>
      <c r="AQ541" s="56"/>
      <c r="AR541" s="56"/>
      <c r="AS541" s="56"/>
      <c r="AT541" s="56"/>
      <c r="AU541" s="56"/>
      <c r="AV541" s="56"/>
      <c r="AW541" s="172"/>
      <c r="AX541" s="56"/>
      <c r="AY541" s="56"/>
      <c r="AZ541" s="56"/>
      <c r="BA541" s="172"/>
      <c r="BB541" s="56"/>
      <c r="BC541" s="10"/>
      <c r="BD541" s="56"/>
      <c r="BE541" s="56"/>
      <c r="BF541" s="56"/>
      <c r="BG541" s="56"/>
      <c r="BO541" s="145"/>
      <c r="CI541" s="145"/>
      <c r="CY541" s="145"/>
    </row>
    <row r="542" spans="1:103" s="97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65"/>
      <c r="M542" s="10"/>
      <c r="N542" s="56"/>
      <c r="O542" s="56"/>
      <c r="P542" s="162"/>
      <c r="Q542" s="178"/>
      <c r="R542" s="168"/>
      <c r="S542" s="56"/>
      <c r="T542" s="56"/>
      <c r="U542" s="56"/>
      <c r="V542" s="162"/>
      <c r="W542" s="178"/>
      <c r="X542" s="172"/>
      <c r="Y542" s="10"/>
      <c r="Z542" s="56"/>
      <c r="AA542" s="56"/>
      <c r="AB542" s="56"/>
      <c r="AC542" s="56"/>
      <c r="AD542" s="56"/>
      <c r="AE542" s="174"/>
      <c r="AF542" s="56"/>
      <c r="AG542" s="56"/>
      <c r="AH542" s="172"/>
      <c r="AI542" s="56"/>
      <c r="AJ542" s="56"/>
      <c r="AK542" s="56"/>
      <c r="AL542" s="56"/>
      <c r="AM542" s="56"/>
      <c r="AN542" s="56"/>
      <c r="AO542" s="172"/>
      <c r="AP542" s="56"/>
      <c r="AQ542" s="56"/>
      <c r="AR542" s="56"/>
      <c r="AS542" s="56"/>
      <c r="AT542" s="56"/>
      <c r="AU542" s="56"/>
      <c r="AV542" s="56"/>
      <c r="AW542" s="172"/>
      <c r="AX542" s="56"/>
      <c r="AY542" s="56"/>
      <c r="AZ542" s="56"/>
      <c r="BA542" s="172"/>
      <c r="BB542" s="56"/>
      <c r="BC542" s="10"/>
      <c r="BD542" s="56"/>
      <c r="BE542" s="56"/>
      <c r="BF542" s="56"/>
      <c r="BG542" s="56"/>
      <c r="BO542" s="145"/>
      <c r="CI542" s="145"/>
      <c r="CY542" s="145"/>
    </row>
    <row r="543" spans="1:103" s="97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65"/>
      <c r="M543" s="10"/>
      <c r="N543" s="56"/>
      <c r="O543" s="56"/>
      <c r="P543" s="162"/>
      <c r="Q543" s="178"/>
      <c r="R543" s="168"/>
      <c r="S543" s="56"/>
      <c r="T543" s="56"/>
      <c r="U543" s="56"/>
      <c r="V543" s="162"/>
      <c r="W543" s="178"/>
      <c r="X543" s="172"/>
      <c r="Y543" s="10"/>
      <c r="Z543" s="56"/>
      <c r="AA543" s="56"/>
      <c r="AB543" s="56"/>
      <c r="AC543" s="56"/>
      <c r="AD543" s="56"/>
      <c r="AE543" s="174"/>
      <c r="AF543" s="56"/>
      <c r="AG543" s="56"/>
      <c r="AH543" s="172"/>
      <c r="AI543" s="56"/>
      <c r="AJ543" s="56"/>
      <c r="AK543" s="56"/>
      <c r="AL543" s="56"/>
      <c r="AM543" s="56"/>
      <c r="AN543" s="56"/>
      <c r="AO543" s="172"/>
      <c r="AP543" s="56"/>
      <c r="AQ543" s="56"/>
      <c r="AR543" s="56"/>
      <c r="AS543" s="56"/>
      <c r="AT543" s="56"/>
      <c r="AU543" s="56"/>
      <c r="AV543" s="56"/>
      <c r="AW543" s="172"/>
      <c r="AX543" s="56"/>
      <c r="AY543" s="56"/>
      <c r="AZ543" s="56"/>
      <c r="BA543" s="172"/>
      <c r="BB543" s="56"/>
      <c r="BC543" s="10"/>
      <c r="BD543" s="56"/>
      <c r="BE543" s="56"/>
      <c r="BF543" s="56"/>
      <c r="BG543" s="56"/>
      <c r="BO543" s="145"/>
      <c r="CI543" s="145"/>
      <c r="CY543" s="145"/>
    </row>
    <row r="544" spans="1:103" s="97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65"/>
      <c r="M544" s="10"/>
      <c r="N544" s="56"/>
      <c r="O544" s="56"/>
      <c r="P544" s="162"/>
      <c r="Q544" s="178"/>
      <c r="R544" s="168"/>
      <c r="S544" s="56"/>
      <c r="T544" s="56"/>
      <c r="U544" s="56"/>
      <c r="V544" s="162"/>
      <c r="W544" s="178"/>
      <c r="X544" s="172"/>
      <c r="Y544" s="10"/>
      <c r="Z544" s="56"/>
      <c r="AA544" s="56"/>
      <c r="AB544" s="56"/>
      <c r="AC544" s="56"/>
      <c r="AD544" s="56"/>
      <c r="AE544" s="174"/>
      <c r="AF544" s="56"/>
      <c r="AG544" s="56"/>
      <c r="AH544" s="172"/>
      <c r="AI544" s="56"/>
      <c r="AJ544" s="56"/>
      <c r="AK544" s="56"/>
      <c r="AL544" s="56"/>
      <c r="AM544" s="56"/>
      <c r="AN544" s="56"/>
      <c r="AO544" s="172"/>
      <c r="AP544" s="56"/>
      <c r="AQ544" s="56"/>
      <c r="AR544" s="56"/>
      <c r="AS544" s="56"/>
      <c r="AT544" s="56"/>
      <c r="AU544" s="56"/>
      <c r="AV544" s="56"/>
      <c r="AW544" s="172"/>
      <c r="AX544" s="56"/>
      <c r="AY544" s="56"/>
      <c r="AZ544" s="56"/>
      <c r="BA544" s="172"/>
      <c r="BB544" s="56"/>
      <c r="BC544" s="10"/>
      <c r="BD544" s="56"/>
      <c r="BE544" s="56"/>
      <c r="BF544" s="56"/>
      <c r="BG544" s="56"/>
      <c r="BO544" s="145"/>
      <c r="CI544" s="145"/>
      <c r="CY544" s="145"/>
    </row>
    <row r="545" spans="1:103" s="97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65"/>
      <c r="M545" s="10"/>
      <c r="N545" s="56"/>
      <c r="O545" s="56"/>
      <c r="P545" s="162"/>
      <c r="Q545" s="178"/>
      <c r="R545" s="168"/>
      <c r="S545" s="56"/>
      <c r="T545" s="56"/>
      <c r="U545" s="56"/>
      <c r="V545" s="162"/>
      <c r="W545" s="178"/>
      <c r="X545" s="172"/>
      <c r="Y545" s="10"/>
      <c r="Z545" s="56"/>
      <c r="AA545" s="56"/>
      <c r="AB545" s="56"/>
      <c r="AC545" s="56"/>
      <c r="AD545" s="56"/>
      <c r="AE545" s="174"/>
      <c r="AF545" s="56"/>
      <c r="AG545" s="56"/>
      <c r="AH545" s="172"/>
      <c r="AI545" s="56"/>
      <c r="AJ545" s="56"/>
      <c r="AK545" s="56"/>
      <c r="AL545" s="56"/>
      <c r="AM545" s="56"/>
      <c r="AN545" s="56"/>
      <c r="AO545" s="172"/>
      <c r="AP545" s="56"/>
      <c r="AQ545" s="56"/>
      <c r="AR545" s="56"/>
      <c r="AS545" s="56"/>
      <c r="AT545" s="56"/>
      <c r="AU545" s="56"/>
      <c r="AV545" s="56"/>
      <c r="AW545" s="172"/>
      <c r="AX545" s="56"/>
      <c r="AY545" s="56"/>
      <c r="AZ545" s="56"/>
      <c r="BA545" s="172"/>
      <c r="BB545" s="56"/>
      <c r="BC545" s="10"/>
      <c r="BD545" s="56"/>
      <c r="BE545" s="56"/>
      <c r="BF545" s="56"/>
      <c r="BG545" s="56"/>
      <c r="BO545" s="145"/>
      <c r="CI545" s="145"/>
      <c r="CY545" s="145"/>
    </row>
    <row r="546" spans="1:103" s="97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65"/>
      <c r="M546" s="10"/>
      <c r="N546" s="56"/>
      <c r="O546" s="56"/>
      <c r="P546" s="162"/>
      <c r="Q546" s="178"/>
      <c r="R546" s="168"/>
      <c r="S546" s="56"/>
      <c r="T546" s="56"/>
      <c r="U546" s="56"/>
      <c r="V546" s="162"/>
      <c r="W546" s="178"/>
      <c r="X546" s="172"/>
      <c r="Y546" s="10"/>
      <c r="Z546" s="56"/>
      <c r="AA546" s="56"/>
      <c r="AB546" s="56"/>
      <c r="AC546" s="56"/>
      <c r="AD546" s="56"/>
      <c r="AE546" s="174"/>
      <c r="AF546" s="56"/>
      <c r="AG546" s="56"/>
      <c r="AH546" s="172"/>
      <c r="AI546" s="56"/>
      <c r="AJ546" s="56"/>
      <c r="AK546" s="56"/>
      <c r="AL546" s="56"/>
      <c r="AM546" s="56"/>
      <c r="AN546" s="56"/>
      <c r="AO546" s="172"/>
      <c r="AP546" s="56"/>
      <c r="AQ546" s="56"/>
      <c r="AR546" s="56"/>
      <c r="AS546" s="56"/>
      <c r="AT546" s="56"/>
      <c r="AU546" s="56"/>
      <c r="AV546" s="56"/>
      <c r="AW546" s="172"/>
      <c r="AX546" s="56"/>
      <c r="AY546" s="56"/>
      <c r="AZ546" s="56"/>
      <c r="BA546" s="172"/>
      <c r="BB546" s="56"/>
      <c r="BC546" s="10"/>
      <c r="BD546" s="56"/>
      <c r="BE546" s="56"/>
      <c r="BF546" s="56"/>
      <c r="BG546" s="56"/>
      <c r="BO546" s="145"/>
      <c r="CI546" s="145"/>
      <c r="CY546" s="145"/>
    </row>
    <row r="547" spans="1:103" s="97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65"/>
      <c r="M547" s="10"/>
      <c r="N547" s="56"/>
      <c r="O547" s="56"/>
      <c r="P547" s="162"/>
      <c r="Q547" s="178"/>
      <c r="R547" s="168"/>
      <c r="S547" s="56"/>
      <c r="T547" s="56"/>
      <c r="U547" s="56"/>
      <c r="V547" s="162"/>
      <c r="W547" s="178"/>
      <c r="X547" s="172"/>
      <c r="Y547" s="10"/>
      <c r="Z547" s="56"/>
      <c r="AA547" s="56"/>
      <c r="AB547" s="56"/>
      <c r="AC547" s="56"/>
      <c r="AD547" s="56"/>
      <c r="AE547" s="174"/>
      <c r="AF547" s="56"/>
      <c r="AG547" s="56"/>
      <c r="AH547" s="172"/>
      <c r="AI547" s="56"/>
      <c r="AJ547" s="56"/>
      <c r="AK547" s="56"/>
      <c r="AL547" s="56"/>
      <c r="AM547" s="56"/>
      <c r="AN547" s="56"/>
      <c r="AO547" s="172"/>
      <c r="AP547" s="56"/>
      <c r="AQ547" s="56"/>
      <c r="AR547" s="56"/>
      <c r="AS547" s="56"/>
      <c r="AT547" s="56"/>
      <c r="AU547" s="56"/>
      <c r="AV547" s="56"/>
      <c r="AW547" s="172"/>
      <c r="AX547" s="56"/>
      <c r="AY547" s="56"/>
      <c r="AZ547" s="56"/>
      <c r="BA547" s="172"/>
      <c r="BB547" s="56"/>
      <c r="BC547" s="10"/>
      <c r="BD547" s="56"/>
      <c r="BE547" s="56"/>
      <c r="BF547" s="56"/>
      <c r="BG547" s="56"/>
      <c r="BO547" s="145"/>
      <c r="CI547" s="145"/>
      <c r="CY547" s="145"/>
    </row>
    <row r="548" spans="1:103" s="97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65"/>
      <c r="M548" s="10"/>
      <c r="N548" s="56"/>
      <c r="O548" s="56"/>
      <c r="P548" s="162"/>
      <c r="Q548" s="178"/>
      <c r="R548" s="168"/>
      <c r="S548" s="56"/>
      <c r="T548" s="56"/>
      <c r="U548" s="56"/>
      <c r="V548" s="162"/>
      <c r="W548" s="178"/>
      <c r="X548" s="172"/>
      <c r="Y548" s="10"/>
      <c r="Z548" s="56"/>
      <c r="AA548" s="56"/>
      <c r="AB548" s="56"/>
      <c r="AC548" s="56"/>
      <c r="AD548" s="56"/>
      <c r="AE548" s="174"/>
      <c r="AF548" s="56"/>
      <c r="AG548" s="56"/>
      <c r="AH548" s="172"/>
      <c r="AI548" s="56"/>
      <c r="AJ548" s="56"/>
      <c r="AK548" s="56"/>
      <c r="AL548" s="56"/>
      <c r="AM548" s="56"/>
      <c r="AN548" s="56"/>
      <c r="AO548" s="172"/>
      <c r="AP548" s="56"/>
      <c r="AQ548" s="56"/>
      <c r="AR548" s="56"/>
      <c r="AS548" s="56"/>
      <c r="AT548" s="56"/>
      <c r="AU548" s="56"/>
      <c r="AV548" s="56"/>
      <c r="AW548" s="172"/>
      <c r="AX548" s="56"/>
      <c r="AY548" s="56"/>
      <c r="AZ548" s="56"/>
      <c r="BA548" s="172"/>
      <c r="BB548" s="56"/>
      <c r="BC548" s="10"/>
      <c r="BD548" s="56"/>
      <c r="BE548" s="56"/>
      <c r="BF548" s="56"/>
      <c r="BG548" s="56"/>
      <c r="BO548" s="145"/>
      <c r="CI548" s="145"/>
      <c r="CY548" s="145"/>
    </row>
    <row r="549" spans="1:103" s="97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65"/>
      <c r="M549" s="10"/>
      <c r="N549" s="56"/>
      <c r="O549" s="56"/>
      <c r="P549" s="162"/>
      <c r="Q549" s="178"/>
      <c r="R549" s="168"/>
      <c r="S549" s="56"/>
      <c r="T549" s="56"/>
      <c r="U549" s="56"/>
      <c r="V549" s="162"/>
      <c r="W549" s="178"/>
      <c r="X549" s="172"/>
      <c r="Y549" s="10"/>
      <c r="Z549" s="56"/>
      <c r="AA549" s="56"/>
      <c r="AB549" s="56"/>
      <c r="AC549" s="56"/>
      <c r="AD549" s="56"/>
      <c r="AE549" s="174"/>
      <c r="AF549" s="56"/>
      <c r="AG549" s="56"/>
      <c r="AH549" s="172"/>
      <c r="AI549" s="56"/>
      <c r="AJ549" s="56"/>
      <c r="AK549" s="56"/>
      <c r="AL549" s="56"/>
      <c r="AM549" s="56"/>
      <c r="AN549" s="56"/>
      <c r="AO549" s="172"/>
      <c r="AP549" s="56"/>
      <c r="AQ549" s="56"/>
      <c r="AR549" s="56"/>
      <c r="AS549" s="56"/>
      <c r="AT549" s="56"/>
      <c r="AU549" s="56"/>
      <c r="AV549" s="56"/>
      <c r="AW549" s="172"/>
      <c r="AX549" s="56"/>
      <c r="AY549" s="56"/>
      <c r="AZ549" s="56"/>
      <c r="BA549" s="172"/>
      <c r="BB549" s="56"/>
      <c r="BC549" s="10"/>
      <c r="BD549" s="56"/>
      <c r="BE549" s="56"/>
      <c r="BF549" s="56"/>
      <c r="BG549" s="56"/>
      <c r="BO549" s="145"/>
      <c r="CI549" s="145"/>
      <c r="CY549" s="145"/>
    </row>
    <row r="550" spans="1:103" s="97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65"/>
      <c r="M550" s="10"/>
      <c r="N550" s="56"/>
      <c r="O550" s="56"/>
      <c r="P550" s="162"/>
      <c r="Q550" s="178"/>
      <c r="R550" s="168"/>
      <c r="S550" s="56"/>
      <c r="T550" s="56"/>
      <c r="U550" s="56"/>
      <c r="V550" s="162"/>
      <c r="W550" s="178"/>
      <c r="X550" s="172"/>
      <c r="Y550" s="10"/>
      <c r="Z550" s="56"/>
      <c r="AA550" s="56"/>
      <c r="AB550" s="56"/>
      <c r="AC550" s="56"/>
      <c r="AD550" s="56"/>
      <c r="AE550" s="174"/>
      <c r="AF550" s="56"/>
      <c r="AG550" s="56"/>
      <c r="AH550" s="172"/>
      <c r="AI550" s="56"/>
      <c r="AJ550" s="56"/>
      <c r="AK550" s="56"/>
      <c r="AL550" s="56"/>
      <c r="AM550" s="56"/>
      <c r="AN550" s="56"/>
      <c r="AO550" s="172"/>
      <c r="AP550" s="56"/>
      <c r="AQ550" s="56"/>
      <c r="AR550" s="56"/>
      <c r="AS550" s="56"/>
      <c r="AT550" s="56"/>
      <c r="AU550" s="56"/>
      <c r="AV550" s="56"/>
      <c r="AW550" s="172"/>
      <c r="AX550" s="56"/>
      <c r="AY550" s="56"/>
      <c r="AZ550" s="56"/>
      <c r="BA550" s="172"/>
      <c r="BB550" s="56"/>
      <c r="BC550" s="10"/>
      <c r="BD550" s="56"/>
      <c r="BE550" s="56"/>
      <c r="BF550" s="56"/>
      <c r="BG550" s="56"/>
      <c r="BO550" s="145"/>
      <c r="CI550" s="145"/>
      <c r="CY550" s="145"/>
    </row>
    <row r="551" spans="1:103" s="97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65"/>
      <c r="M551" s="10"/>
      <c r="N551" s="56"/>
      <c r="O551" s="56"/>
      <c r="P551" s="162"/>
      <c r="Q551" s="178"/>
      <c r="R551" s="168"/>
      <c r="S551" s="56"/>
      <c r="T551" s="56"/>
      <c r="U551" s="56"/>
      <c r="V551" s="162"/>
      <c r="W551" s="178"/>
      <c r="X551" s="172"/>
      <c r="Y551" s="10"/>
      <c r="Z551" s="56"/>
      <c r="AA551" s="56"/>
      <c r="AB551" s="56"/>
      <c r="AC551" s="56"/>
      <c r="AD551" s="56"/>
      <c r="AE551" s="174"/>
      <c r="AF551" s="56"/>
      <c r="AG551" s="56"/>
      <c r="AH551" s="172"/>
      <c r="AI551" s="56"/>
      <c r="AJ551" s="56"/>
      <c r="AK551" s="56"/>
      <c r="AL551" s="56"/>
      <c r="AM551" s="56"/>
      <c r="AN551" s="56"/>
      <c r="AO551" s="172"/>
      <c r="AP551" s="56"/>
      <c r="AQ551" s="56"/>
      <c r="AR551" s="56"/>
      <c r="AS551" s="56"/>
      <c r="AT551" s="56"/>
      <c r="AU551" s="56"/>
      <c r="AV551" s="56"/>
      <c r="AW551" s="172"/>
      <c r="AX551" s="56"/>
      <c r="AY551" s="56"/>
      <c r="AZ551" s="56"/>
      <c r="BA551" s="172"/>
      <c r="BB551" s="56"/>
      <c r="BC551" s="10"/>
      <c r="BD551" s="56"/>
      <c r="BE551" s="56"/>
      <c r="BF551" s="56"/>
      <c r="BG551" s="56"/>
      <c r="BO551" s="145"/>
      <c r="CI551" s="145"/>
      <c r="CY551" s="145"/>
    </row>
    <row r="552" spans="1:103" s="97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65"/>
      <c r="M552" s="10"/>
      <c r="N552" s="56"/>
      <c r="O552" s="56"/>
      <c r="P552" s="162"/>
      <c r="Q552" s="178"/>
      <c r="R552" s="168"/>
      <c r="S552" s="56"/>
      <c r="T552" s="56"/>
      <c r="U552" s="56"/>
      <c r="V552" s="162"/>
      <c r="W552" s="178"/>
      <c r="X552" s="172"/>
      <c r="Y552" s="10"/>
      <c r="Z552" s="56"/>
      <c r="AA552" s="56"/>
      <c r="AB552" s="56"/>
      <c r="AC552" s="56"/>
      <c r="AD552" s="56"/>
      <c r="AE552" s="174"/>
      <c r="AF552" s="56"/>
      <c r="AG552" s="56"/>
      <c r="AH552" s="172"/>
      <c r="AI552" s="56"/>
      <c r="AJ552" s="56"/>
      <c r="AK552" s="56"/>
      <c r="AL552" s="56"/>
      <c r="AM552" s="56"/>
      <c r="AN552" s="56"/>
      <c r="AO552" s="172"/>
      <c r="AP552" s="56"/>
      <c r="AQ552" s="56"/>
      <c r="AR552" s="56"/>
      <c r="AS552" s="56"/>
      <c r="AT552" s="56"/>
      <c r="AU552" s="56"/>
      <c r="AV552" s="56"/>
      <c r="AW552" s="172"/>
      <c r="AX552" s="56"/>
      <c r="AY552" s="56"/>
      <c r="AZ552" s="56"/>
      <c r="BA552" s="172"/>
      <c r="BB552" s="56"/>
      <c r="BC552" s="10"/>
      <c r="BD552" s="56"/>
      <c r="BE552" s="56"/>
      <c r="BF552" s="56"/>
      <c r="BG552" s="56"/>
      <c r="BO552" s="145"/>
      <c r="CI552" s="145"/>
      <c r="CY552" s="145"/>
    </row>
    <row r="553" spans="1:103" s="97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65"/>
      <c r="M553" s="10"/>
      <c r="N553" s="56"/>
      <c r="O553" s="56"/>
      <c r="P553" s="162"/>
      <c r="Q553" s="178"/>
      <c r="R553" s="168"/>
      <c r="S553" s="56"/>
      <c r="T553" s="56"/>
      <c r="U553" s="56"/>
      <c r="V553" s="162"/>
      <c r="W553" s="178"/>
      <c r="X553" s="172"/>
      <c r="Y553" s="10"/>
      <c r="Z553" s="56"/>
      <c r="AA553" s="56"/>
      <c r="AB553" s="56"/>
      <c r="AC553" s="56"/>
      <c r="AD553" s="56"/>
      <c r="AE553" s="174"/>
      <c r="AF553" s="56"/>
      <c r="AG553" s="56"/>
      <c r="AH553" s="172"/>
      <c r="AI553" s="56"/>
      <c r="AJ553" s="56"/>
      <c r="AK553" s="56"/>
      <c r="AL553" s="56"/>
      <c r="AM553" s="56"/>
      <c r="AN553" s="56"/>
      <c r="AO553" s="172"/>
      <c r="AP553" s="56"/>
      <c r="AQ553" s="56"/>
      <c r="AR553" s="56"/>
      <c r="AS553" s="56"/>
      <c r="AT553" s="56"/>
      <c r="AU553" s="56"/>
      <c r="AV553" s="56"/>
      <c r="AW553" s="172"/>
      <c r="AX553" s="56"/>
      <c r="AY553" s="56"/>
      <c r="AZ553" s="56"/>
      <c r="BA553" s="172"/>
      <c r="BB553" s="56"/>
      <c r="BC553" s="10"/>
      <c r="BD553" s="56"/>
      <c r="BE553" s="56"/>
      <c r="BF553" s="56"/>
      <c r="BG553" s="56"/>
      <c r="BO553" s="145"/>
      <c r="CI553" s="145"/>
      <c r="CY553" s="145"/>
    </row>
    <row r="554" spans="1:103" s="97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65"/>
      <c r="M554" s="10"/>
      <c r="N554" s="56"/>
      <c r="O554" s="56"/>
      <c r="P554" s="162"/>
      <c r="Q554" s="178"/>
      <c r="R554" s="168"/>
      <c r="S554" s="56"/>
      <c r="T554" s="56"/>
      <c r="U554" s="56"/>
      <c r="V554" s="162"/>
      <c r="W554" s="178"/>
      <c r="X554" s="172"/>
      <c r="Y554" s="10"/>
      <c r="Z554" s="56"/>
      <c r="AA554" s="56"/>
      <c r="AB554" s="56"/>
      <c r="AC554" s="56"/>
      <c r="AD554" s="56"/>
      <c r="AE554" s="174"/>
      <c r="AF554" s="56"/>
      <c r="AG554" s="56"/>
      <c r="AH554" s="172"/>
      <c r="AI554" s="56"/>
      <c r="AJ554" s="56"/>
      <c r="AK554" s="56"/>
      <c r="AL554" s="56"/>
      <c r="AM554" s="56"/>
      <c r="AN554" s="56"/>
      <c r="AO554" s="172"/>
      <c r="AP554" s="56"/>
      <c r="AQ554" s="56"/>
      <c r="AR554" s="56"/>
      <c r="AS554" s="56"/>
      <c r="AT554" s="56"/>
      <c r="AU554" s="56"/>
      <c r="AV554" s="56"/>
      <c r="AW554" s="172"/>
      <c r="AX554" s="56"/>
      <c r="AY554" s="56"/>
      <c r="AZ554" s="56"/>
      <c r="BA554" s="172"/>
      <c r="BB554" s="56"/>
      <c r="BC554" s="10"/>
      <c r="BD554" s="56"/>
      <c r="BE554" s="56"/>
      <c r="BF554" s="56"/>
      <c r="BG554" s="56"/>
      <c r="BO554" s="145"/>
      <c r="CI554" s="145"/>
      <c r="CY554" s="145"/>
    </row>
    <row r="555" spans="1:103" s="97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65"/>
      <c r="M555" s="10"/>
      <c r="N555" s="56"/>
      <c r="O555" s="56"/>
      <c r="P555" s="162"/>
      <c r="Q555" s="178"/>
      <c r="R555" s="168"/>
      <c r="S555" s="56"/>
      <c r="T555" s="56"/>
      <c r="U555" s="56"/>
      <c r="V555" s="162"/>
      <c r="W555" s="178"/>
      <c r="X555" s="172"/>
      <c r="Y555" s="10"/>
      <c r="Z555" s="56"/>
      <c r="AA555" s="56"/>
      <c r="AB555" s="56"/>
      <c r="AC555" s="56"/>
      <c r="AD555" s="56"/>
      <c r="AE555" s="174"/>
      <c r="AF555" s="56"/>
      <c r="AG555" s="56"/>
      <c r="AH555" s="172"/>
      <c r="AI555" s="56"/>
      <c r="AJ555" s="56"/>
      <c r="AK555" s="56"/>
      <c r="AL555" s="56"/>
      <c r="AM555" s="56"/>
      <c r="AN555" s="56"/>
      <c r="AO555" s="172"/>
      <c r="AP555" s="56"/>
      <c r="AQ555" s="56"/>
      <c r="AR555" s="56"/>
      <c r="AS555" s="56"/>
      <c r="AT555" s="56"/>
      <c r="AU555" s="56"/>
      <c r="AV555" s="56"/>
      <c r="AW555" s="172"/>
      <c r="AX555" s="56"/>
      <c r="AY555" s="56"/>
      <c r="AZ555" s="56"/>
      <c r="BA555" s="172"/>
      <c r="BB555" s="56"/>
      <c r="BC555" s="10"/>
      <c r="BD555" s="56"/>
      <c r="BE555" s="56"/>
      <c r="BF555" s="56"/>
      <c r="BG555" s="56"/>
      <c r="BO555" s="145"/>
      <c r="CI555" s="145"/>
      <c r="CY555" s="145"/>
    </row>
    <row r="556" spans="1:103" s="97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65"/>
      <c r="M556" s="10"/>
      <c r="N556" s="56"/>
      <c r="O556" s="56"/>
      <c r="P556" s="162"/>
      <c r="Q556" s="178"/>
      <c r="R556" s="168"/>
      <c r="S556" s="56"/>
      <c r="T556" s="56"/>
      <c r="U556" s="56"/>
      <c r="V556" s="162"/>
      <c r="W556" s="178"/>
      <c r="X556" s="172"/>
      <c r="Y556" s="10"/>
      <c r="Z556" s="56"/>
      <c r="AA556" s="56"/>
      <c r="AB556" s="56"/>
      <c r="AC556" s="56"/>
      <c r="AD556" s="56"/>
      <c r="AE556" s="174"/>
      <c r="AF556" s="56"/>
      <c r="AG556" s="56"/>
      <c r="AH556" s="172"/>
      <c r="AI556" s="56"/>
      <c r="AJ556" s="56"/>
      <c r="AK556" s="56"/>
      <c r="AL556" s="56"/>
      <c r="AM556" s="56"/>
      <c r="AN556" s="56"/>
      <c r="AO556" s="172"/>
      <c r="AP556" s="56"/>
      <c r="AQ556" s="56"/>
      <c r="AR556" s="56"/>
      <c r="AS556" s="56"/>
      <c r="AT556" s="56"/>
      <c r="AU556" s="56"/>
      <c r="AV556" s="56"/>
      <c r="AW556" s="172"/>
      <c r="AX556" s="56"/>
      <c r="AY556" s="56"/>
      <c r="AZ556" s="56"/>
      <c r="BA556" s="172"/>
      <c r="BB556" s="56"/>
      <c r="BC556" s="10"/>
      <c r="BD556" s="56"/>
      <c r="BE556" s="56"/>
      <c r="BF556" s="56"/>
      <c r="BG556" s="56"/>
      <c r="BO556" s="145"/>
      <c r="CI556" s="145"/>
      <c r="CY556" s="145"/>
    </row>
    <row r="557" spans="1:103" s="97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65"/>
      <c r="M557" s="10"/>
      <c r="N557" s="56"/>
      <c r="O557" s="56"/>
      <c r="P557" s="162"/>
      <c r="Q557" s="178"/>
      <c r="R557" s="168"/>
      <c r="S557" s="56"/>
      <c r="T557" s="56"/>
      <c r="U557" s="56"/>
      <c r="V557" s="162"/>
      <c r="W557" s="178"/>
      <c r="X557" s="172"/>
      <c r="Y557" s="10"/>
      <c r="Z557" s="56"/>
      <c r="AA557" s="56"/>
      <c r="AB557" s="56"/>
      <c r="AC557" s="56"/>
      <c r="AD557" s="56"/>
      <c r="AE557" s="174"/>
      <c r="AF557" s="56"/>
      <c r="AG557" s="56"/>
      <c r="AH557" s="172"/>
      <c r="AI557" s="56"/>
      <c r="AJ557" s="56"/>
      <c r="AK557" s="56"/>
      <c r="AL557" s="56"/>
      <c r="AM557" s="56"/>
      <c r="AN557" s="56"/>
      <c r="AO557" s="172"/>
      <c r="AP557" s="56"/>
      <c r="AQ557" s="56"/>
      <c r="AR557" s="56"/>
      <c r="AS557" s="56"/>
      <c r="AT557" s="56"/>
      <c r="AU557" s="56"/>
      <c r="AV557" s="56"/>
      <c r="AW557" s="172"/>
      <c r="AX557" s="56"/>
      <c r="AY557" s="56"/>
      <c r="AZ557" s="56"/>
      <c r="BA557" s="172"/>
      <c r="BB557" s="56"/>
      <c r="BC557" s="10"/>
      <c r="BD557" s="56"/>
      <c r="BE557" s="56"/>
      <c r="BF557" s="56"/>
      <c r="BG557" s="56"/>
      <c r="BO557" s="145"/>
      <c r="CI557" s="145"/>
      <c r="CY557" s="145"/>
    </row>
    <row r="558" spans="1:103" s="97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65"/>
      <c r="M558" s="10"/>
      <c r="N558" s="56"/>
      <c r="O558" s="56"/>
      <c r="P558" s="162"/>
      <c r="Q558" s="178"/>
      <c r="R558" s="168"/>
      <c r="S558" s="56"/>
      <c r="T558" s="56"/>
      <c r="U558" s="56"/>
      <c r="V558" s="162"/>
      <c r="W558" s="178"/>
      <c r="X558" s="172"/>
      <c r="Y558" s="10"/>
      <c r="Z558" s="56"/>
      <c r="AA558" s="56"/>
      <c r="AB558" s="56"/>
      <c r="AC558" s="56"/>
      <c r="AD558" s="56"/>
      <c r="AE558" s="174"/>
      <c r="AF558" s="56"/>
      <c r="AG558" s="56"/>
      <c r="AH558" s="172"/>
      <c r="AI558" s="56"/>
      <c r="AJ558" s="56"/>
      <c r="AK558" s="56"/>
      <c r="AL558" s="56"/>
      <c r="AM558" s="56"/>
      <c r="AN558" s="56"/>
      <c r="AO558" s="172"/>
      <c r="AP558" s="56"/>
      <c r="AQ558" s="56"/>
      <c r="AR558" s="56"/>
      <c r="AS558" s="56"/>
      <c r="AT558" s="56"/>
      <c r="AU558" s="56"/>
      <c r="AV558" s="56"/>
      <c r="AW558" s="172"/>
      <c r="AX558" s="56"/>
      <c r="AY558" s="56"/>
      <c r="AZ558" s="56"/>
      <c r="BA558" s="172"/>
      <c r="BB558" s="56"/>
      <c r="BC558" s="10"/>
      <c r="BD558" s="56"/>
      <c r="BE558" s="56"/>
      <c r="BF558" s="56"/>
      <c r="BG558" s="56"/>
      <c r="BO558" s="145"/>
      <c r="CI558" s="145"/>
      <c r="CY558" s="145"/>
    </row>
    <row r="559" spans="1:103" s="97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65"/>
      <c r="M559" s="10"/>
      <c r="N559" s="56"/>
      <c r="O559" s="56"/>
      <c r="P559" s="162"/>
      <c r="Q559" s="178"/>
      <c r="R559" s="168"/>
      <c r="S559" s="56"/>
      <c r="T559" s="56"/>
      <c r="U559" s="56"/>
      <c r="V559" s="162"/>
      <c r="W559" s="178"/>
      <c r="X559" s="172"/>
      <c r="Y559" s="10"/>
      <c r="Z559" s="56"/>
      <c r="AA559" s="56"/>
      <c r="AB559" s="56"/>
      <c r="AC559" s="56"/>
      <c r="AD559" s="56"/>
      <c r="AE559" s="174"/>
      <c r="AF559" s="56"/>
      <c r="AG559" s="56"/>
      <c r="AH559" s="172"/>
      <c r="AI559" s="56"/>
      <c r="AJ559" s="56"/>
      <c r="AK559" s="56"/>
      <c r="AL559" s="56"/>
      <c r="AM559" s="56"/>
      <c r="AN559" s="56"/>
      <c r="AO559" s="172"/>
      <c r="AP559" s="56"/>
      <c r="AQ559" s="56"/>
      <c r="AR559" s="56"/>
      <c r="AS559" s="56"/>
      <c r="AT559" s="56"/>
      <c r="AU559" s="56"/>
      <c r="AV559" s="56"/>
      <c r="AW559" s="172"/>
      <c r="AX559" s="56"/>
      <c r="AY559" s="56"/>
      <c r="AZ559" s="56"/>
      <c r="BA559" s="172"/>
      <c r="BB559" s="56"/>
      <c r="BC559" s="10"/>
      <c r="BD559" s="56"/>
      <c r="BE559" s="56"/>
      <c r="BF559" s="56"/>
      <c r="BG559" s="56"/>
      <c r="BO559" s="145"/>
      <c r="CI559" s="145"/>
      <c r="CY559" s="145"/>
    </row>
    <row r="560" spans="1:103" s="97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65"/>
      <c r="M560" s="10"/>
      <c r="N560" s="56"/>
      <c r="O560" s="56"/>
      <c r="P560" s="162"/>
      <c r="Q560" s="178"/>
      <c r="R560" s="168"/>
      <c r="S560" s="56"/>
      <c r="T560" s="56"/>
      <c r="U560" s="56"/>
      <c r="V560" s="162"/>
      <c r="W560" s="178"/>
      <c r="X560" s="172"/>
      <c r="Y560" s="10"/>
      <c r="Z560" s="56"/>
      <c r="AA560" s="56"/>
      <c r="AB560" s="56"/>
      <c r="AC560" s="56"/>
      <c r="AD560" s="56"/>
      <c r="AE560" s="174"/>
      <c r="AF560" s="56"/>
      <c r="AG560" s="56"/>
      <c r="AH560" s="172"/>
      <c r="AI560" s="56"/>
      <c r="AJ560" s="56"/>
      <c r="AK560" s="56"/>
      <c r="AL560" s="56"/>
      <c r="AM560" s="56"/>
      <c r="AN560" s="56"/>
      <c r="AO560" s="172"/>
      <c r="AP560" s="56"/>
      <c r="AQ560" s="56"/>
      <c r="AR560" s="56"/>
      <c r="AS560" s="56"/>
      <c r="AT560" s="56"/>
      <c r="AU560" s="56"/>
      <c r="AV560" s="56"/>
      <c r="AW560" s="172"/>
      <c r="AX560" s="56"/>
      <c r="AY560" s="56"/>
      <c r="AZ560" s="56"/>
      <c r="BA560" s="172"/>
      <c r="BB560" s="56"/>
      <c r="BC560" s="10"/>
      <c r="BD560" s="56"/>
      <c r="BE560" s="56"/>
      <c r="BF560" s="56"/>
      <c r="BG560" s="56"/>
      <c r="BO560" s="145"/>
      <c r="CI560" s="145"/>
      <c r="CY560" s="145"/>
    </row>
    <row r="561" spans="1:103" s="97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65"/>
      <c r="M561" s="10"/>
      <c r="N561" s="56"/>
      <c r="O561" s="56"/>
      <c r="P561" s="162"/>
      <c r="Q561" s="178"/>
      <c r="R561" s="168"/>
      <c r="S561" s="56"/>
      <c r="T561" s="56"/>
      <c r="U561" s="56"/>
      <c r="V561" s="162"/>
      <c r="W561" s="178"/>
      <c r="X561" s="172"/>
      <c r="Y561" s="10"/>
      <c r="Z561" s="56"/>
      <c r="AA561" s="56"/>
      <c r="AB561" s="56"/>
      <c r="AC561" s="56"/>
      <c r="AD561" s="56"/>
      <c r="AE561" s="174"/>
      <c r="AF561" s="56"/>
      <c r="AG561" s="56"/>
      <c r="AH561" s="172"/>
      <c r="AI561" s="56"/>
      <c r="AJ561" s="56"/>
      <c r="AK561" s="56"/>
      <c r="AL561" s="56"/>
      <c r="AM561" s="56"/>
      <c r="AN561" s="56"/>
      <c r="AO561" s="172"/>
      <c r="AP561" s="56"/>
      <c r="AQ561" s="56"/>
      <c r="AR561" s="56"/>
      <c r="AS561" s="56"/>
      <c r="AT561" s="56"/>
      <c r="AU561" s="56"/>
      <c r="AV561" s="56"/>
      <c r="AW561" s="172"/>
      <c r="AX561" s="56"/>
      <c r="AY561" s="56"/>
      <c r="AZ561" s="56"/>
      <c r="BA561" s="172"/>
      <c r="BB561" s="56"/>
      <c r="BC561" s="10"/>
      <c r="BD561" s="56"/>
      <c r="BE561" s="56"/>
      <c r="BF561" s="56"/>
      <c r="BG561" s="56"/>
      <c r="BO561" s="145"/>
      <c r="CI561" s="145"/>
      <c r="CY561" s="145"/>
    </row>
    <row r="562" spans="1:103" s="97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65"/>
      <c r="M562" s="10"/>
      <c r="N562" s="56"/>
      <c r="O562" s="56"/>
      <c r="P562" s="162"/>
      <c r="Q562" s="178"/>
      <c r="R562" s="168"/>
      <c r="S562" s="56"/>
      <c r="T562" s="56"/>
      <c r="U562" s="56"/>
      <c r="V562" s="162"/>
      <c r="W562" s="178"/>
      <c r="X562" s="172"/>
      <c r="Y562" s="10"/>
      <c r="Z562" s="56"/>
      <c r="AA562" s="56"/>
      <c r="AB562" s="56"/>
      <c r="AC562" s="56"/>
      <c r="AD562" s="56"/>
      <c r="AE562" s="174"/>
      <c r="AF562" s="56"/>
      <c r="AG562" s="56"/>
      <c r="AH562" s="172"/>
      <c r="AI562" s="56"/>
      <c r="AJ562" s="56"/>
      <c r="AK562" s="56"/>
      <c r="AL562" s="56"/>
      <c r="AM562" s="56"/>
      <c r="AN562" s="56"/>
      <c r="AO562" s="172"/>
      <c r="AP562" s="56"/>
      <c r="AQ562" s="56"/>
      <c r="AR562" s="56"/>
      <c r="AS562" s="56"/>
      <c r="AT562" s="56"/>
      <c r="AU562" s="56"/>
      <c r="AV562" s="56"/>
      <c r="AW562" s="172"/>
      <c r="AX562" s="56"/>
      <c r="AY562" s="56"/>
      <c r="AZ562" s="56"/>
      <c r="BA562" s="172"/>
      <c r="BB562" s="56"/>
      <c r="BC562" s="10"/>
      <c r="BD562" s="56"/>
      <c r="BE562" s="56"/>
      <c r="BF562" s="56"/>
      <c r="BG562" s="56"/>
      <c r="BO562" s="145"/>
      <c r="CI562" s="145"/>
      <c r="CY562" s="145"/>
    </row>
    <row r="563" spans="1:103" s="97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65"/>
      <c r="M563" s="10"/>
      <c r="N563" s="56"/>
      <c r="O563" s="56"/>
      <c r="P563" s="162"/>
      <c r="Q563" s="178"/>
      <c r="R563" s="168"/>
      <c r="S563" s="56"/>
      <c r="T563" s="56"/>
      <c r="U563" s="56"/>
      <c r="V563" s="162"/>
      <c r="W563" s="178"/>
      <c r="X563" s="172"/>
      <c r="Y563" s="10"/>
      <c r="Z563" s="56"/>
      <c r="AA563" s="56"/>
      <c r="AB563" s="56"/>
      <c r="AC563" s="56"/>
      <c r="AD563" s="56"/>
      <c r="AE563" s="174"/>
      <c r="AF563" s="56"/>
      <c r="AG563" s="56"/>
      <c r="AH563" s="172"/>
      <c r="AI563" s="56"/>
      <c r="AJ563" s="56"/>
      <c r="AK563" s="56"/>
      <c r="AL563" s="56"/>
      <c r="AM563" s="56"/>
      <c r="AN563" s="56"/>
      <c r="AO563" s="172"/>
      <c r="AP563" s="56"/>
      <c r="AQ563" s="56"/>
      <c r="AR563" s="56"/>
      <c r="AS563" s="56"/>
      <c r="AT563" s="56"/>
      <c r="AU563" s="56"/>
      <c r="AV563" s="56"/>
      <c r="AW563" s="172"/>
      <c r="AX563" s="56"/>
      <c r="AY563" s="56"/>
      <c r="AZ563" s="56"/>
      <c r="BA563" s="172"/>
      <c r="BB563" s="56"/>
      <c r="BC563" s="10"/>
      <c r="BD563" s="56"/>
      <c r="BE563" s="56"/>
      <c r="BF563" s="56"/>
      <c r="BG563" s="56"/>
      <c r="BO563" s="145"/>
      <c r="CI563" s="145"/>
      <c r="CY563" s="145"/>
    </row>
    <row r="564" spans="1:103" s="97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65"/>
      <c r="M564" s="10"/>
      <c r="N564" s="56"/>
      <c r="O564" s="56"/>
      <c r="P564" s="162"/>
      <c r="Q564" s="178"/>
      <c r="R564" s="168"/>
      <c r="S564" s="56"/>
      <c r="T564" s="56"/>
      <c r="U564" s="56"/>
      <c r="V564" s="162"/>
      <c r="W564" s="178"/>
      <c r="X564" s="172"/>
      <c r="Y564" s="10"/>
      <c r="Z564" s="56"/>
      <c r="AA564" s="56"/>
      <c r="AB564" s="56"/>
      <c r="AC564" s="56"/>
      <c r="AD564" s="56"/>
      <c r="AE564" s="174"/>
      <c r="AF564" s="56"/>
      <c r="AG564" s="56"/>
      <c r="AH564" s="172"/>
      <c r="AI564" s="56"/>
      <c r="AJ564" s="56"/>
      <c r="AK564" s="56"/>
      <c r="AL564" s="56"/>
      <c r="AM564" s="56"/>
      <c r="AN564" s="56"/>
      <c r="AO564" s="172"/>
      <c r="AP564" s="56"/>
      <c r="AQ564" s="56"/>
      <c r="AR564" s="56"/>
      <c r="AS564" s="56"/>
      <c r="AT564" s="56"/>
      <c r="AU564" s="56"/>
      <c r="AV564" s="56"/>
      <c r="AW564" s="172"/>
      <c r="AX564" s="56"/>
      <c r="AY564" s="56"/>
      <c r="AZ564" s="56"/>
      <c r="BA564" s="172"/>
      <c r="BB564" s="56"/>
      <c r="BC564" s="10"/>
      <c r="BD564" s="56"/>
      <c r="BE564" s="56"/>
      <c r="BF564" s="56"/>
      <c r="BG564" s="56"/>
      <c r="BO564" s="145"/>
      <c r="CI564" s="145"/>
      <c r="CY564" s="145"/>
    </row>
    <row r="565" spans="1:103" s="97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65"/>
      <c r="M565" s="10"/>
      <c r="N565" s="56"/>
      <c r="O565" s="56"/>
      <c r="P565" s="162"/>
      <c r="Q565" s="178"/>
      <c r="R565" s="168"/>
      <c r="S565" s="56"/>
      <c r="T565" s="56"/>
      <c r="U565" s="56"/>
      <c r="V565" s="162"/>
      <c r="W565" s="178"/>
      <c r="X565" s="172"/>
      <c r="Y565" s="10"/>
      <c r="Z565" s="56"/>
      <c r="AA565" s="56"/>
      <c r="AB565" s="56"/>
      <c r="AC565" s="56"/>
      <c r="AD565" s="56"/>
      <c r="AE565" s="174"/>
      <c r="AF565" s="56"/>
      <c r="AG565" s="56"/>
      <c r="AH565" s="172"/>
      <c r="AI565" s="56"/>
      <c r="AJ565" s="56"/>
      <c r="AK565" s="56"/>
      <c r="AL565" s="56"/>
      <c r="AM565" s="56"/>
      <c r="AN565" s="56"/>
      <c r="AO565" s="172"/>
      <c r="AP565" s="56"/>
      <c r="AQ565" s="56"/>
      <c r="AR565" s="56"/>
      <c r="AS565" s="56"/>
      <c r="AT565" s="56"/>
      <c r="AU565" s="56"/>
      <c r="AV565" s="56"/>
      <c r="AW565" s="172"/>
      <c r="AX565" s="56"/>
      <c r="AY565" s="56"/>
      <c r="AZ565" s="56"/>
      <c r="BA565" s="172"/>
      <c r="BB565" s="56"/>
      <c r="BC565" s="10"/>
      <c r="BD565" s="56"/>
      <c r="BE565" s="56"/>
      <c r="BF565" s="56"/>
      <c r="BG565" s="56"/>
      <c r="BO565" s="145"/>
      <c r="CI565" s="145"/>
      <c r="CY565" s="145"/>
    </row>
    <row r="566" spans="1:103" s="97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65"/>
      <c r="M566" s="10"/>
      <c r="N566" s="56"/>
      <c r="O566" s="56"/>
      <c r="P566" s="162"/>
      <c r="Q566" s="178"/>
      <c r="R566" s="168"/>
      <c r="S566" s="56"/>
      <c r="T566" s="56"/>
      <c r="U566" s="56"/>
      <c r="V566" s="162"/>
      <c r="W566" s="178"/>
      <c r="X566" s="172"/>
      <c r="Y566" s="10"/>
      <c r="Z566" s="56"/>
      <c r="AA566" s="56"/>
      <c r="AB566" s="56"/>
      <c r="AC566" s="56"/>
      <c r="AD566" s="56"/>
      <c r="AE566" s="174"/>
      <c r="AF566" s="56"/>
      <c r="AG566" s="56"/>
      <c r="AH566" s="172"/>
      <c r="AI566" s="56"/>
      <c r="AJ566" s="56"/>
      <c r="AK566" s="56"/>
      <c r="AL566" s="56"/>
      <c r="AM566" s="56"/>
      <c r="AN566" s="56"/>
      <c r="AO566" s="172"/>
      <c r="AP566" s="56"/>
      <c r="AQ566" s="56"/>
      <c r="AR566" s="56"/>
      <c r="AS566" s="56"/>
      <c r="AT566" s="56"/>
      <c r="AU566" s="56"/>
      <c r="AV566" s="56"/>
      <c r="AW566" s="172"/>
      <c r="AX566" s="56"/>
      <c r="AY566" s="56"/>
      <c r="AZ566" s="56"/>
      <c r="BA566" s="172"/>
      <c r="BB566" s="56"/>
      <c r="BC566" s="10"/>
      <c r="BD566" s="56"/>
      <c r="BE566" s="56"/>
      <c r="BF566" s="56"/>
      <c r="BG566" s="56"/>
      <c r="BO566" s="145"/>
      <c r="CI566" s="145"/>
      <c r="CY566" s="145"/>
    </row>
    <row r="567" spans="1:103" s="97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65"/>
      <c r="M567" s="10"/>
      <c r="N567" s="56"/>
      <c r="O567" s="56"/>
      <c r="P567" s="162"/>
      <c r="Q567" s="178"/>
      <c r="R567" s="168"/>
      <c r="S567" s="56"/>
      <c r="T567" s="56"/>
      <c r="U567" s="56"/>
      <c r="V567" s="162"/>
      <c r="W567" s="178"/>
      <c r="X567" s="172"/>
      <c r="Y567" s="10"/>
      <c r="Z567" s="56"/>
      <c r="AA567" s="56"/>
      <c r="AB567" s="56"/>
      <c r="AC567" s="56"/>
      <c r="AD567" s="56"/>
      <c r="AE567" s="174"/>
      <c r="AF567" s="56"/>
      <c r="AG567" s="56"/>
      <c r="AH567" s="172"/>
      <c r="AI567" s="56"/>
      <c r="AJ567" s="56"/>
      <c r="AK567" s="56"/>
      <c r="AL567" s="56"/>
      <c r="AM567" s="56"/>
      <c r="AN567" s="56"/>
      <c r="AO567" s="172"/>
      <c r="AP567" s="56"/>
      <c r="AQ567" s="56"/>
      <c r="AR567" s="56"/>
      <c r="AS567" s="56"/>
      <c r="AT567" s="56"/>
      <c r="AU567" s="56"/>
      <c r="AV567" s="56"/>
      <c r="AW567" s="172"/>
      <c r="AX567" s="56"/>
      <c r="AY567" s="56"/>
      <c r="AZ567" s="56"/>
      <c r="BA567" s="172"/>
      <c r="BB567" s="56"/>
      <c r="BC567" s="10"/>
      <c r="BD567" s="56"/>
      <c r="BE567" s="56"/>
      <c r="BF567" s="56"/>
      <c r="BG567" s="56"/>
      <c r="BO567" s="145"/>
      <c r="CI567" s="145"/>
      <c r="CY567" s="145"/>
    </row>
    <row r="568" spans="1:103" s="97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65"/>
      <c r="M568" s="10"/>
      <c r="N568" s="56"/>
      <c r="O568" s="56"/>
      <c r="P568" s="162"/>
      <c r="Q568" s="178"/>
      <c r="R568" s="168"/>
      <c r="S568" s="56"/>
      <c r="T568" s="56"/>
      <c r="U568" s="56"/>
      <c r="V568" s="162"/>
      <c r="W568" s="178"/>
      <c r="X568" s="172"/>
      <c r="Y568" s="10"/>
      <c r="Z568" s="56"/>
      <c r="AA568" s="56"/>
      <c r="AB568" s="56"/>
      <c r="AC568" s="56"/>
      <c r="AD568" s="56"/>
      <c r="AE568" s="174"/>
      <c r="AF568" s="56"/>
      <c r="AG568" s="56"/>
      <c r="AH568" s="172"/>
      <c r="AI568" s="56"/>
      <c r="AJ568" s="56"/>
      <c r="AK568" s="56"/>
      <c r="AL568" s="56"/>
      <c r="AM568" s="56"/>
      <c r="AN568" s="56"/>
      <c r="AO568" s="172"/>
      <c r="AP568" s="56"/>
      <c r="AQ568" s="56"/>
      <c r="AR568" s="56"/>
      <c r="AS568" s="56"/>
      <c r="AT568" s="56"/>
      <c r="AU568" s="56"/>
      <c r="AV568" s="56"/>
      <c r="AW568" s="172"/>
      <c r="AX568" s="56"/>
      <c r="AY568" s="56"/>
      <c r="AZ568" s="56"/>
      <c r="BA568" s="172"/>
      <c r="BB568" s="56"/>
      <c r="BC568" s="10"/>
      <c r="BD568" s="56"/>
      <c r="BE568" s="56"/>
      <c r="BF568" s="56"/>
      <c r="BG568" s="56"/>
      <c r="BO568" s="145"/>
      <c r="CI568" s="145"/>
      <c r="CY568" s="145"/>
    </row>
    <row r="569" spans="1:103" s="97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65"/>
      <c r="M569" s="10"/>
      <c r="N569" s="56"/>
      <c r="O569" s="56"/>
      <c r="P569" s="162"/>
      <c r="Q569" s="178"/>
      <c r="R569" s="168"/>
      <c r="S569" s="56"/>
      <c r="T569" s="56"/>
      <c r="U569" s="56"/>
      <c r="V569" s="162"/>
      <c r="W569" s="178"/>
      <c r="X569" s="172"/>
      <c r="Y569" s="10"/>
      <c r="Z569" s="56"/>
      <c r="AA569" s="56"/>
      <c r="AB569" s="56"/>
      <c r="AC569" s="56"/>
      <c r="AD569" s="56"/>
      <c r="AE569" s="174"/>
      <c r="AF569" s="56"/>
      <c r="AG569" s="56"/>
      <c r="AH569" s="172"/>
      <c r="AI569" s="56"/>
      <c r="AJ569" s="56"/>
      <c r="AK569" s="56"/>
      <c r="AL569" s="56"/>
      <c r="AM569" s="56"/>
      <c r="AN569" s="56"/>
      <c r="AO569" s="172"/>
      <c r="AP569" s="56"/>
      <c r="AQ569" s="56"/>
      <c r="AR569" s="56"/>
      <c r="AS569" s="56"/>
      <c r="AT569" s="56"/>
      <c r="AU569" s="56"/>
      <c r="AV569" s="56"/>
      <c r="AW569" s="172"/>
      <c r="AX569" s="56"/>
      <c r="AY569" s="56"/>
      <c r="AZ569" s="56"/>
      <c r="BA569" s="172"/>
      <c r="BB569" s="56"/>
      <c r="BC569" s="10"/>
      <c r="BD569" s="56"/>
      <c r="BE569" s="56"/>
      <c r="BF569" s="56"/>
      <c r="BG569" s="56"/>
      <c r="BO569" s="145"/>
      <c r="CI569" s="145"/>
      <c r="CY569" s="145"/>
    </row>
    <row r="570" spans="1:103" s="97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65"/>
      <c r="M570" s="10"/>
      <c r="N570" s="56"/>
      <c r="O570" s="56"/>
      <c r="P570" s="162"/>
      <c r="Q570" s="178"/>
      <c r="R570" s="168"/>
      <c r="S570" s="56"/>
      <c r="T570" s="56"/>
      <c r="U570" s="56"/>
      <c r="V570" s="162"/>
      <c r="W570" s="178"/>
      <c r="X570" s="172"/>
      <c r="Y570" s="10"/>
      <c r="Z570" s="56"/>
      <c r="AA570" s="56"/>
      <c r="AB570" s="56"/>
      <c r="AC570" s="56"/>
      <c r="AD570" s="56"/>
      <c r="AE570" s="174"/>
      <c r="AF570" s="56"/>
      <c r="AG570" s="56"/>
      <c r="AH570" s="172"/>
      <c r="AI570" s="56"/>
      <c r="AJ570" s="56"/>
      <c r="AK570" s="56"/>
      <c r="AL570" s="56"/>
      <c r="AM570" s="56"/>
      <c r="AN570" s="56"/>
      <c r="AO570" s="172"/>
      <c r="AP570" s="56"/>
      <c r="AQ570" s="56"/>
      <c r="AR570" s="56"/>
      <c r="AS570" s="56"/>
      <c r="AT570" s="56"/>
      <c r="AU570" s="56"/>
      <c r="AV570" s="56"/>
      <c r="AW570" s="172"/>
      <c r="AX570" s="56"/>
      <c r="AY570" s="56"/>
      <c r="AZ570" s="56"/>
      <c r="BA570" s="172"/>
      <c r="BB570" s="56"/>
      <c r="BC570" s="10"/>
      <c r="BD570" s="56"/>
      <c r="BE570" s="56"/>
      <c r="BF570" s="56"/>
      <c r="BG570" s="56"/>
      <c r="BO570" s="145"/>
      <c r="CI570" s="145"/>
      <c r="CY570" s="145"/>
    </row>
    <row r="571" spans="1:103" s="97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65"/>
      <c r="M571" s="10"/>
      <c r="N571" s="56"/>
      <c r="O571" s="56"/>
      <c r="P571" s="162"/>
      <c r="Q571" s="178"/>
      <c r="R571" s="168"/>
      <c r="S571" s="56"/>
      <c r="T571" s="56"/>
      <c r="U571" s="56"/>
      <c r="V571" s="162"/>
      <c r="W571" s="178"/>
      <c r="X571" s="172"/>
      <c r="Y571" s="10"/>
      <c r="Z571" s="56"/>
      <c r="AA571" s="56"/>
      <c r="AB571" s="56"/>
      <c r="AC571" s="56"/>
      <c r="AD571" s="56"/>
      <c r="AE571" s="174"/>
      <c r="AF571" s="56"/>
      <c r="AG571" s="56"/>
      <c r="AH571" s="172"/>
      <c r="AI571" s="56"/>
      <c r="AJ571" s="56"/>
      <c r="AK571" s="56"/>
      <c r="AL571" s="56"/>
      <c r="AM571" s="56"/>
      <c r="AN571" s="56"/>
      <c r="AO571" s="172"/>
      <c r="AP571" s="56"/>
      <c r="AQ571" s="56"/>
      <c r="AR571" s="56"/>
      <c r="AS571" s="56"/>
      <c r="AT571" s="56"/>
      <c r="AU571" s="56"/>
      <c r="AV571" s="56"/>
      <c r="AW571" s="172"/>
      <c r="AX571" s="56"/>
      <c r="AY571" s="56"/>
      <c r="AZ571" s="56"/>
      <c r="BA571" s="172"/>
      <c r="BB571" s="56"/>
      <c r="BC571" s="10"/>
      <c r="BD571" s="56"/>
      <c r="BE571" s="56"/>
      <c r="BF571" s="56"/>
      <c r="BG571" s="56"/>
      <c r="BO571" s="145"/>
      <c r="CI571" s="145"/>
      <c r="CY571" s="145"/>
    </row>
    <row r="572" spans="1:103" s="97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65"/>
      <c r="M572" s="10"/>
      <c r="N572" s="56"/>
      <c r="O572" s="56"/>
      <c r="P572" s="162"/>
      <c r="Q572" s="178"/>
      <c r="R572" s="168"/>
      <c r="S572" s="56"/>
      <c r="T572" s="56"/>
      <c r="U572" s="56"/>
      <c r="V572" s="162"/>
      <c r="W572" s="178"/>
      <c r="X572" s="172"/>
      <c r="Y572" s="10"/>
      <c r="Z572" s="56"/>
      <c r="AA572" s="56"/>
      <c r="AB572" s="56"/>
      <c r="AC572" s="56"/>
      <c r="AD572" s="56"/>
      <c r="AE572" s="174"/>
      <c r="AF572" s="56"/>
      <c r="AG572" s="56"/>
      <c r="AH572" s="172"/>
      <c r="AI572" s="56"/>
      <c r="AJ572" s="56"/>
      <c r="AK572" s="56"/>
      <c r="AL572" s="56"/>
      <c r="AM572" s="56"/>
      <c r="AN572" s="56"/>
      <c r="AO572" s="172"/>
      <c r="AP572" s="56"/>
      <c r="AQ572" s="56"/>
      <c r="AR572" s="56"/>
      <c r="AS572" s="56"/>
      <c r="AT572" s="56"/>
      <c r="AU572" s="56"/>
      <c r="AV572" s="56"/>
      <c r="AW572" s="172"/>
      <c r="AX572" s="56"/>
      <c r="AY572" s="56"/>
      <c r="AZ572" s="56"/>
      <c r="BA572" s="172"/>
      <c r="BB572" s="56"/>
      <c r="BC572" s="10"/>
      <c r="BD572" s="56"/>
      <c r="BE572" s="56"/>
      <c r="BF572" s="56"/>
      <c r="BG572" s="56"/>
      <c r="BO572" s="145"/>
      <c r="CI572" s="145"/>
      <c r="CY572" s="145"/>
    </row>
    <row r="573" spans="1:103" s="97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65"/>
      <c r="M573" s="10"/>
      <c r="N573" s="56"/>
      <c r="O573" s="56"/>
      <c r="P573" s="162"/>
      <c r="Q573" s="178"/>
      <c r="R573" s="168"/>
      <c r="S573" s="56"/>
      <c r="T573" s="56"/>
      <c r="U573" s="56"/>
      <c r="V573" s="162"/>
      <c r="W573" s="178"/>
      <c r="X573" s="172"/>
      <c r="Y573" s="10"/>
      <c r="Z573" s="56"/>
      <c r="AA573" s="56"/>
      <c r="AB573" s="56"/>
      <c r="AC573" s="56"/>
      <c r="AD573" s="56"/>
      <c r="AE573" s="174"/>
      <c r="AF573" s="56"/>
      <c r="AG573" s="56"/>
      <c r="AH573" s="172"/>
      <c r="AI573" s="56"/>
      <c r="AJ573" s="56"/>
      <c r="AK573" s="56"/>
      <c r="AL573" s="56"/>
      <c r="AM573" s="56"/>
      <c r="AN573" s="56"/>
      <c r="AO573" s="172"/>
      <c r="AP573" s="56"/>
      <c r="AQ573" s="56"/>
      <c r="AR573" s="56"/>
      <c r="AS573" s="56"/>
      <c r="AT573" s="56"/>
      <c r="AU573" s="56"/>
      <c r="AV573" s="56"/>
      <c r="AW573" s="172"/>
      <c r="AX573" s="56"/>
      <c r="AY573" s="56"/>
      <c r="AZ573" s="56"/>
      <c r="BA573" s="172"/>
      <c r="BB573" s="56"/>
      <c r="BC573" s="10"/>
      <c r="BD573" s="56"/>
      <c r="BE573" s="56"/>
      <c r="BF573" s="56"/>
      <c r="BG573" s="56"/>
      <c r="BO573" s="145"/>
      <c r="CI573" s="145"/>
      <c r="CY573" s="145"/>
    </row>
    <row r="574" spans="1:103" s="97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65"/>
      <c r="M574" s="10"/>
      <c r="N574" s="56"/>
      <c r="O574" s="56"/>
      <c r="P574" s="162"/>
      <c r="Q574" s="178"/>
      <c r="R574" s="168"/>
      <c r="S574" s="56"/>
      <c r="T574" s="56"/>
      <c r="U574" s="56"/>
      <c r="V574" s="162"/>
      <c r="W574" s="178"/>
      <c r="X574" s="172"/>
      <c r="Y574" s="10"/>
      <c r="Z574" s="56"/>
      <c r="AA574" s="56"/>
      <c r="AB574" s="56"/>
      <c r="AC574" s="56"/>
      <c r="AD574" s="56"/>
      <c r="AE574" s="174"/>
      <c r="AF574" s="56"/>
      <c r="AG574" s="56"/>
      <c r="AH574" s="172"/>
      <c r="AI574" s="56"/>
      <c r="AJ574" s="56"/>
      <c r="AK574" s="56"/>
      <c r="AL574" s="56"/>
      <c r="AM574" s="56"/>
      <c r="AN574" s="56"/>
      <c r="AO574" s="172"/>
      <c r="AP574" s="56"/>
      <c r="AQ574" s="56"/>
      <c r="AR574" s="56"/>
      <c r="AS574" s="56"/>
      <c r="AT574" s="56"/>
      <c r="AU574" s="56"/>
      <c r="AV574" s="56"/>
      <c r="AW574" s="172"/>
      <c r="AX574" s="56"/>
      <c r="AY574" s="56"/>
      <c r="AZ574" s="56"/>
      <c r="BA574" s="172"/>
      <c r="BB574" s="56"/>
      <c r="BC574" s="10"/>
      <c r="BD574" s="56"/>
      <c r="BE574" s="56"/>
      <c r="BF574" s="56"/>
      <c r="BG574" s="56"/>
      <c r="BO574" s="145"/>
      <c r="CI574" s="145"/>
      <c r="CY574" s="145"/>
    </row>
    <row r="575" spans="1:103" s="97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65"/>
      <c r="M575" s="10"/>
      <c r="N575" s="56"/>
      <c r="O575" s="56"/>
      <c r="P575" s="162"/>
      <c r="Q575" s="178"/>
      <c r="R575" s="168"/>
      <c r="S575" s="56"/>
      <c r="T575" s="56"/>
      <c r="U575" s="56"/>
      <c r="V575" s="162"/>
      <c r="W575" s="178"/>
      <c r="X575" s="172"/>
      <c r="Y575" s="10"/>
      <c r="Z575" s="56"/>
      <c r="AA575" s="56"/>
      <c r="AB575" s="56"/>
      <c r="AC575" s="56"/>
      <c r="AD575" s="56"/>
      <c r="AE575" s="174"/>
      <c r="AF575" s="56"/>
      <c r="AG575" s="56"/>
      <c r="AH575" s="172"/>
      <c r="AI575" s="56"/>
      <c r="AJ575" s="56"/>
      <c r="AK575" s="56"/>
      <c r="AL575" s="56"/>
      <c r="AM575" s="56"/>
      <c r="AN575" s="56"/>
      <c r="AO575" s="172"/>
      <c r="AP575" s="56"/>
      <c r="AQ575" s="56"/>
      <c r="AR575" s="56"/>
      <c r="AS575" s="56"/>
      <c r="AT575" s="56"/>
      <c r="AU575" s="56"/>
      <c r="AV575" s="56"/>
      <c r="AW575" s="172"/>
      <c r="AX575" s="56"/>
      <c r="AY575" s="56"/>
      <c r="AZ575" s="56"/>
      <c r="BA575" s="172"/>
      <c r="BB575" s="56"/>
      <c r="BC575" s="10"/>
      <c r="BD575" s="56"/>
      <c r="BE575" s="56"/>
      <c r="BF575" s="56"/>
      <c r="BG575" s="56"/>
      <c r="BO575" s="145"/>
      <c r="CI575" s="145"/>
      <c r="CY575" s="145"/>
    </row>
    <row r="576" spans="1:103" s="97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65"/>
      <c r="M576" s="10"/>
      <c r="N576" s="56"/>
      <c r="O576" s="56"/>
      <c r="P576" s="162"/>
      <c r="Q576" s="178"/>
      <c r="R576" s="168"/>
      <c r="S576" s="56"/>
      <c r="T576" s="56"/>
      <c r="U576" s="56"/>
      <c r="V576" s="162"/>
      <c r="W576" s="178"/>
      <c r="X576" s="172"/>
      <c r="Y576" s="10"/>
      <c r="Z576" s="56"/>
      <c r="AA576" s="56"/>
      <c r="AB576" s="56"/>
      <c r="AC576" s="56"/>
      <c r="AD576" s="56"/>
      <c r="AE576" s="174"/>
      <c r="AF576" s="56"/>
      <c r="AG576" s="56"/>
      <c r="AH576" s="172"/>
      <c r="AI576" s="56"/>
      <c r="AJ576" s="56"/>
      <c r="AK576" s="56"/>
      <c r="AL576" s="56"/>
      <c r="AM576" s="56"/>
      <c r="AN576" s="56"/>
      <c r="AO576" s="172"/>
      <c r="AP576" s="56"/>
      <c r="AQ576" s="56"/>
      <c r="AR576" s="56"/>
      <c r="AS576" s="56"/>
      <c r="AT576" s="56"/>
      <c r="AU576" s="56"/>
      <c r="AV576" s="56"/>
      <c r="AW576" s="172"/>
      <c r="AX576" s="56"/>
      <c r="AY576" s="56"/>
      <c r="AZ576" s="56"/>
      <c r="BA576" s="172"/>
      <c r="BB576" s="56"/>
      <c r="BC576" s="10"/>
      <c r="BD576" s="56"/>
      <c r="BE576" s="56"/>
      <c r="BF576" s="56"/>
      <c r="BG576" s="56"/>
      <c r="BO576" s="145"/>
      <c r="CI576" s="145"/>
      <c r="CY576" s="145"/>
    </row>
    <row r="577" spans="1:103" s="97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65"/>
      <c r="M577" s="10"/>
      <c r="N577" s="56"/>
      <c r="O577" s="56"/>
      <c r="P577" s="162"/>
      <c r="Q577" s="178"/>
      <c r="R577" s="168"/>
      <c r="S577" s="56"/>
      <c r="T577" s="56"/>
      <c r="U577" s="56"/>
      <c r="V577" s="162"/>
      <c r="W577" s="178"/>
      <c r="X577" s="172"/>
      <c r="Y577" s="10"/>
      <c r="Z577" s="56"/>
      <c r="AA577" s="56"/>
      <c r="AB577" s="56"/>
      <c r="AC577" s="56"/>
      <c r="AD577" s="56"/>
      <c r="AE577" s="174"/>
      <c r="AF577" s="56"/>
      <c r="AG577" s="56"/>
      <c r="AH577" s="172"/>
      <c r="AI577" s="56"/>
      <c r="AJ577" s="56"/>
      <c r="AK577" s="56"/>
      <c r="AL577" s="56"/>
      <c r="AM577" s="56"/>
      <c r="AN577" s="56"/>
      <c r="AO577" s="172"/>
      <c r="AP577" s="56"/>
      <c r="AQ577" s="56"/>
      <c r="AR577" s="56"/>
      <c r="AS577" s="56"/>
      <c r="AT577" s="56"/>
      <c r="AU577" s="56"/>
      <c r="AV577" s="56"/>
      <c r="AW577" s="172"/>
      <c r="AX577" s="56"/>
      <c r="AY577" s="56"/>
      <c r="AZ577" s="56"/>
      <c r="BA577" s="172"/>
      <c r="BB577" s="56"/>
      <c r="BC577" s="10"/>
      <c r="BD577" s="56"/>
      <c r="BE577" s="56"/>
      <c r="BF577" s="56"/>
      <c r="BG577" s="56"/>
      <c r="BO577" s="145"/>
      <c r="CI577" s="145"/>
      <c r="CY577" s="145"/>
    </row>
    <row r="578" spans="1:103" s="97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65"/>
      <c r="M578" s="10"/>
      <c r="N578" s="56"/>
      <c r="O578" s="56"/>
      <c r="P578" s="162"/>
      <c r="Q578" s="178"/>
      <c r="R578" s="168"/>
      <c r="S578" s="56"/>
      <c r="T578" s="56"/>
      <c r="U578" s="56"/>
      <c r="V578" s="162"/>
      <c r="W578" s="178"/>
      <c r="X578" s="172"/>
      <c r="Y578" s="10"/>
      <c r="Z578" s="56"/>
      <c r="AA578" s="56"/>
      <c r="AB578" s="56"/>
      <c r="AC578" s="56"/>
      <c r="AD578" s="56"/>
      <c r="AE578" s="174"/>
      <c r="AF578" s="56"/>
      <c r="AG578" s="56"/>
      <c r="AH578" s="172"/>
      <c r="AI578" s="56"/>
      <c r="AJ578" s="56"/>
      <c r="AK578" s="56"/>
      <c r="AL578" s="56"/>
      <c r="AM578" s="56"/>
      <c r="AN578" s="56"/>
      <c r="AO578" s="172"/>
      <c r="AP578" s="56"/>
      <c r="AQ578" s="56"/>
      <c r="AR578" s="56"/>
      <c r="AS578" s="56"/>
      <c r="AT578" s="56"/>
      <c r="AU578" s="56"/>
      <c r="AV578" s="56"/>
      <c r="AW578" s="172"/>
      <c r="AX578" s="56"/>
      <c r="AY578" s="56"/>
      <c r="AZ578" s="56"/>
      <c r="BA578" s="172"/>
      <c r="BB578" s="56"/>
      <c r="BC578" s="10"/>
      <c r="BD578" s="56"/>
      <c r="BE578" s="56"/>
      <c r="BF578" s="56"/>
      <c r="BG578" s="56"/>
      <c r="BO578" s="145"/>
      <c r="CI578" s="145"/>
      <c r="CY578" s="145"/>
    </row>
    <row r="579" spans="1:103" s="97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65"/>
      <c r="M579" s="10"/>
      <c r="N579" s="56"/>
      <c r="O579" s="56"/>
      <c r="P579" s="162"/>
      <c r="Q579" s="178"/>
      <c r="R579" s="168"/>
      <c r="S579" s="56"/>
      <c r="T579" s="56"/>
      <c r="U579" s="56"/>
      <c r="V579" s="162"/>
      <c r="W579" s="178"/>
      <c r="X579" s="172"/>
      <c r="Y579" s="10"/>
      <c r="Z579" s="56"/>
      <c r="AA579" s="56"/>
      <c r="AB579" s="56"/>
      <c r="AC579" s="56"/>
      <c r="AD579" s="56"/>
      <c r="AE579" s="174"/>
      <c r="AF579" s="56"/>
      <c r="AG579" s="56"/>
      <c r="AH579" s="172"/>
      <c r="AI579" s="56"/>
      <c r="AJ579" s="56"/>
      <c r="AK579" s="56"/>
      <c r="AL579" s="56"/>
      <c r="AM579" s="56"/>
      <c r="AN579" s="56"/>
      <c r="AO579" s="172"/>
      <c r="AP579" s="56"/>
      <c r="AQ579" s="56"/>
      <c r="AR579" s="56"/>
      <c r="AS579" s="56"/>
      <c r="AT579" s="56"/>
      <c r="AU579" s="56"/>
      <c r="AV579" s="56"/>
      <c r="AW579" s="172"/>
      <c r="AX579" s="56"/>
      <c r="AY579" s="56"/>
      <c r="AZ579" s="56"/>
      <c r="BA579" s="172"/>
      <c r="BB579" s="56"/>
      <c r="BC579" s="10"/>
      <c r="BD579" s="56"/>
      <c r="BE579" s="56"/>
      <c r="BF579" s="56"/>
      <c r="BG579" s="56"/>
      <c r="BO579" s="145"/>
      <c r="CI579" s="145"/>
      <c r="CY579" s="145"/>
    </row>
    <row r="580" spans="1:103" s="97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65"/>
      <c r="M580" s="10"/>
      <c r="N580" s="56"/>
      <c r="O580" s="56"/>
      <c r="P580" s="162"/>
      <c r="Q580" s="178"/>
      <c r="R580" s="168"/>
      <c r="S580" s="56"/>
      <c r="T580" s="56"/>
      <c r="U580" s="56"/>
      <c r="V580" s="162"/>
      <c r="W580" s="178"/>
      <c r="X580" s="172"/>
      <c r="Y580" s="10"/>
      <c r="Z580" s="56"/>
      <c r="AA580" s="56"/>
      <c r="AB580" s="56"/>
      <c r="AC580" s="56"/>
      <c r="AD580" s="56"/>
      <c r="AE580" s="174"/>
      <c r="AF580" s="56"/>
      <c r="AG580" s="56"/>
      <c r="AH580" s="172"/>
      <c r="AI580" s="56"/>
      <c r="AJ580" s="56"/>
      <c r="AK580" s="56"/>
      <c r="AL580" s="56"/>
      <c r="AM580" s="56"/>
      <c r="AN580" s="56"/>
      <c r="AO580" s="172"/>
      <c r="AP580" s="56"/>
      <c r="AQ580" s="56"/>
      <c r="AR580" s="56"/>
      <c r="AS580" s="56"/>
      <c r="AT580" s="56"/>
      <c r="AU580" s="56"/>
      <c r="AV580" s="56"/>
      <c r="AW580" s="172"/>
      <c r="AX580" s="56"/>
      <c r="AY580" s="56"/>
      <c r="AZ580" s="56"/>
      <c r="BA580" s="172"/>
      <c r="BB580" s="56"/>
      <c r="BC580" s="10"/>
      <c r="BD580" s="56"/>
      <c r="BE580" s="56"/>
      <c r="BF580" s="56"/>
      <c r="BG580" s="56"/>
      <c r="BO580" s="145"/>
      <c r="CI580" s="145"/>
      <c r="CY580" s="145"/>
    </row>
    <row r="581" spans="1:103" s="97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65"/>
      <c r="M581" s="10"/>
      <c r="N581" s="56"/>
      <c r="O581" s="56"/>
      <c r="P581" s="162"/>
      <c r="Q581" s="178"/>
      <c r="R581" s="168"/>
      <c r="S581" s="56"/>
      <c r="T581" s="56"/>
      <c r="U581" s="56"/>
      <c r="V581" s="162"/>
      <c r="W581" s="178"/>
      <c r="X581" s="172"/>
      <c r="Y581" s="10"/>
      <c r="Z581" s="56"/>
      <c r="AA581" s="56"/>
      <c r="AB581" s="56"/>
      <c r="AC581" s="56"/>
      <c r="AD581" s="56"/>
      <c r="AE581" s="174"/>
      <c r="AF581" s="56"/>
      <c r="AG581" s="56"/>
      <c r="AH581" s="172"/>
      <c r="AI581" s="56"/>
      <c r="AJ581" s="56"/>
      <c r="AK581" s="56"/>
      <c r="AL581" s="56"/>
      <c r="AM581" s="56"/>
      <c r="AN581" s="56"/>
      <c r="AO581" s="172"/>
      <c r="AP581" s="56"/>
      <c r="AQ581" s="56"/>
      <c r="AR581" s="56"/>
      <c r="AS581" s="56"/>
      <c r="AT581" s="56"/>
      <c r="AU581" s="56"/>
      <c r="AV581" s="56"/>
      <c r="AW581" s="172"/>
      <c r="AX581" s="56"/>
      <c r="AY581" s="56"/>
      <c r="AZ581" s="56"/>
      <c r="BA581" s="172"/>
      <c r="BB581" s="56"/>
      <c r="BC581" s="10"/>
      <c r="BD581" s="56"/>
      <c r="BE581" s="56"/>
      <c r="BF581" s="56"/>
      <c r="BG581" s="56"/>
      <c r="BO581" s="145"/>
      <c r="CI581" s="145"/>
      <c r="CY581" s="145"/>
    </row>
    <row r="582" spans="1:103" s="97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65"/>
      <c r="M582" s="10"/>
      <c r="N582" s="56"/>
      <c r="O582" s="56"/>
      <c r="P582" s="162"/>
      <c r="Q582" s="178"/>
      <c r="R582" s="168"/>
      <c r="S582" s="56"/>
      <c r="T582" s="56"/>
      <c r="U582" s="56"/>
      <c r="V582" s="162"/>
      <c r="W582" s="178"/>
      <c r="X582" s="172"/>
      <c r="Y582" s="10"/>
      <c r="Z582" s="56"/>
      <c r="AA582" s="56"/>
      <c r="AB582" s="56"/>
      <c r="AC582" s="56"/>
      <c r="AD582" s="56"/>
      <c r="AE582" s="174"/>
      <c r="AF582" s="56"/>
      <c r="AG582" s="56"/>
      <c r="AH582" s="172"/>
      <c r="AI582" s="56"/>
      <c r="AJ582" s="56"/>
      <c r="AK582" s="56"/>
      <c r="AL582" s="56"/>
      <c r="AM582" s="56"/>
      <c r="AN582" s="56"/>
      <c r="AO582" s="172"/>
      <c r="AP582" s="56"/>
      <c r="AQ582" s="56"/>
      <c r="AR582" s="56"/>
      <c r="AS582" s="56"/>
      <c r="AT582" s="56"/>
      <c r="AU582" s="56"/>
      <c r="AV582" s="56"/>
      <c r="AW582" s="172"/>
      <c r="AX582" s="56"/>
      <c r="AY582" s="56"/>
      <c r="AZ582" s="56"/>
      <c r="BA582" s="172"/>
      <c r="BB582" s="56"/>
      <c r="BC582" s="10"/>
      <c r="BD582" s="56"/>
      <c r="BE582" s="56"/>
      <c r="BF582" s="56"/>
      <c r="BG582" s="56"/>
      <c r="BO582" s="145"/>
      <c r="CI582" s="145"/>
      <c r="CY582" s="145"/>
    </row>
    <row r="583" spans="1:103" s="97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65"/>
      <c r="M583" s="10"/>
      <c r="N583" s="56"/>
      <c r="O583" s="56"/>
      <c r="P583" s="162"/>
      <c r="Q583" s="178"/>
      <c r="R583" s="168"/>
      <c r="S583" s="56"/>
      <c r="T583" s="56"/>
      <c r="U583" s="56"/>
      <c r="V583" s="162"/>
      <c r="W583" s="178"/>
      <c r="X583" s="172"/>
      <c r="Y583" s="10"/>
      <c r="Z583" s="56"/>
      <c r="AA583" s="56"/>
      <c r="AB583" s="56"/>
      <c r="AC583" s="56"/>
      <c r="AD583" s="56"/>
      <c r="AE583" s="174"/>
      <c r="AF583" s="56"/>
      <c r="AG583" s="56"/>
      <c r="AH583" s="172"/>
      <c r="AI583" s="56"/>
      <c r="AJ583" s="56"/>
      <c r="AK583" s="56"/>
      <c r="AL583" s="56"/>
      <c r="AM583" s="56"/>
      <c r="AN583" s="56"/>
      <c r="AO583" s="172"/>
      <c r="AP583" s="56"/>
      <c r="AQ583" s="56"/>
      <c r="AR583" s="56"/>
      <c r="AS583" s="56"/>
      <c r="AT583" s="56"/>
      <c r="AU583" s="56"/>
      <c r="AV583" s="56"/>
      <c r="AW583" s="172"/>
      <c r="AX583" s="56"/>
      <c r="AY583" s="56"/>
      <c r="AZ583" s="56"/>
      <c r="BA583" s="172"/>
      <c r="BB583" s="56"/>
      <c r="BC583" s="10"/>
      <c r="BD583" s="56"/>
      <c r="BE583" s="56"/>
      <c r="BF583" s="56"/>
      <c r="BG583" s="56"/>
      <c r="BO583" s="145"/>
      <c r="CI583" s="145"/>
      <c r="CY583" s="145"/>
    </row>
    <row r="584" spans="1:103" s="97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65"/>
      <c r="M584" s="10"/>
      <c r="N584" s="56"/>
      <c r="O584" s="56"/>
      <c r="P584" s="162"/>
      <c r="Q584" s="178"/>
      <c r="R584" s="168"/>
      <c r="S584" s="56"/>
      <c r="T584" s="56"/>
      <c r="U584" s="56"/>
      <c r="V584" s="162"/>
      <c r="W584" s="178"/>
      <c r="X584" s="172"/>
      <c r="Y584" s="10"/>
      <c r="Z584" s="56"/>
      <c r="AA584" s="56"/>
      <c r="AB584" s="56"/>
      <c r="AC584" s="56"/>
      <c r="AD584" s="56"/>
      <c r="AE584" s="174"/>
      <c r="AF584" s="56"/>
      <c r="AG584" s="56"/>
      <c r="AH584" s="172"/>
      <c r="AI584" s="56"/>
      <c r="AJ584" s="56"/>
      <c r="AK584" s="56"/>
      <c r="AL584" s="56"/>
      <c r="AM584" s="56"/>
      <c r="AN584" s="56"/>
      <c r="AO584" s="172"/>
      <c r="AP584" s="56"/>
      <c r="AQ584" s="56"/>
      <c r="AR584" s="56"/>
      <c r="AS584" s="56"/>
      <c r="AT584" s="56"/>
      <c r="AU584" s="56"/>
      <c r="AV584" s="56"/>
      <c r="AW584" s="172"/>
      <c r="AX584" s="56"/>
      <c r="AY584" s="56"/>
      <c r="AZ584" s="56"/>
      <c r="BA584" s="172"/>
      <c r="BB584" s="56"/>
      <c r="BC584" s="10"/>
      <c r="BD584" s="56"/>
      <c r="BE584" s="56"/>
      <c r="BF584" s="56"/>
      <c r="BG584" s="56"/>
      <c r="BO584" s="145"/>
      <c r="CI584" s="145"/>
      <c r="CY584" s="145"/>
    </row>
    <row r="585" spans="1:103" s="97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65"/>
      <c r="M585" s="10"/>
      <c r="N585" s="56"/>
      <c r="O585" s="56"/>
      <c r="P585" s="162"/>
      <c r="Q585" s="178"/>
      <c r="R585" s="168"/>
      <c r="S585" s="56"/>
      <c r="T585" s="56"/>
      <c r="U585" s="56"/>
      <c r="V585" s="162"/>
      <c r="W585" s="178"/>
      <c r="X585" s="172"/>
      <c r="Y585" s="10"/>
      <c r="Z585" s="56"/>
      <c r="AA585" s="56"/>
      <c r="AB585" s="56"/>
      <c r="AC585" s="56"/>
      <c r="AD585" s="56"/>
      <c r="AE585" s="174"/>
      <c r="AF585" s="56"/>
      <c r="AG585" s="56"/>
      <c r="AH585" s="172"/>
      <c r="AI585" s="56"/>
      <c r="AJ585" s="56"/>
      <c r="AK585" s="56"/>
      <c r="AL585" s="56"/>
      <c r="AM585" s="56"/>
      <c r="AN585" s="56"/>
      <c r="AO585" s="172"/>
      <c r="AP585" s="56"/>
      <c r="AQ585" s="56"/>
      <c r="AR585" s="56"/>
      <c r="AS585" s="56"/>
      <c r="AT585" s="56"/>
      <c r="AU585" s="56"/>
      <c r="AV585" s="56"/>
      <c r="AW585" s="172"/>
      <c r="AX585" s="56"/>
      <c r="AY585" s="56"/>
      <c r="AZ585" s="56"/>
      <c r="BA585" s="172"/>
      <c r="BB585" s="56"/>
      <c r="BC585" s="10"/>
      <c r="BD585" s="56"/>
      <c r="BE585" s="56"/>
      <c r="BF585" s="56"/>
      <c r="BG585" s="56"/>
      <c r="BO585" s="145"/>
      <c r="CI585" s="145"/>
      <c r="CY585" s="145"/>
    </row>
    <row r="586" spans="1:103" s="97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65"/>
      <c r="M586" s="10"/>
      <c r="N586" s="56"/>
      <c r="O586" s="56"/>
      <c r="P586" s="162"/>
      <c r="Q586" s="178"/>
      <c r="R586" s="168"/>
      <c r="S586" s="56"/>
      <c r="T586" s="56"/>
      <c r="U586" s="56"/>
      <c r="V586" s="162"/>
      <c r="W586" s="178"/>
      <c r="X586" s="172"/>
      <c r="Y586" s="10"/>
      <c r="Z586" s="56"/>
      <c r="AA586" s="56"/>
      <c r="AB586" s="56"/>
      <c r="AC586" s="56"/>
      <c r="AD586" s="56"/>
      <c r="AE586" s="174"/>
      <c r="AF586" s="56"/>
      <c r="AG586" s="56"/>
      <c r="AH586" s="172"/>
      <c r="AI586" s="56"/>
      <c r="AJ586" s="56"/>
      <c r="AK586" s="56"/>
      <c r="AL586" s="56"/>
      <c r="AM586" s="56"/>
      <c r="AN586" s="56"/>
      <c r="AO586" s="172"/>
      <c r="AP586" s="56"/>
      <c r="AQ586" s="56"/>
      <c r="AR586" s="56"/>
      <c r="AS586" s="56"/>
      <c r="AT586" s="56"/>
      <c r="AU586" s="56"/>
      <c r="AV586" s="56"/>
      <c r="AW586" s="172"/>
      <c r="AX586" s="56"/>
      <c r="AY586" s="56"/>
      <c r="AZ586" s="56"/>
      <c r="BA586" s="172"/>
      <c r="BB586" s="56"/>
      <c r="BC586" s="10"/>
      <c r="BD586" s="56"/>
      <c r="BE586" s="56"/>
      <c r="BF586" s="56"/>
      <c r="BG586" s="56"/>
      <c r="BO586" s="145"/>
      <c r="CI586" s="145"/>
      <c r="CY586" s="145"/>
    </row>
    <row r="587" spans="1:103" s="97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65"/>
      <c r="M587" s="10"/>
      <c r="N587" s="56"/>
      <c r="O587" s="56"/>
      <c r="P587" s="162"/>
      <c r="Q587" s="178"/>
      <c r="R587" s="168"/>
      <c r="S587" s="56"/>
      <c r="T587" s="56"/>
      <c r="U587" s="56"/>
      <c r="V587" s="162"/>
      <c r="W587" s="178"/>
      <c r="X587" s="172"/>
      <c r="Y587" s="10"/>
      <c r="Z587" s="56"/>
      <c r="AA587" s="56"/>
      <c r="AB587" s="56"/>
      <c r="AC587" s="56"/>
      <c r="AD587" s="56"/>
      <c r="AE587" s="174"/>
      <c r="AF587" s="56"/>
      <c r="AG587" s="56"/>
      <c r="AH587" s="172"/>
      <c r="AI587" s="56"/>
      <c r="AJ587" s="56"/>
      <c r="AK587" s="56"/>
      <c r="AL587" s="56"/>
      <c r="AM587" s="56"/>
      <c r="AN587" s="56"/>
      <c r="AO587" s="172"/>
      <c r="AP587" s="56"/>
      <c r="AQ587" s="56"/>
      <c r="AR587" s="56"/>
      <c r="AS587" s="56"/>
      <c r="AT587" s="56"/>
      <c r="AU587" s="56"/>
      <c r="AV587" s="56"/>
      <c r="AW587" s="172"/>
      <c r="AX587" s="56"/>
      <c r="AY587" s="56"/>
      <c r="AZ587" s="56"/>
      <c r="BA587" s="172"/>
      <c r="BB587" s="56"/>
      <c r="BC587" s="10"/>
      <c r="BD587" s="56"/>
      <c r="BE587" s="56"/>
      <c r="BF587" s="56"/>
      <c r="BG587" s="56"/>
      <c r="BO587" s="145"/>
      <c r="CI587" s="145"/>
      <c r="CY587" s="145"/>
    </row>
    <row r="588" spans="1:103" s="97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65"/>
      <c r="M588" s="10"/>
      <c r="N588" s="56"/>
      <c r="O588" s="56"/>
      <c r="P588" s="162"/>
      <c r="Q588" s="178"/>
      <c r="R588" s="168"/>
      <c r="S588" s="56"/>
      <c r="T588" s="56"/>
      <c r="U588" s="56"/>
      <c r="V588" s="162"/>
      <c r="W588" s="178"/>
      <c r="X588" s="172"/>
      <c r="Y588" s="10"/>
      <c r="Z588" s="56"/>
      <c r="AA588" s="56"/>
      <c r="AB588" s="56"/>
      <c r="AC588" s="56"/>
      <c r="AD588" s="56"/>
      <c r="AE588" s="174"/>
      <c r="AF588" s="56"/>
      <c r="AG588" s="56"/>
      <c r="AH588" s="172"/>
      <c r="AI588" s="56"/>
      <c r="AJ588" s="56"/>
      <c r="AK588" s="56"/>
      <c r="AL588" s="56"/>
      <c r="AM588" s="56"/>
      <c r="AN588" s="56"/>
      <c r="AO588" s="172"/>
      <c r="AP588" s="56"/>
      <c r="AQ588" s="56"/>
      <c r="AR588" s="56"/>
      <c r="AS588" s="56"/>
      <c r="AT588" s="56"/>
      <c r="AU588" s="56"/>
      <c r="AV588" s="56"/>
      <c r="AW588" s="172"/>
      <c r="AX588" s="56"/>
      <c r="AY588" s="56"/>
      <c r="AZ588" s="56"/>
      <c r="BA588" s="172"/>
      <c r="BB588" s="56"/>
      <c r="BC588" s="10"/>
      <c r="BD588" s="56"/>
      <c r="BE588" s="56"/>
      <c r="BF588" s="56"/>
      <c r="BG588" s="56"/>
      <c r="BO588" s="145"/>
      <c r="CI588" s="145"/>
      <c r="CY588" s="145"/>
    </row>
    <row r="589" spans="1:103" s="97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65"/>
      <c r="M589" s="10"/>
      <c r="N589" s="56"/>
      <c r="O589" s="56"/>
      <c r="P589" s="162"/>
      <c r="Q589" s="178"/>
      <c r="R589" s="168"/>
      <c r="S589" s="56"/>
      <c r="T589" s="56"/>
      <c r="U589" s="56"/>
      <c r="V589" s="162"/>
      <c r="W589" s="178"/>
      <c r="X589" s="172"/>
      <c r="Y589" s="10"/>
      <c r="Z589" s="56"/>
      <c r="AA589" s="56"/>
      <c r="AB589" s="56"/>
      <c r="AC589" s="56"/>
      <c r="AD589" s="56"/>
      <c r="AE589" s="174"/>
      <c r="AF589" s="56"/>
      <c r="AG589" s="56"/>
      <c r="AH589" s="172"/>
      <c r="AI589" s="56"/>
      <c r="AJ589" s="56"/>
      <c r="AK589" s="56"/>
      <c r="AL589" s="56"/>
      <c r="AM589" s="56"/>
      <c r="AN589" s="56"/>
      <c r="AO589" s="172"/>
      <c r="AP589" s="56"/>
      <c r="AQ589" s="56"/>
      <c r="AR589" s="56"/>
      <c r="AS589" s="56"/>
      <c r="AT589" s="56"/>
      <c r="AU589" s="56"/>
      <c r="AV589" s="56"/>
      <c r="AW589" s="172"/>
      <c r="AX589" s="56"/>
      <c r="AY589" s="56"/>
      <c r="AZ589" s="56"/>
      <c r="BA589" s="172"/>
      <c r="BB589" s="56"/>
      <c r="BC589" s="10"/>
      <c r="BD589" s="56"/>
      <c r="BE589" s="56"/>
      <c r="BF589" s="56"/>
      <c r="BG589" s="56"/>
      <c r="BO589" s="145"/>
      <c r="CI589" s="145"/>
      <c r="CY589" s="145"/>
    </row>
    <row r="590" spans="1:103" s="97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65"/>
      <c r="M590" s="10"/>
      <c r="N590" s="56"/>
      <c r="O590" s="56"/>
      <c r="P590" s="162"/>
      <c r="Q590" s="178"/>
      <c r="R590" s="168"/>
      <c r="S590" s="56"/>
      <c r="T590" s="56"/>
      <c r="U590" s="56"/>
      <c r="V590" s="162"/>
      <c r="W590" s="178"/>
      <c r="X590" s="172"/>
      <c r="Y590" s="10"/>
      <c r="Z590" s="56"/>
      <c r="AA590" s="56"/>
      <c r="AB590" s="56"/>
      <c r="AC590" s="56"/>
      <c r="AD590" s="56"/>
      <c r="AE590" s="174"/>
      <c r="AF590" s="56"/>
      <c r="AG590" s="56"/>
      <c r="AH590" s="172"/>
      <c r="AI590" s="56"/>
      <c r="AJ590" s="56"/>
      <c r="AK590" s="56"/>
      <c r="AL590" s="56"/>
      <c r="AM590" s="56"/>
      <c r="AN590" s="56"/>
      <c r="AO590" s="172"/>
      <c r="AP590" s="56"/>
      <c r="AQ590" s="56"/>
      <c r="AR590" s="56"/>
      <c r="AS590" s="56"/>
      <c r="AT590" s="56"/>
      <c r="AU590" s="56"/>
      <c r="AV590" s="56"/>
      <c r="AW590" s="172"/>
      <c r="AX590" s="56"/>
      <c r="AY590" s="56"/>
      <c r="AZ590" s="56"/>
      <c r="BA590" s="172"/>
      <c r="BB590" s="56"/>
      <c r="BC590" s="10"/>
      <c r="BD590" s="56"/>
      <c r="BE590" s="56"/>
      <c r="BF590" s="56"/>
      <c r="BG590" s="56"/>
      <c r="BO590" s="145"/>
      <c r="CI590" s="145"/>
      <c r="CY590" s="145"/>
    </row>
    <row r="591" spans="1:103" s="97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65"/>
      <c r="M591" s="10"/>
      <c r="N591" s="56"/>
      <c r="O591" s="56"/>
      <c r="P591" s="162"/>
      <c r="Q591" s="178"/>
      <c r="R591" s="168"/>
      <c r="S591" s="56"/>
      <c r="T591" s="56"/>
      <c r="U591" s="56"/>
      <c r="V591" s="162"/>
      <c r="W591" s="178"/>
      <c r="X591" s="172"/>
      <c r="Y591" s="10"/>
      <c r="Z591" s="56"/>
      <c r="AA591" s="56"/>
      <c r="AB591" s="56"/>
      <c r="AC591" s="56"/>
      <c r="AD591" s="56"/>
      <c r="AE591" s="174"/>
      <c r="AF591" s="56"/>
      <c r="AG591" s="56"/>
      <c r="AH591" s="172"/>
      <c r="AI591" s="56"/>
      <c r="AJ591" s="56"/>
      <c r="AK591" s="56"/>
      <c r="AL591" s="56"/>
      <c r="AM591" s="56"/>
      <c r="AN591" s="56"/>
      <c r="AO591" s="172"/>
      <c r="AP591" s="56"/>
      <c r="AQ591" s="56"/>
      <c r="AR591" s="56"/>
      <c r="AS591" s="56"/>
      <c r="AT591" s="56"/>
      <c r="AU591" s="56"/>
      <c r="AV591" s="56"/>
      <c r="AW591" s="172"/>
      <c r="AX591" s="56"/>
      <c r="AY591" s="56"/>
      <c r="AZ591" s="56"/>
      <c r="BA591" s="172"/>
      <c r="BB591" s="56"/>
      <c r="BC591" s="10"/>
      <c r="BD591" s="56"/>
      <c r="BE591" s="56"/>
      <c r="BF591" s="56"/>
      <c r="BG591" s="56"/>
      <c r="BO591" s="145"/>
      <c r="CI591" s="145"/>
      <c r="CY591" s="145"/>
    </row>
    <row r="592" spans="1:103" s="97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65"/>
      <c r="M592" s="10"/>
      <c r="N592" s="56"/>
      <c r="O592" s="56"/>
      <c r="P592" s="162"/>
      <c r="Q592" s="178"/>
      <c r="R592" s="168"/>
      <c r="S592" s="56"/>
      <c r="T592" s="56"/>
      <c r="U592" s="56"/>
      <c r="V592" s="162"/>
      <c r="W592" s="178"/>
      <c r="X592" s="172"/>
      <c r="Y592" s="10"/>
      <c r="Z592" s="56"/>
      <c r="AA592" s="56"/>
      <c r="AB592" s="56"/>
      <c r="AC592" s="56"/>
      <c r="AD592" s="56"/>
      <c r="AE592" s="174"/>
      <c r="AF592" s="56"/>
      <c r="AG592" s="56"/>
      <c r="AH592" s="172"/>
      <c r="AI592" s="56"/>
      <c r="AJ592" s="56"/>
      <c r="AK592" s="56"/>
      <c r="AL592" s="56"/>
      <c r="AM592" s="56"/>
      <c r="AN592" s="56"/>
      <c r="AO592" s="172"/>
      <c r="AP592" s="56"/>
      <c r="AQ592" s="56"/>
      <c r="AR592" s="56"/>
      <c r="AS592" s="56"/>
      <c r="AT592" s="56"/>
      <c r="AU592" s="56"/>
      <c r="AV592" s="56"/>
      <c r="AW592" s="172"/>
      <c r="AX592" s="56"/>
      <c r="AY592" s="56"/>
      <c r="AZ592" s="56"/>
      <c r="BA592" s="172"/>
      <c r="BB592" s="56"/>
      <c r="BC592" s="10"/>
      <c r="BD592" s="56"/>
      <c r="BE592" s="56"/>
      <c r="BF592" s="56"/>
      <c r="BG592" s="56"/>
      <c r="BO592" s="145"/>
      <c r="CI592" s="145"/>
      <c r="CY592" s="145"/>
    </row>
    <row r="593" spans="1:103" s="97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65"/>
      <c r="M593" s="10"/>
      <c r="N593" s="56"/>
      <c r="O593" s="56"/>
      <c r="P593" s="162"/>
      <c r="Q593" s="178"/>
      <c r="R593" s="168"/>
      <c r="S593" s="56"/>
      <c r="T593" s="56"/>
      <c r="U593" s="56"/>
      <c r="V593" s="162"/>
      <c r="W593" s="178"/>
      <c r="X593" s="172"/>
      <c r="Y593" s="10"/>
      <c r="Z593" s="56"/>
      <c r="AA593" s="56"/>
      <c r="AB593" s="56"/>
      <c r="AC593" s="56"/>
      <c r="AD593" s="56"/>
      <c r="AE593" s="174"/>
      <c r="AF593" s="56"/>
      <c r="AG593" s="56"/>
      <c r="AH593" s="172"/>
      <c r="AI593" s="56"/>
      <c r="AJ593" s="56"/>
      <c r="AK593" s="56"/>
      <c r="AL593" s="56"/>
      <c r="AM593" s="56"/>
      <c r="AN593" s="56"/>
      <c r="AO593" s="172"/>
      <c r="AP593" s="56"/>
      <c r="AQ593" s="56"/>
      <c r="AR593" s="56"/>
      <c r="AS593" s="56"/>
      <c r="AT593" s="56"/>
      <c r="AU593" s="56"/>
      <c r="AV593" s="56"/>
      <c r="AW593" s="172"/>
      <c r="AX593" s="56"/>
      <c r="AY593" s="56"/>
      <c r="AZ593" s="56"/>
      <c r="BA593" s="172"/>
      <c r="BB593" s="56"/>
      <c r="BC593" s="10"/>
      <c r="BD593" s="56"/>
      <c r="BE593" s="56"/>
      <c r="BF593" s="56"/>
      <c r="BG593" s="56"/>
      <c r="BO593" s="145"/>
      <c r="CI593" s="145"/>
      <c r="CY593" s="145"/>
    </row>
    <row r="594" spans="1:103" s="97" customForma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65"/>
      <c r="M594" s="10"/>
      <c r="N594" s="56"/>
      <c r="O594" s="56"/>
      <c r="P594" s="162"/>
      <c r="Q594" s="178"/>
      <c r="R594" s="168"/>
      <c r="S594" s="56"/>
      <c r="T594" s="56"/>
      <c r="U594" s="56"/>
      <c r="V594" s="162"/>
      <c r="W594" s="178"/>
      <c r="X594" s="172"/>
      <c r="Y594" s="10"/>
      <c r="Z594" s="56"/>
      <c r="AA594" s="56"/>
      <c r="AB594" s="56"/>
      <c r="AC594" s="56"/>
      <c r="AD594" s="56"/>
      <c r="AE594" s="174"/>
      <c r="AF594" s="56"/>
      <c r="AG594" s="56"/>
      <c r="AH594" s="172"/>
      <c r="AI594" s="56"/>
      <c r="AJ594" s="56"/>
      <c r="AK594" s="56"/>
      <c r="AL594" s="56"/>
      <c r="AM594" s="56"/>
      <c r="AN594" s="56"/>
      <c r="AO594" s="172"/>
      <c r="AP594" s="56"/>
      <c r="AQ594" s="56"/>
      <c r="AR594" s="56"/>
      <c r="AS594" s="56"/>
      <c r="AT594" s="56"/>
      <c r="AU594" s="56"/>
      <c r="AV594" s="56"/>
      <c r="AW594" s="172"/>
      <c r="AX594" s="56"/>
      <c r="AY594" s="56"/>
      <c r="AZ594" s="56"/>
      <c r="BA594" s="172"/>
      <c r="BB594" s="56"/>
      <c r="BC594" s="10"/>
      <c r="BD594" s="56"/>
      <c r="BE594" s="56"/>
      <c r="BF594" s="56"/>
      <c r="BG594" s="56"/>
      <c r="BO594" s="145"/>
      <c r="CI594" s="145"/>
      <c r="CY594" s="145"/>
    </row>
    <row r="595" spans="1:103" s="97" customFormat="1" x14ac:dyDescent="0.15">
      <c r="A595" s="11"/>
      <c r="B595" s="13"/>
      <c r="C595" s="12"/>
      <c r="D595" s="13"/>
      <c r="E595" s="13"/>
      <c r="F595" s="12"/>
      <c r="G595" s="56"/>
      <c r="H595" s="56"/>
      <c r="I595" s="56"/>
      <c r="J595" s="56"/>
      <c r="K595" s="56"/>
      <c r="L595" s="165"/>
      <c r="M595" s="10"/>
      <c r="N595" s="56"/>
      <c r="O595" s="56"/>
      <c r="P595" s="162"/>
      <c r="Q595" s="178"/>
      <c r="R595" s="168"/>
      <c r="S595" s="56"/>
      <c r="T595" s="56"/>
      <c r="U595" s="56"/>
      <c r="V595" s="162"/>
      <c r="W595" s="178"/>
      <c r="X595" s="172"/>
      <c r="Y595" s="10"/>
      <c r="Z595" s="56"/>
      <c r="AA595" s="56"/>
      <c r="AB595" s="56"/>
      <c r="AC595" s="56"/>
      <c r="AD595" s="56"/>
      <c r="AE595" s="174"/>
      <c r="AF595" s="56"/>
      <c r="AG595" s="56"/>
      <c r="AH595" s="172"/>
      <c r="AI595" s="56"/>
      <c r="AJ595" s="56"/>
      <c r="AK595" s="56"/>
      <c r="AL595" s="56"/>
      <c r="AM595" s="56"/>
      <c r="AN595" s="56"/>
      <c r="AO595" s="172"/>
      <c r="AP595" s="56"/>
      <c r="AQ595" s="56"/>
      <c r="AR595" s="56"/>
      <c r="AS595" s="56"/>
      <c r="AT595" s="56"/>
      <c r="AU595" s="56"/>
      <c r="AV595" s="56"/>
      <c r="AW595" s="172"/>
      <c r="AX595" s="56"/>
      <c r="AY595" s="56"/>
      <c r="AZ595" s="56"/>
      <c r="BA595" s="172"/>
      <c r="BB595" s="56"/>
      <c r="BC595" s="10"/>
      <c r="BD595" s="56"/>
      <c r="BE595" s="56"/>
      <c r="BF595" s="56"/>
      <c r="BG595" s="56"/>
      <c r="BO595" s="145"/>
      <c r="CI595" s="145"/>
      <c r="CY595" s="145"/>
    </row>
    <row r="596" spans="1:103" s="97" customFormat="1" x14ac:dyDescent="0.15">
      <c r="A596" s="11"/>
      <c r="B596" s="13"/>
      <c r="C596" s="12"/>
      <c r="D596" s="13"/>
      <c r="E596" s="13"/>
      <c r="F596" s="12"/>
      <c r="G596" s="56"/>
      <c r="H596" s="56"/>
      <c r="I596" s="56"/>
      <c r="J596" s="56"/>
      <c r="K596" s="56"/>
      <c r="L596" s="165"/>
      <c r="M596" s="10"/>
      <c r="N596" s="56"/>
      <c r="O596" s="56"/>
      <c r="P596" s="162"/>
      <c r="Q596" s="178"/>
      <c r="R596" s="168"/>
      <c r="S596" s="56"/>
      <c r="T596" s="56"/>
      <c r="U596" s="56"/>
      <c r="V596" s="162"/>
      <c r="W596" s="178"/>
      <c r="X596" s="172"/>
      <c r="Y596" s="10"/>
      <c r="Z596" s="56"/>
      <c r="AA596" s="56"/>
      <c r="AB596" s="56"/>
      <c r="AC596" s="56"/>
      <c r="AD596" s="56"/>
      <c r="AE596" s="174"/>
      <c r="AF596" s="56"/>
      <c r="AG596" s="56"/>
      <c r="AH596" s="172"/>
      <c r="AI596" s="56"/>
      <c r="AJ596" s="56"/>
      <c r="AK596" s="56"/>
      <c r="AL596" s="56"/>
      <c r="AM596" s="56"/>
      <c r="AN596" s="56"/>
      <c r="AO596" s="172"/>
      <c r="AP596" s="56"/>
      <c r="AQ596" s="56"/>
      <c r="AR596" s="56"/>
      <c r="AS596" s="56"/>
      <c r="AT596" s="56"/>
      <c r="AU596" s="56"/>
      <c r="AV596" s="56"/>
      <c r="AW596" s="172"/>
      <c r="AX596" s="56"/>
      <c r="AY596" s="56"/>
      <c r="AZ596" s="56"/>
      <c r="BA596" s="172"/>
      <c r="BB596" s="56"/>
      <c r="BC596" s="10"/>
      <c r="BD596" s="56"/>
      <c r="BE596" s="56"/>
      <c r="BF596" s="56"/>
      <c r="BG596" s="56"/>
      <c r="BO596" s="145"/>
      <c r="CI596" s="145"/>
      <c r="CY596" s="145"/>
    </row>
    <row r="597" spans="1:103" s="97" customFormat="1" x14ac:dyDescent="0.15">
      <c r="A597" s="11"/>
      <c r="B597" s="13"/>
      <c r="C597" s="12"/>
      <c r="D597" s="13"/>
      <c r="E597" s="13"/>
      <c r="F597" s="12"/>
      <c r="G597" s="56"/>
      <c r="H597" s="56"/>
      <c r="I597" s="56"/>
      <c r="J597" s="56"/>
      <c r="K597" s="56"/>
      <c r="L597" s="165"/>
      <c r="M597" s="10"/>
      <c r="N597" s="56"/>
      <c r="O597" s="56"/>
      <c r="P597" s="162"/>
      <c r="Q597" s="178"/>
      <c r="R597" s="168"/>
      <c r="S597" s="56"/>
      <c r="T597" s="56"/>
      <c r="U597" s="56"/>
      <c r="V597" s="162"/>
      <c r="W597" s="178"/>
      <c r="X597" s="172"/>
      <c r="Y597" s="10"/>
      <c r="Z597" s="56"/>
      <c r="AA597" s="56"/>
      <c r="AB597" s="56"/>
      <c r="AC597" s="56"/>
      <c r="AD597" s="56"/>
      <c r="AE597" s="174"/>
      <c r="AF597" s="56"/>
      <c r="AG597" s="56"/>
      <c r="AH597" s="172"/>
      <c r="AI597" s="56"/>
      <c r="AJ597" s="56"/>
      <c r="AK597" s="56"/>
      <c r="AL597" s="56"/>
      <c r="AM597" s="56"/>
      <c r="AN597" s="56"/>
      <c r="AO597" s="172"/>
      <c r="AP597" s="56"/>
      <c r="AQ597" s="56"/>
      <c r="AR597" s="56"/>
      <c r="AS597" s="56"/>
      <c r="AT597" s="56"/>
      <c r="AU597" s="56"/>
      <c r="AV597" s="56"/>
      <c r="AW597" s="172"/>
      <c r="AX597" s="56"/>
      <c r="AY597" s="56"/>
      <c r="AZ597" s="56"/>
      <c r="BA597" s="172"/>
      <c r="BB597" s="56"/>
      <c r="BC597" s="10"/>
      <c r="BD597" s="56"/>
      <c r="BE597" s="56"/>
      <c r="BF597" s="56"/>
      <c r="BG597" s="56"/>
      <c r="BO597" s="145"/>
      <c r="CI597" s="145"/>
      <c r="CY597" s="145"/>
    </row>
    <row r="598" spans="1:103" s="97" customFormat="1" x14ac:dyDescent="0.15">
      <c r="A598" s="11"/>
      <c r="B598" s="13"/>
      <c r="C598" s="12"/>
      <c r="D598" s="13"/>
      <c r="E598" s="13"/>
      <c r="F598" s="12"/>
      <c r="G598" s="56"/>
      <c r="H598" s="56"/>
      <c r="I598" s="56"/>
      <c r="J598" s="56"/>
      <c r="K598" s="56"/>
      <c r="L598" s="165"/>
      <c r="M598" s="10"/>
      <c r="N598" s="56"/>
      <c r="O598" s="56"/>
      <c r="P598" s="162"/>
      <c r="Q598" s="178"/>
      <c r="R598" s="168"/>
      <c r="S598" s="56"/>
      <c r="T598" s="56"/>
      <c r="U598" s="56"/>
      <c r="V598" s="162"/>
      <c r="W598" s="178"/>
      <c r="X598" s="172"/>
      <c r="Y598" s="10"/>
      <c r="Z598" s="56"/>
      <c r="AA598" s="56"/>
      <c r="AB598" s="56"/>
      <c r="AC598" s="56"/>
      <c r="AD598" s="56"/>
      <c r="AE598" s="174"/>
      <c r="AF598" s="56"/>
      <c r="AG598" s="56"/>
      <c r="AH598" s="172"/>
      <c r="AI598" s="56"/>
      <c r="AJ598" s="56"/>
      <c r="AK598" s="56"/>
      <c r="AL598" s="56"/>
      <c r="AM598" s="56"/>
      <c r="AN598" s="56"/>
      <c r="AO598" s="172"/>
      <c r="AP598" s="56"/>
      <c r="AQ598" s="56"/>
      <c r="AR598" s="56"/>
      <c r="AS598" s="56"/>
      <c r="AT598" s="56"/>
      <c r="AU598" s="56"/>
      <c r="AV598" s="56"/>
      <c r="AW598" s="172"/>
      <c r="AX598" s="56"/>
      <c r="AY598" s="56"/>
      <c r="AZ598" s="56"/>
      <c r="BA598" s="172"/>
      <c r="BB598" s="56"/>
      <c r="BC598" s="10"/>
      <c r="BD598" s="56"/>
      <c r="BE598" s="56"/>
      <c r="BF598" s="56"/>
      <c r="BG598" s="56"/>
      <c r="BO598" s="145"/>
      <c r="CI598" s="145"/>
      <c r="CY598" s="145"/>
    </row>
    <row r="599" spans="1:103" s="97" customFormat="1" x14ac:dyDescent="0.15">
      <c r="A599" s="11"/>
      <c r="B599" s="13"/>
      <c r="C599" s="12"/>
      <c r="D599" s="13"/>
      <c r="E599" s="13"/>
      <c r="F599" s="12"/>
      <c r="G599" s="56"/>
      <c r="H599" s="56"/>
      <c r="I599" s="56"/>
      <c r="J599" s="56"/>
      <c r="K599" s="56"/>
      <c r="L599" s="165"/>
      <c r="M599" s="10"/>
      <c r="N599" s="56"/>
      <c r="O599" s="56"/>
      <c r="P599" s="162"/>
      <c r="Q599" s="178"/>
      <c r="R599" s="168"/>
      <c r="S599" s="56"/>
      <c r="T599" s="56"/>
      <c r="U599" s="56"/>
      <c r="V599" s="162"/>
      <c r="W599" s="178"/>
      <c r="X599" s="172"/>
      <c r="Y599" s="10"/>
      <c r="Z599" s="56"/>
      <c r="AA599" s="56"/>
      <c r="AB599" s="56"/>
      <c r="AC599" s="56"/>
      <c r="AD599" s="56"/>
      <c r="AE599" s="174"/>
      <c r="AF599" s="56"/>
      <c r="AG599" s="56"/>
      <c r="AH599" s="172"/>
      <c r="AI599" s="56"/>
      <c r="AJ599" s="56"/>
      <c r="AK599" s="56"/>
      <c r="AL599" s="56"/>
      <c r="AM599" s="56"/>
      <c r="AN599" s="56"/>
      <c r="AO599" s="172"/>
      <c r="AP599" s="56"/>
      <c r="AQ599" s="56"/>
      <c r="AR599" s="56"/>
      <c r="AS599" s="56"/>
      <c r="AT599" s="56"/>
      <c r="AU599" s="56"/>
      <c r="AV599" s="56"/>
      <c r="AW599" s="172"/>
      <c r="AX599" s="56"/>
      <c r="AY599" s="56"/>
      <c r="AZ599" s="56"/>
      <c r="BA599" s="172"/>
      <c r="BB599" s="56"/>
      <c r="BC599" s="10"/>
      <c r="BD599" s="56"/>
      <c r="BE599" s="56"/>
      <c r="BF599" s="56"/>
      <c r="BG599" s="56"/>
      <c r="BO599" s="145"/>
      <c r="CI599" s="145"/>
      <c r="CY599" s="145"/>
    </row>
    <row r="600" spans="1:103" s="97" customFormat="1" x14ac:dyDescent="0.15">
      <c r="A600" s="11"/>
      <c r="B600" s="13"/>
      <c r="C600" s="12"/>
      <c r="D600" s="13"/>
      <c r="E600" s="13"/>
      <c r="F600" s="12"/>
      <c r="G600" s="56"/>
      <c r="H600" s="56"/>
      <c r="I600" s="56"/>
      <c r="J600" s="56"/>
      <c r="K600" s="56"/>
      <c r="L600" s="165"/>
      <c r="M600" s="10"/>
      <c r="N600" s="56"/>
      <c r="O600" s="56"/>
      <c r="P600" s="162"/>
      <c r="Q600" s="178"/>
      <c r="R600" s="168"/>
      <c r="S600" s="56"/>
      <c r="T600" s="56"/>
      <c r="U600" s="56"/>
      <c r="V600" s="162"/>
      <c r="W600" s="178"/>
      <c r="X600" s="172"/>
      <c r="Y600" s="10"/>
      <c r="Z600" s="56"/>
      <c r="AA600" s="56"/>
      <c r="AB600" s="56"/>
      <c r="AC600" s="56"/>
      <c r="AD600" s="56"/>
      <c r="AE600" s="174"/>
      <c r="AF600" s="56"/>
      <c r="AG600" s="56"/>
      <c r="AH600" s="172"/>
      <c r="AI600" s="56"/>
      <c r="AJ600" s="56"/>
      <c r="AK600" s="56"/>
      <c r="AL600" s="56"/>
      <c r="AM600" s="56"/>
      <c r="AN600" s="56"/>
      <c r="AO600" s="172"/>
      <c r="AP600" s="56"/>
      <c r="AQ600" s="56"/>
      <c r="AR600" s="56"/>
      <c r="AS600" s="56"/>
      <c r="AT600" s="56"/>
      <c r="AU600" s="56"/>
      <c r="AV600" s="56"/>
      <c r="AW600" s="172"/>
      <c r="AX600" s="56"/>
      <c r="AY600" s="56"/>
      <c r="AZ600" s="56"/>
      <c r="BA600" s="172"/>
      <c r="BB600" s="56"/>
      <c r="BC600" s="10"/>
      <c r="BD600" s="56"/>
      <c r="BE600" s="56"/>
      <c r="BF600" s="56"/>
      <c r="BG600" s="56"/>
      <c r="BO600" s="145"/>
      <c r="CI600" s="145"/>
      <c r="CY600" s="145"/>
    </row>
    <row r="601" spans="1:103" s="97" customFormat="1" x14ac:dyDescent="0.15">
      <c r="A601" s="11"/>
      <c r="B601" s="13"/>
      <c r="C601" s="12"/>
      <c r="D601" s="13"/>
      <c r="E601" s="13"/>
      <c r="F601" s="12"/>
      <c r="G601" s="56"/>
      <c r="H601" s="56"/>
      <c r="I601" s="56"/>
      <c r="J601" s="56"/>
      <c r="K601" s="56"/>
      <c r="L601" s="165"/>
      <c r="M601" s="10"/>
      <c r="N601" s="56"/>
      <c r="O601" s="56"/>
      <c r="P601" s="162"/>
      <c r="Q601" s="178"/>
      <c r="R601" s="168"/>
      <c r="S601" s="56"/>
      <c r="T601" s="56"/>
      <c r="U601" s="56"/>
      <c r="V601" s="162"/>
      <c r="W601" s="178"/>
      <c r="X601" s="172"/>
      <c r="Y601" s="10"/>
      <c r="Z601" s="56"/>
      <c r="AA601" s="56"/>
      <c r="AB601" s="56"/>
      <c r="AC601" s="56"/>
      <c r="AD601" s="56"/>
      <c r="AE601" s="174"/>
      <c r="AF601" s="56"/>
      <c r="AG601" s="56"/>
      <c r="AH601" s="172"/>
      <c r="AI601" s="56"/>
      <c r="AJ601" s="56"/>
      <c r="AK601" s="56"/>
      <c r="AL601" s="56"/>
      <c r="AM601" s="56"/>
      <c r="AN601" s="56"/>
      <c r="AO601" s="172"/>
      <c r="AP601" s="56"/>
      <c r="AQ601" s="56"/>
      <c r="AR601" s="56"/>
      <c r="AS601" s="56"/>
      <c r="AT601" s="56"/>
      <c r="AU601" s="56"/>
      <c r="AV601" s="56"/>
      <c r="AW601" s="172"/>
      <c r="AX601" s="56"/>
      <c r="AY601" s="56"/>
      <c r="AZ601" s="56"/>
      <c r="BA601" s="172"/>
      <c r="BB601" s="56"/>
      <c r="BC601" s="10"/>
      <c r="BD601" s="56"/>
      <c r="BE601" s="56"/>
      <c r="BF601" s="56"/>
      <c r="BG601" s="56"/>
      <c r="BO601" s="145"/>
      <c r="CI601" s="145"/>
      <c r="CY601" s="145"/>
    </row>
    <row r="602" spans="1:103" s="97" customFormat="1" x14ac:dyDescent="0.15">
      <c r="A602" s="11"/>
      <c r="B602" s="13"/>
      <c r="C602" s="12"/>
      <c r="D602" s="13"/>
      <c r="E602" s="13"/>
      <c r="F602" s="12"/>
      <c r="G602" s="56"/>
      <c r="H602" s="56"/>
      <c r="I602" s="56"/>
      <c r="J602" s="56"/>
      <c r="K602" s="56"/>
      <c r="L602" s="165"/>
      <c r="M602" s="10"/>
      <c r="N602" s="56"/>
      <c r="O602" s="56"/>
      <c r="P602" s="162"/>
      <c r="Q602" s="178"/>
      <c r="R602" s="168"/>
      <c r="S602" s="56"/>
      <c r="T602" s="56"/>
      <c r="U602" s="56"/>
      <c r="V602" s="162"/>
      <c r="W602" s="178"/>
      <c r="X602" s="172"/>
      <c r="Y602" s="10"/>
      <c r="Z602" s="56"/>
      <c r="AA602" s="56"/>
      <c r="AB602" s="56"/>
      <c r="AC602" s="56"/>
      <c r="AD602" s="56"/>
      <c r="AE602" s="174"/>
      <c r="AF602" s="56"/>
      <c r="AG602" s="56"/>
      <c r="AH602" s="172"/>
      <c r="AI602" s="56"/>
      <c r="AJ602" s="56"/>
      <c r="AK602" s="56"/>
      <c r="AL602" s="56"/>
      <c r="AM602" s="56"/>
      <c r="AN602" s="56"/>
      <c r="AO602" s="172"/>
      <c r="AP602" s="56"/>
      <c r="AQ602" s="56"/>
      <c r="AR602" s="56"/>
      <c r="AS602" s="56"/>
      <c r="AT602" s="56"/>
      <c r="AU602" s="56"/>
      <c r="AV602" s="56"/>
      <c r="AW602" s="172"/>
      <c r="AX602" s="56"/>
      <c r="AY602" s="56"/>
      <c r="AZ602" s="56"/>
      <c r="BA602" s="172"/>
      <c r="BB602" s="56"/>
      <c r="BC602" s="10"/>
      <c r="BD602" s="56"/>
      <c r="BE602" s="56"/>
      <c r="BF602" s="56"/>
      <c r="BG602" s="56"/>
      <c r="BO602" s="145"/>
      <c r="CI602" s="145"/>
      <c r="CY602" s="145"/>
    </row>
    <row r="603" spans="1:103" s="97" customFormat="1" x14ac:dyDescent="0.15">
      <c r="A603" s="11"/>
      <c r="B603" s="13"/>
      <c r="C603" s="12"/>
      <c r="D603" s="13"/>
      <c r="E603" s="13"/>
      <c r="F603" s="12"/>
      <c r="G603" s="56"/>
      <c r="H603" s="56"/>
      <c r="I603" s="56"/>
      <c r="J603" s="56"/>
      <c r="K603" s="56"/>
      <c r="L603" s="165"/>
      <c r="M603" s="10"/>
      <c r="N603" s="56"/>
      <c r="O603" s="56"/>
      <c r="P603" s="162"/>
      <c r="Q603" s="178"/>
      <c r="R603" s="168"/>
      <c r="S603" s="56"/>
      <c r="T603" s="56"/>
      <c r="U603" s="56"/>
      <c r="V603" s="162"/>
      <c r="W603" s="178"/>
      <c r="X603" s="172"/>
      <c r="Y603" s="10"/>
      <c r="Z603" s="56"/>
      <c r="AA603" s="56"/>
      <c r="AB603" s="56"/>
      <c r="AC603" s="56"/>
      <c r="AD603" s="56"/>
      <c r="AE603" s="174"/>
      <c r="AF603" s="56"/>
      <c r="AG603" s="56"/>
      <c r="AH603" s="172"/>
      <c r="AI603" s="56"/>
      <c r="AJ603" s="56"/>
      <c r="AK603" s="56"/>
      <c r="AL603" s="56"/>
      <c r="AM603" s="56"/>
      <c r="AN603" s="56"/>
      <c r="AO603" s="172"/>
      <c r="AP603" s="56"/>
      <c r="AQ603" s="56"/>
      <c r="AR603" s="56"/>
      <c r="AS603" s="56"/>
      <c r="AT603" s="56"/>
      <c r="AU603" s="56"/>
      <c r="AV603" s="56"/>
      <c r="AW603" s="172"/>
      <c r="AX603" s="56"/>
      <c r="AY603" s="56"/>
      <c r="AZ603" s="56"/>
      <c r="BA603" s="172"/>
      <c r="BB603" s="56"/>
      <c r="BC603" s="10"/>
      <c r="BD603" s="56"/>
      <c r="BE603" s="56"/>
      <c r="BF603" s="56"/>
      <c r="BG603" s="56"/>
      <c r="BO603" s="145"/>
      <c r="CI603" s="145"/>
      <c r="CY603" s="145"/>
    </row>
    <row r="604" spans="1:103" s="97" customFormat="1" x14ac:dyDescent="0.15">
      <c r="A604" s="11"/>
      <c r="B604" s="13"/>
      <c r="C604" s="12"/>
      <c r="D604" s="13"/>
      <c r="E604" s="13"/>
      <c r="F604" s="12"/>
      <c r="G604" s="56"/>
      <c r="H604" s="56"/>
      <c r="I604" s="56"/>
      <c r="J604" s="56"/>
      <c r="K604" s="56"/>
      <c r="L604" s="165"/>
      <c r="M604" s="10"/>
      <c r="N604" s="56"/>
      <c r="O604" s="56"/>
      <c r="P604" s="162"/>
      <c r="Q604" s="178"/>
      <c r="R604" s="168"/>
      <c r="S604" s="56"/>
      <c r="T604" s="56"/>
      <c r="U604" s="56"/>
      <c r="V604" s="162"/>
      <c r="W604" s="178"/>
      <c r="X604" s="172"/>
      <c r="Y604" s="10"/>
      <c r="Z604" s="56"/>
      <c r="AA604" s="56"/>
      <c r="AB604" s="56"/>
      <c r="AC604" s="56"/>
      <c r="AD604" s="56"/>
      <c r="AE604" s="174"/>
      <c r="AF604" s="56"/>
      <c r="AG604" s="56"/>
      <c r="AH604" s="172"/>
      <c r="AI604" s="56"/>
      <c r="AJ604" s="56"/>
      <c r="AK604" s="56"/>
      <c r="AL604" s="56"/>
      <c r="AM604" s="56"/>
      <c r="AN604" s="56"/>
      <c r="AO604" s="172"/>
      <c r="AP604" s="56"/>
      <c r="AQ604" s="56"/>
      <c r="AR604" s="56"/>
      <c r="AS604" s="56"/>
      <c r="AT604" s="56"/>
      <c r="AU604" s="56"/>
      <c r="AV604" s="56"/>
      <c r="AW604" s="172"/>
      <c r="AX604" s="56"/>
      <c r="AY604" s="56"/>
      <c r="AZ604" s="56"/>
      <c r="BA604" s="172"/>
      <c r="BB604" s="56"/>
      <c r="BC604" s="10"/>
      <c r="BD604" s="56"/>
      <c r="BE604" s="56"/>
      <c r="BF604" s="56"/>
      <c r="BG604" s="56"/>
      <c r="BO604" s="145"/>
      <c r="CI604" s="145"/>
      <c r="CY604" s="145"/>
    </row>
    <row r="605" spans="1:103" s="97" customFormat="1" x14ac:dyDescent="0.15">
      <c r="A605" s="11"/>
      <c r="B605" s="13"/>
      <c r="C605" s="12"/>
      <c r="D605" s="13"/>
      <c r="E605" s="13"/>
      <c r="F605" s="12"/>
      <c r="G605" s="56"/>
      <c r="H605" s="56"/>
      <c r="I605" s="56"/>
      <c r="J605" s="56"/>
      <c r="K605" s="56"/>
      <c r="L605" s="165"/>
      <c r="M605" s="10"/>
      <c r="N605" s="56"/>
      <c r="O605" s="56"/>
      <c r="P605" s="162"/>
      <c r="Q605" s="178"/>
      <c r="R605" s="168"/>
      <c r="S605" s="56"/>
      <c r="T605" s="56"/>
      <c r="U605" s="56"/>
      <c r="V605" s="162"/>
      <c r="W605" s="178"/>
      <c r="X605" s="172"/>
      <c r="Y605" s="10"/>
      <c r="Z605" s="56"/>
      <c r="AA605" s="56"/>
      <c r="AB605" s="56"/>
      <c r="AC605" s="56"/>
      <c r="AD605" s="56"/>
      <c r="AE605" s="174"/>
      <c r="AF605" s="56"/>
      <c r="AG605" s="56"/>
      <c r="AH605" s="172"/>
      <c r="AI605" s="56"/>
      <c r="AJ605" s="56"/>
      <c r="AK605" s="56"/>
      <c r="AL605" s="56"/>
      <c r="AM605" s="56"/>
      <c r="AN605" s="56"/>
      <c r="AO605" s="172"/>
      <c r="AP605" s="56"/>
      <c r="AQ605" s="56"/>
      <c r="AR605" s="56"/>
      <c r="AS605" s="56"/>
      <c r="AT605" s="56"/>
      <c r="AU605" s="56"/>
      <c r="AV605" s="56"/>
      <c r="AW605" s="172"/>
      <c r="AX605" s="56"/>
      <c r="AY605" s="56"/>
      <c r="AZ605" s="56"/>
      <c r="BA605" s="172"/>
      <c r="BB605" s="56"/>
      <c r="BC605" s="10"/>
      <c r="BD605" s="56"/>
      <c r="BE605" s="56"/>
      <c r="BF605" s="56"/>
      <c r="BG605" s="56"/>
      <c r="BO605" s="145"/>
      <c r="CI605" s="145"/>
      <c r="CY605" s="145"/>
    </row>
    <row r="606" spans="1:103" s="97" customFormat="1" x14ac:dyDescent="0.15">
      <c r="A606" s="11"/>
      <c r="B606" s="13"/>
      <c r="C606" s="12"/>
      <c r="D606" s="13"/>
      <c r="E606" s="13"/>
      <c r="F606" s="12"/>
      <c r="G606" s="56"/>
      <c r="H606" s="56"/>
      <c r="I606" s="56"/>
      <c r="J606" s="56"/>
      <c r="K606" s="56"/>
      <c r="L606" s="165"/>
      <c r="M606" s="10"/>
      <c r="N606" s="56"/>
      <c r="O606" s="56"/>
      <c r="P606" s="162"/>
      <c r="Q606" s="178"/>
      <c r="R606" s="168"/>
      <c r="S606" s="56"/>
      <c r="T606" s="56"/>
      <c r="U606" s="56"/>
      <c r="V606" s="162"/>
      <c r="W606" s="178"/>
      <c r="X606" s="172"/>
      <c r="Y606" s="10"/>
      <c r="Z606" s="56"/>
      <c r="AA606" s="56"/>
      <c r="AB606" s="56"/>
      <c r="AC606" s="56"/>
      <c r="AD606" s="56"/>
      <c r="AE606" s="174"/>
      <c r="AF606" s="56"/>
      <c r="AG606" s="56"/>
      <c r="AH606" s="172"/>
      <c r="AI606" s="56"/>
      <c r="AJ606" s="56"/>
      <c r="AK606" s="56"/>
      <c r="AL606" s="56"/>
      <c r="AM606" s="56"/>
      <c r="AN606" s="56"/>
      <c r="AO606" s="172"/>
      <c r="AP606" s="56"/>
      <c r="AQ606" s="56"/>
      <c r="AR606" s="56"/>
      <c r="AS606" s="56"/>
      <c r="AT606" s="56"/>
      <c r="AU606" s="56"/>
      <c r="AV606" s="56"/>
      <c r="AW606" s="172"/>
      <c r="AX606" s="56"/>
      <c r="AY606" s="56"/>
      <c r="AZ606" s="56"/>
      <c r="BA606" s="172"/>
      <c r="BB606" s="56"/>
      <c r="BC606" s="10"/>
      <c r="BD606" s="56"/>
      <c r="BE606" s="56"/>
      <c r="BF606" s="56"/>
      <c r="BG606" s="56"/>
      <c r="BO606" s="145"/>
      <c r="CI606" s="145"/>
      <c r="CY606" s="145"/>
    </row>
    <row r="607" spans="1:103" s="97" customFormat="1" x14ac:dyDescent="0.15">
      <c r="A607" s="11"/>
      <c r="B607" s="13"/>
      <c r="C607" s="12"/>
      <c r="D607" s="13"/>
      <c r="E607" s="13"/>
      <c r="F607" s="12"/>
      <c r="G607" s="56"/>
      <c r="H607" s="56"/>
      <c r="I607" s="56"/>
      <c r="J607" s="56"/>
      <c r="K607" s="56"/>
      <c r="L607" s="165"/>
      <c r="M607" s="10"/>
      <c r="N607" s="56"/>
      <c r="O607" s="56"/>
      <c r="P607" s="162"/>
      <c r="Q607" s="178"/>
      <c r="R607" s="168"/>
      <c r="S607" s="56"/>
      <c r="T607" s="56"/>
      <c r="U607" s="56"/>
      <c r="V607" s="162"/>
      <c r="W607" s="178"/>
      <c r="X607" s="172"/>
      <c r="Y607" s="10"/>
      <c r="Z607" s="56"/>
      <c r="AA607" s="56"/>
      <c r="AB607" s="56"/>
      <c r="AC607" s="56"/>
      <c r="AD607" s="56"/>
      <c r="AE607" s="174"/>
      <c r="AF607" s="56"/>
      <c r="AG607" s="56"/>
      <c r="AH607" s="172"/>
      <c r="AI607" s="56"/>
      <c r="AJ607" s="56"/>
      <c r="AK607" s="56"/>
      <c r="AL607" s="56"/>
      <c r="AM607" s="56"/>
      <c r="AN607" s="56"/>
      <c r="AO607" s="172"/>
      <c r="AP607" s="56"/>
      <c r="AQ607" s="56"/>
      <c r="AR607" s="56"/>
      <c r="AS607" s="56"/>
      <c r="AT607" s="56"/>
      <c r="AU607" s="56"/>
      <c r="AV607" s="56"/>
      <c r="AW607" s="172"/>
      <c r="AX607" s="56"/>
      <c r="AY607" s="56"/>
      <c r="AZ607" s="56"/>
      <c r="BA607" s="172"/>
      <c r="BB607" s="56"/>
      <c r="BC607" s="10"/>
      <c r="BD607" s="56"/>
      <c r="BE607" s="56"/>
      <c r="BF607" s="56"/>
      <c r="BG607" s="56"/>
      <c r="BO607" s="145"/>
      <c r="CI607" s="145"/>
      <c r="CY607" s="145"/>
    </row>
    <row r="608" spans="1:103" s="97" customFormat="1" x14ac:dyDescent="0.15">
      <c r="A608" s="11"/>
      <c r="B608" s="13"/>
      <c r="C608" s="12"/>
      <c r="D608" s="13"/>
      <c r="E608" s="13"/>
      <c r="F608" s="12"/>
      <c r="G608" s="56"/>
      <c r="H608" s="56"/>
      <c r="I608" s="56"/>
      <c r="J608" s="56"/>
      <c r="K608" s="56"/>
      <c r="L608" s="165"/>
      <c r="M608" s="10"/>
      <c r="N608" s="56"/>
      <c r="O608" s="56"/>
      <c r="P608" s="162"/>
      <c r="Q608" s="178"/>
      <c r="R608" s="168"/>
      <c r="S608" s="56"/>
      <c r="T608" s="56"/>
      <c r="U608" s="56"/>
      <c r="V608" s="162"/>
      <c r="W608" s="178"/>
      <c r="X608" s="172"/>
      <c r="Y608" s="10"/>
      <c r="Z608" s="56"/>
      <c r="AA608" s="56"/>
      <c r="AB608" s="56"/>
      <c r="AC608" s="56"/>
      <c r="AD608" s="56"/>
      <c r="AE608" s="174"/>
      <c r="AF608" s="56"/>
      <c r="AG608" s="56"/>
      <c r="AH608" s="172"/>
      <c r="AI608" s="56"/>
      <c r="AJ608" s="56"/>
      <c r="AK608" s="56"/>
      <c r="AL608" s="56"/>
      <c r="AM608" s="56"/>
      <c r="AN608" s="56"/>
      <c r="AO608" s="172"/>
      <c r="AP608" s="56"/>
      <c r="AQ608" s="56"/>
      <c r="AR608" s="56"/>
      <c r="AS608" s="56"/>
      <c r="AT608" s="56"/>
      <c r="AU608" s="56"/>
      <c r="AV608" s="56"/>
      <c r="AW608" s="172"/>
      <c r="AX608" s="56"/>
      <c r="AY608" s="56"/>
      <c r="AZ608" s="56"/>
      <c r="BA608" s="172"/>
      <c r="BB608" s="56"/>
      <c r="BC608" s="10"/>
      <c r="BD608" s="56"/>
      <c r="BE608" s="56"/>
      <c r="BF608" s="56"/>
      <c r="BG608" s="56"/>
      <c r="BO608" s="145"/>
      <c r="CI608" s="145"/>
      <c r="CY608" s="145"/>
    </row>
    <row r="609" spans="1:103" s="97" customFormat="1" x14ac:dyDescent="0.15">
      <c r="A609" s="11"/>
      <c r="B609" s="13"/>
      <c r="C609" s="12"/>
      <c r="D609" s="13"/>
      <c r="E609" s="13"/>
      <c r="F609" s="12"/>
      <c r="G609" s="56"/>
      <c r="H609" s="56"/>
      <c r="I609" s="56"/>
      <c r="J609" s="56"/>
      <c r="K609" s="56"/>
      <c r="L609" s="165"/>
      <c r="M609" s="10"/>
      <c r="N609" s="56"/>
      <c r="O609" s="56"/>
      <c r="P609" s="162"/>
      <c r="Q609" s="178"/>
      <c r="R609" s="168"/>
      <c r="S609" s="56"/>
      <c r="T609" s="56"/>
      <c r="U609" s="56"/>
      <c r="V609" s="162"/>
      <c r="W609" s="178"/>
      <c r="X609" s="172"/>
      <c r="Y609" s="10"/>
      <c r="Z609" s="56"/>
      <c r="AA609" s="56"/>
      <c r="AB609" s="56"/>
      <c r="AC609" s="56"/>
      <c r="AD609" s="56"/>
      <c r="AE609" s="174"/>
      <c r="AF609" s="56"/>
      <c r="AG609" s="56"/>
      <c r="AH609" s="172"/>
      <c r="AI609" s="56"/>
      <c r="AJ609" s="56"/>
      <c r="AK609" s="56"/>
      <c r="AL609" s="56"/>
      <c r="AM609" s="56"/>
      <c r="AN609" s="56"/>
      <c r="AO609" s="172"/>
      <c r="AP609" s="56"/>
      <c r="AQ609" s="56"/>
      <c r="AR609" s="56"/>
      <c r="AS609" s="56"/>
      <c r="AT609" s="56"/>
      <c r="AU609" s="56"/>
      <c r="AV609" s="56"/>
      <c r="AW609" s="172"/>
      <c r="AX609" s="56"/>
      <c r="AY609" s="56"/>
      <c r="AZ609" s="56"/>
      <c r="BA609" s="172"/>
      <c r="BB609" s="56"/>
      <c r="BC609" s="10"/>
      <c r="BD609" s="56"/>
      <c r="BE609" s="56"/>
      <c r="BF609" s="56"/>
      <c r="BG609" s="56"/>
      <c r="BO609" s="145"/>
      <c r="CI609" s="145"/>
      <c r="CY609" s="145"/>
    </row>
    <row r="610" spans="1:103" s="97" customFormat="1" x14ac:dyDescent="0.15">
      <c r="A610" s="11"/>
      <c r="B610" s="13"/>
      <c r="C610" s="12"/>
      <c r="D610" s="13"/>
      <c r="E610" s="13"/>
      <c r="F610" s="12"/>
      <c r="G610" s="56"/>
      <c r="H610" s="56"/>
      <c r="I610" s="56"/>
      <c r="J610" s="56"/>
      <c r="K610" s="56"/>
      <c r="L610" s="165"/>
      <c r="M610" s="10"/>
      <c r="N610" s="56"/>
      <c r="O610" s="56"/>
      <c r="P610" s="162"/>
      <c r="Q610" s="178"/>
      <c r="R610" s="168"/>
      <c r="S610" s="56"/>
      <c r="T610" s="56"/>
      <c r="U610" s="56"/>
      <c r="V610" s="162"/>
      <c r="W610" s="178"/>
      <c r="X610" s="172"/>
      <c r="Y610" s="10"/>
      <c r="Z610" s="56"/>
      <c r="AA610" s="56"/>
      <c r="AB610" s="56"/>
      <c r="AC610" s="56"/>
      <c r="AD610" s="56"/>
      <c r="AE610" s="174"/>
      <c r="AF610" s="56"/>
      <c r="AG610" s="56"/>
      <c r="AH610" s="172"/>
      <c r="AI610" s="56"/>
      <c r="AJ610" s="56"/>
      <c r="AK610" s="56"/>
      <c r="AL610" s="56"/>
      <c r="AM610" s="56"/>
      <c r="AN610" s="56"/>
      <c r="AO610" s="172"/>
      <c r="AP610" s="56"/>
      <c r="AQ610" s="56"/>
      <c r="AR610" s="56"/>
      <c r="AS610" s="56"/>
      <c r="AT610" s="56"/>
      <c r="AU610" s="56"/>
      <c r="AV610" s="56"/>
      <c r="AW610" s="172"/>
      <c r="AX610" s="56"/>
      <c r="AY610" s="56"/>
      <c r="AZ610" s="56"/>
      <c r="BA610" s="172"/>
      <c r="BB610" s="56"/>
      <c r="BC610" s="10"/>
      <c r="BD610" s="56"/>
      <c r="BE610" s="56"/>
      <c r="BF610" s="56"/>
      <c r="BG610" s="56"/>
      <c r="BO610" s="145"/>
      <c r="CI610" s="145"/>
      <c r="CY610" s="145"/>
    </row>
    <row r="611" spans="1:103" s="97" customFormat="1" x14ac:dyDescent="0.15">
      <c r="A611" s="11"/>
      <c r="B611" s="13"/>
      <c r="C611" s="12"/>
      <c r="D611" s="13"/>
      <c r="E611" s="13"/>
      <c r="F611" s="12"/>
      <c r="G611" s="56"/>
      <c r="H611" s="56"/>
      <c r="I611" s="56"/>
      <c r="J611" s="56"/>
      <c r="K611" s="56"/>
      <c r="L611" s="165"/>
      <c r="M611" s="10"/>
      <c r="N611" s="56"/>
      <c r="O611" s="56"/>
      <c r="P611" s="162"/>
      <c r="Q611" s="178"/>
      <c r="R611" s="168"/>
      <c r="S611" s="56"/>
      <c r="T611" s="56"/>
      <c r="U611" s="56"/>
      <c r="V611" s="162"/>
      <c r="W611" s="178"/>
      <c r="X611" s="172"/>
      <c r="Y611" s="10"/>
      <c r="Z611" s="56"/>
      <c r="AA611" s="56"/>
      <c r="AB611" s="56"/>
      <c r="AC611" s="56"/>
      <c r="AD611" s="56"/>
      <c r="AE611" s="174"/>
      <c r="AF611" s="56"/>
      <c r="AG611" s="56"/>
      <c r="AH611" s="172"/>
      <c r="AI611" s="56"/>
      <c r="AJ611" s="56"/>
      <c r="AK611" s="56"/>
      <c r="AL611" s="56"/>
      <c r="AM611" s="56"/>
      <c r="AN611" s="56"/>
      <c r="AO611" s="172"/>
      <c r="AP611" s="56"/>
      <c r="AQ611" s="56"/>
      <c r="AR611" s="56"/>
      <c r="AS611" s="56"/>
      <c r="AT611" s="56"/>
      <c r="AU611" s="56"/>
      <c r="AV611" s="56"/>
      <c r="AW611" s="172"/>
      <c r="AX611" s="56"/>
      <c r="AY611" s="56"/>
      <c r="AZ611" s="56"/>
      <c r="BA611" s="172"/>
      <c r="BB611" s="56"/>
      <c r="BC611" s="10"/>
      <c r="BD611" s="56"/>
      <c r="BE611" s="56"/>
      <c r="BF611" s="56"/>
      <c r="BG611" s="56"/>
      <c r="BO611" s="145"/>
      <c r="CI611" s="145"/>
      <c r="CY611" s="145"/>
    </row>
    <row r="612" spans="1:103" s="97" customFormat="1" x14ac:dyDescent="0.15">
      <c r="A612" s="11"/>
      <c r="B612" s="13"/>
      <c r="C612" s="12"/>
      <c r="D612" s="13"/>
      <c r="E612" s="13"/>
      <c r="F612" s="12"/>
      <c r="G612" s="56"/>
      <c r="H612" s="56"/>
      <c r="I612" s="56"/>
      <c r="J612" s="56"/>
      <c r="K612" s="56"/>
      <c r="L612" s="165"/>
      <c r="M612" s="10"/>
      <c r="N612" s="56"/>
      <c r="O612" s="56"/>
      <c r="P612" s="162"/>
      <c r="Q612" s="178"/>
      <c r="R612" s="168"/>
      <c r="S612" s="56"/>
      <c r="T612" s="56"/>
      <c r="U612" s="56"/>
      <c r="V612" s="162"/>
      <c r="W612" s="178"/>
      <c r="X612" s="172"/>
      <c r="Y612" s="10"/>
      <c r="Z612" s="56"/>
      <c r="AA612" s="56"/>
      <c r="AB612" s="56"/>
      <c r="AC612" s="56"/>
      <c r="AD612" s="56"/>
      <c r="AE612" s="174"/>
      <c r="AF612" s="56"/>
      <c r="AG612" s="56"/>
      <c r="AH612" s="172"/>
      <c r="AI612" s="56"/>
      <c r="AJ612" s="56"/>
      <c r="AK612" s="56"/>
      <c r="AL612" s="56"/>
      <c r="AM612" s="56"/>
      <c r="AN612" s="56"/>
      <c r="AO612" s="172"/>
      <c r="AP612" s="56"/>
      <c r="AQ612" s="56"/>
      <c r="AR612" s="56"/>
      <c r="AS612" s="56"/>
      <c r="AT612" s="56"/>
      <c r="AU612" s="56"/>
      <c r="AV612" s="56"/>
      <c r="AW612" s="172"/>
      <c r="AX612" s="56"/>
      <c r="AY612" s="56"/>
      <c r="AZ612" s="56"/>
      <c r="BA612" s="172"/>
      <c r="BB612" s="56"/>
      <c r="BC612" s="10"/>
      <c r="BD612" s="56"/>
      <c r="BE612" s="56"/>
      <c r="BF612" s="56"/>
      <c r="BG612" s="56"/>
      <c r="BO612" s="145"/>
      <c r="CI612" s="145"/>
      <c r="CY612" s="145"/>
    </row>
    <row r="613" spans="1:103" s="97" customFormat="1" x14ac:dyDescent="0.15">
      <c r="A613" s="11"/>
      <c r="B613" s="13"/>
      <c r="C613" s="12"/>
      <c r="D613" s="13"/>
      <c r="E613" s="13"/>
      <c r="F613" s="12"/>
      <c r="G613" s="56"/>
      <c r="H613" s="56"/>
      <c r="I613" s="56"/>
      <c r="J613" s="56"/>
      <c r="K613" s="56"/>
      <c r="L613" s="165"/>
      <c r="M613" s="10"/>
      <c r="N613" s="56"/>
      <c r="O613" s="56"/>
      <c r="P613" s="162"/>
      <c r="Q613" s="178"/>
      <c r="R613" s="168"/>
      <c r="S613" s="56"/>
      <c r="T613" s="56"/>
      <c r="U613" s="56"/>
      <c r="V613" s="162"/>
      <c r="W613" s="178"/>
      <c r="X613" s="172"/>
      <c r="Y613" s="10"/>
      <c r="Z613" s="56"/>
      <c r="AA613" s="56"/>
      <c r="AB613" s="56"/>
      <c r="AC613" s="56"/>
      <c r="AD613" s="56"/>
      <c r="AE613" s="174"/>
      <c r="AF613" s="56"/>
      <c r="AG613" s="56"/>
      <c r="AH613" s="172"/>
      <c r="AI613" s="56"/>
      <c r="AJ613" s="56"/>
      <c r="AK613" s="56"/>
      <c r="AL613" s="56"/>
      <c r="AM613" s="56"/>
      <c r="AN613" s="56"/>
      <c r="AO613" s="172"/>
      <c r="AP613" s="56"/>
      <c r="AQ613" s="56"/>
      <c r="AR613" s="56"/>
      <c r="AS613" s="56"/>
      <c r="AT613" s="56"/>
      <c r="AU613" s="56"/>
      <c r="AV613" s="56"/>
      <c r="AW613" s="172"/>
      <c r="AX613" s="56"/>
      <c r="AY613" s="56"/>
      <c r="AZ613" s="56"/>
      <c r="BA613" s="172"/>
      <c r="BB613" s="56"/>
      <c r="BC613" s="10"/>
      <c r="BD613" s="56"/>
      <c r="BE613" s="56"/>
      <c r="BF613" s="56"/>
      <c r="BG613" s="56"/>
      <c r="BO613" s="145"/>
      <c r="CI613" s="145"/>
      <c r="CY613" s="145"/>
    </row>
    <row r="614" spans="1:103" s="97" customFormat="1" ht="19.5" customHeight="1" x14ac:dyDescent="0.15">
      <c r="A614" s="11"/>
      <c r="B614" s="13"/>
      <c r="C614" s="12"/>
      <c r="D614" s="13"/>
      <c r="E614" s="13"/>
      <c r="F614" s="12"/>
      <c r="G614" s="56"/>
      <c r="H614" s="56"/>
      <c r="I614" s="56"/>
      <c r="J614" s="56"/>
      <c r="K614" s="56"/>
      <c r="L614" s="165"/>
      <c r="M614" s="10"/>
      <c r="N614" s="56"/>
      <c r="O614" s="56"/>
      <c r="P614" s="162"/>
      <c r="Q614" s="178"/>
      <c r="R614" s="168"/>
      <c r="S614" s="56"/>
      <c r="T614" s="56"/>
      <c r="U614" s="56"/>
      <c r="V614" s="162"/>
      <c r="W614" s="178"/>
      <c r="X614" s="172"/>
      <c r="Y614" s="10"/>
      <c r="Z614" s="56"/>
      <c r="AA614" s="56"/>
      <c r="AB614" s="56"/>
      <c r="AC614" s="56"/>
      <c r="AD614" s="56"/>
      <c r="AE614" s="174"/>
      <c r="AF614" s="56"/>
      <c r="AG614" s="56"/>
      <c r="AH614" s="172"/>
      <c r="AI614" s="56"/>
      <c r="AJ614" s="56"/>
      <c r="AK614" s="56"/>
      <c r="AL614" s="56"/>
      <c r="AM614" s="56"/>
      <c r="AN614" s="56"/>
      <c r="AO614" s="172"/>
      <c r="AP614" s="56"/>
      <c r="AQ614" s="56"/>
      <c r="AR614" s="56"/>
      <c r="AS614" s="56"/>
      <c r="AT614" s="56"/>
      <c r="AU614" s="56"/>
      <c r="AV614" s="56"/>
      <c r="AW614" s="172"/>
      <c r="AX614" s="56"/>
      <c r="AY614" s="56"/>
      <c r="AZ614" s="56"/>
      <c r="BA614" s="172"/>
      <c r="BB614" s="56"/>
      <c r="BC614" s="10"/>
      <c r="BD614" s="56"/>
      <c r="BE614" s="56"/>
      <c r="BF614" s="56"/>
      <c r="BG614" s="56"/>
      <c r="BO614" s="145"/>
      <c r="CI614" s="145"/>
      <c r="CY614" s="145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workbookViewId="0">
      <selection activeCell="I21" sqref="I21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6" customWidth="1"/>
    <col min="4" max="4" width="3.875" style="10" customWidth="1"/>
    <col min="5" max="5" width="2.875" style="10" bestFit="1" customWidth="1"/>
    <col min="6" max="6" width="3.125" style="106" customWidth="1"/>
    <col min="7" max="7" width="28.125" style="10" customWidth="1"/>
    <col min="8" max="8" width="63.125" style="10" customWidth="1"/>
    <col min="9" max="13" width="18" style="56" customWidth="1"/>
    <col min="14" max="14" width="18" style="11" customWidth="1"/>
    <col min="15" max="15" width="11.375" style="100" customWidth="1"/>
    <col min="16" max="16" width="11.875" style="102" customWidth="1"/>
    <col min="17" max="17" width="13.75" style="100" customWidth="1"/>
    <col min="18" max="19" width="13.75" style="105" customWidth="1"/>
    <col min="20" max="20" width="69.125" style="100" customWidth="1"/>
    <col min="21" max="21" width="13.75" style="105" customWidth="1"/>
    <col min="22" max="22" width="9.875" style="102" customWidth="1"/>
    <col min="23" max="23" width="10.75" style="102" customWidth="1"/>
    <col min="24" max="24" width="12.625" style="102" customWidth="1"/>
    <col min="25" max="16384" width="9" style="102"/>
  </cols>
  <sheetData>
    <row r="1" spans="1:24" x14ac:dyDescent="0.15">
      <c r="A1" s="11" t="s">
        <v>569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9"/>
      <c r="P1" s="11"/>
      <c r="R1" s="11"/>
      <c r="S1" s="11"/>
      <c r="T1" s="99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577</v>
      </c>
      <c r="I3" s="56" t="s">
        <v>588</v>
      </c>
      <c r="J3" s="56" t="s">
        <v>589</v>
      </c>
      <c r="K3" s="56" t="s">
        <v>590</v>
      </c>
      <c r="L3" s="56" t="s">
        <v>595</v>
      </c>
      <c r="M3" s="56" t="s">
        <v>610</v>
      </c>
    </row>
    <row r="4" spans="1:24" s="103" customFormat="1" ht="64.5" customHeight="1" thickBot="1" x14ac:dyDescent="0.2">
      <c r="A4" s="98" t="s">
        <v>572</v>
      </c>
      <c r="B4" s="91" t="s">
        <v>684</v>
      </c>
      <c r="C4" s="107"/>
      <c r="D4" s="91"/>
      <c r="E4" s="91"/>
      <c r="F4" s="107"/>
      <c r="G4" s="94" t="s">
        <v>579</v>
      </c>
      <c r="H4" s="94" t="s">
        <v>583</v>
      </c>
      <c r="I4" s="93" t="s">
        <v>674</v>
      </c>
      <c r="J4" s="93" t="s">
        <v>675</v>
      </c>
      <c r="K4" s="93" t="s">
        <v>676</v>
      </c>
      <c r="L4" s="93" t="s">
        <v>593</v>
      </c>
      <c r="M4" s="93" t="s">
        <v>681</v>
      </c>
      <c r="N4" s="98"/>
      <c r="O4" s="104"/>
      <c r="Q4" s="104"/>
      <c r="T4" s="104"/>
    </row>
    <row r="5" spans="1:24" x14ac:dyDescent="0.15">
      <c r="A5" s="11">
        <f>B5*10000000+C5*1000000+D5*10000+E5*100+F5</f>
        <v>30010000</v>
      </c>
      <c r="B5" s="17">
        <v>3</v>
      </c>
      <c r="C5" s="108">
        <v>0</v>
      </c>
      <c r="D5" s="17">
        <v>1</v>
      </c>
      <c r="E5" s="17">
        <v>0</v>
      </c>
      <c r="F5" s="108">
        <v>0</v>
      </c>
      <c r="G5" s="10" t="s">
        <v>580</v>
      </c>
      <c r="H5" s="11" t="s">
        <v>581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6">
        <v>0</v>
      </c>
      <c r="D6" s="10">
        <v>2</v>
      </c>
      <c r="E6" s="10">
        <v>0</v>
      </c>
      <c r="F6" s="106">
        <v>0</v>
      </c>
      <c r="G6" s="10" t="s">
        <v>587</v>
      </c>
      <c r="H6" s="11" t="s">
        <v>1137</v>
      </c>
      <c r="I6" s="56">
        <v>10000000</v>
      </c>
      <c r="J6" s="56">
        <v>60</v>
      </c>
      <c r="O6" s="101"/>
    </row>
    <row r="7" spans="1:24" x14ac:dyDescent="0.15">
      <c r="A7" s="11">
        <f t="shared" si="0"/>
        <v>30030000</v>
      </c>
      <c r="B7" s="10">
        <v>3</v>
      </c>
      <c r="C7" s="106">
        <v>0</v>
      </c>
      <c r="D7" s="10">
        <v>3</v>
      </c>
      <c r="E7" s="10">
        <v>0</v>
      </c>
      <c r="F7" s="106">
        <v>0</v>
      </c>
      <c r="G7" s="10" t="s">
        <v>584</v>
      </c>
      <c r="H7" s="11" t="s">
        <v>594</v>
      </c>
      <c r="I7" s="56">
        <v>1000</v>
      </c>
      <c r="J7" s="56">
        <v>50</v>
      </c>
      <c r="K7" s="56">
        <v>70</v>
      </c>
      <c r="O7" s="101"/>
    </row>
    <row r="8" spans="1:24" x14ac:dyDescent="0.15">
      <c r="A8" s="11">
        <f t="shared" si="0"/>
        <v>30040000</v>
      </c>
      <c r="B8" s="10">
        <v>3</v>
      </c>
      <c r="C8" s="106">
        <v>0</v>
      </c>
      <c r="D8" s="10">
        <v>4</v>
      </c>
      <c r="E8" s="10">
        <v>0</v>
      </c>
      <c r="F8" s="106">
        <v>0</v>
      </c>
      <c r="G8" s="10" t="s">
        <v>582</v>
      </c>
      <c r="H8" s="11" t="s">
        <v>586</v>
      </c>
    </row>
    <row r="9" spans="1:24" x14ac:dyDescent="0.15">
      <c r="A9" s="11">
        <f t="shared" si="0"/>
        <v>30050000</v>
      </c>
      <c r="B9" s="10">
        <v>3</v>
      </c>
      <c r="C9" s="106">
        <v>0</v>
      </c>
      <c r="D9" s="10">
        <v>5</v>
      </c>
      <c r="E9" s="10">
        <v>0</v>
      </c>
      <c r="F9" s="106">
        <v>0</v>
      </c>
      <c r="G9" s="10" t="s">
        <v>585</v>
      </c>
      <c r="H9" s="11" t="s">
        <v>678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6">
        <v>0</v>
      </c>
      <c r="D10" s="10">
        <v>6</v>
      </c>
      <c r="E10" s="10">
        <v>0</v>
      </c>
      <c r="F10" s="106">
        <v>0</v>
      </c>
      <c r="G10" s="10" t="s">
        <v>689</v>
      </c>
      <c r="H10" s="11" t="s">
        <v>656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6">
        <v>0</v>
      </c>
      <c r="D11" s="10">
        <v>7</v>
      </c>
      <c r="E11" s="10">
        <v>0</v>
      </c>
      <c r="F11" s="106">
        <v>0</v>
      </c>
      <c r="G11" s="10" t="s">
        <v>672</v>
      </c>
      <c r="H11" s="10" t="s">
        <v>677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6">
        <v>0</v>
      </c>
      <c r="D12" s="10">
        <v>8</v>
      </c>
      <c r="E12" s="10">
        <v>0</v>
      </c>
      <c r="F12" s="106">
        <v>0</v>
      </c>
      <c r="G12" s="10" t="s">
        <v>673</v>
      </c>
      <c r="H12" s="10" t="s">
        <v>677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6">
        <v>0</v>
      </c>
      <c r="D13" s="10">
        <v>9</v>
      </c>
      <c r="E13" s="10">
        <v>0</v>
      </c>
      <c r="F13" s="106">
        <v>0</v>
      </c>
      <c r="G13" s="10" t="s">
        <v>680</v>
      </c>
      <c r="H13" s="10" t="s">
        <v>682</v>
      </c>
      <c r="L13" s="56">
        <v>300</v>
      </c>
    </row>
    <row r="14" spans="1:24" s="105" customFormat="1" x14ac:dyDescent="0.15">
      <c r="A14" s="11">
        <f t="shared" si="0"/>
        <v>30100000</v>
      </c>
      <c r="B14" s="10">
        <v>3</v>
      </c>
      <c r="C14" s="106">
        <v>0</v>
      </c>
      <c r="D14" s="10">
        <v>10</v>
      </c>
      <c r="E14" s="10">
        <v>0</v>
      </c>
      <c r="F14" s="106">
        <v>0</v>
      </c>
      <c r="G14" s="10" t="s">
        <v>686</v>
      </c>
      <c r="H14" s="10" t="s">
        <v>687</v>
      </c>
      <c r="I14" s="56"/>
      <c r="J14" s="56"/>
      <c r="K14" s="56"/>
      <c r="L14" s="56">
        <v>20</v>
      </c>
      <c r="M14" s="56"/>
      <c r="N14" s="11"/>
      <c r="O14" s="100"/>
      <c r="Q14" s="100"/>
      <c r="T14" s="100"/>
    </row>
    <row r="15" spans="1:24" s="105" customFormat="1" x14ac:dyDescent="0.15">
      <c r="A15" s="11">
        <f t="shared" si="0"/>
        <v>30110000</v>
      </c>
      <c r="B15" s="10">
        <v>3</v>
      </c>
      <c r="C15" s="106">
        <v>0</v>
      </c>
      <c r="D15" s="10">
        <v>11</v>
      </c>
      <c r="E15" s="10">
        <v>0</v>
      </c>
      <c r="F15" s="106">
        <v>0</v>
      </c>
      <c r="G15" s="10" t="s">
        <v>691</v>
      </c>
      <c r="H15" s="10" t="s">
        <v>685</v>
      </c>
      <c r="I15" s="56"/>
      <c r="J15" s="56"/>
      <c r="K15" s="56"/>
      <c r="L15" s="56"/>
      <c r="M15" s="56">
        <v>15</v>
      </c>
      <c r="N15" s="11"/>
      <c r="O15" s="100"/>
      <c r="Q15" s="100"/>
      <c r="T15" s="100"/>
    </row>
    <row r="16" spans="1:24" s="105" customFormat="1" x14ac:dyDescent="0.15">
      <c r="A16" s="11">
        <f t="shared" si="0"/>
        <v>30120000</v>
      </c>
      <c r="B16" s="10">
        <v>3</v>
      </c>
      <c r="C16" s="106">
        <v>0</v>
      </c>
      <c r="D16" s="10">
        <v>12</v>
      </c>
      <c r="E16" s="10">
        <v>0</v>
      </c>
      <c r="F16" s="106">
        <v>0</v>
      </c>
      <c r="G16" s="10" t="s">
        <v>692</v>
      </c>
      <c r="H16" s="10" t="s">
        <v>690</v>
      </c>
      <c r="I16" s="56"/>
      <c r="J16" s="56"/>
      <c r="K16" s="56"/>
      <c r="L16" s="56">
        <v>5</v>
      </c>
      <c r="M16" s="56"/>
      <c r="N16" s="11"/>
      <c r="O16" s="100"/>
      <c r="Q16" s="100"/>
      <c r="T16" s="100"/>
    </row>
    <row r="17" spans="1:20" s="105" customFormat="1" x14ac:dyDescent="0.15">
      <c r="A17" s="11">
        <f t="shared" si="0"/>
        <v>30130000</v>
      </c>
      <c r="B17" s="10">
        <v>3</v>
      </c>
      <c r="C17" s="106">
        <v>0</v>
      </c>
      <c r="D17" s="10">
        <v>13</v>
      </c>
      <c r="E17" s="10">
        <v>0</v>
      </c>
      <c r="F17" s="106">
        <v>0</v>
      </c>
      <c r="G17" s="10" t="s">
        <v>693</v>
      </c>
      <c r="H17" s="10" t="s">
        <v>694</v>
      </c>
      <c r="I17" s="56"/>
      <c r="J17" s="56"/>
      <c r="K17" s="56"/>
      <c r="L17" s="56">
        <v>2</v>
      </c>
      <c r="M17" s="56"/>
      <c r="N17" s="11"/>
      <c r="O17" s="100"/>
      <c r="Q17" s="100"/>
      <c r="T17" s="100"/>
    </row>
    <row r="18" spans="1:20" s="105" customFormat="1" x14ac:dyDescent="0.15">
      <c r="A18" s="11">
        <f t="shared" si="0"/>
        <v>30140000</v>
      </c>
      <c r="B18" s="10">
        <v>3</v>
      </c>
      <c r="C18" s="106">
        <v>0</v>
      </c>
      <c r="D18" s="10">
        <v>14</v>
      </c>
      <c r="E18" s="10">
        <v>0</v>
      </c>
      <c r="F18" s="106">
        <v>0</v>
      </c>
      <c r="G18" s="10" t="s">
        <v>886</v>
      </c>
      <c r="H18" s="10" t="s">
        <v>887</v>
      </c>
      <c r="I18" s="56">
        <v>5</v>
      </c>
      <c r="J18" s="56"/>
      <c r="K18" s="56"/>
      <c r="L18" s="56"/>
      <c r="M18" s="56"/>
      <c r="N18" s="11"/>
      <c r="O18" s="100"/>
      <c r="Q18" s="100"/>
      <c r="T18" s="100"/>
    </row>
    <row r="19" spans="1:20" s="161" customFormat="1" x14ac:dyDescent="0.15">
      <c r="A19" s="159">
        <f t="shared" ref="A19" si="1">B19*10000000+C19*1000000+D19*10000+E19*100+F19</f>
        <v>30150000</v>
      </c>
      <c r="B19" s="159">
        <v>3</v>
      </c>
      <c r="C19" s="159">
        <v>0</v>
      </c>
      <c r="D19" s="159">
        <v>15</v>
      </c>
      <c r="E19" s="159">
        <v>0</v>
      </c>
      <c r="F19" s="159">
        <v>0</v>
      </c>
      <c r="G19" s="159" t="s">
        <v>1117</v>
      </c>
      <c r="H19" s="159" t="s">
        <v>1097</v>
      </c>
      <c r="I19" s="159"/>
      <c r="J19" s="159"/>
      <c r="K19" s="159"/>
      <c r="L19" s="159">
        <v>20</v>
      </c>
      <c r="M19" s="159"/>
      <c r="N19" s="159"/>
      <c r="O19" s="160"/>
      <c r="Q19" s="160"/>
      <c r="T19" s="160"/>
    </row>
    <row r="20" spans="1:20" s="105" customFormat="1" x14ac:dyDescent="0.15">
      <c r="A20" s="11"/>
      <c r="B20" s="10"/>
      <c r="C20" s="106"/>
      <c r="D20" s="10"/>
      <c r="E20" s="10"/>
      <c r="F20" s="106"/>
      <c r="G20" s="10"/>
      <c r="H20" s="10"/>
      <c r="I20" s="56"/>
      <c r="J20" s="56"/>
      <c r="K20" s="56"/>
      <c r="L20" s="56"/>
      <c r="M20" s="56"/>
      <c r="N20" s="11"/>
      <c r="O20" s="100"/>
      <c r="Q20" s="100"/>
      <c r="T20" s="100"/>
    </row>
    <row r="21" spans="1:20" s="105" customFormat="1" x14ac:dyDescent="0.15">
      <c r="A21" s="11"/>
      <c r="B21" s="10"/>
      <c r="C21" s="106"/>
      <c r="D21" s="10"/>
      <c r="E21" s="10"/>
      <c r="F21" s="106"/>
      <c r="G21" s="10"/>
      <c r="H21" s="10"/>
      <c r="I21" s="56"/>
      <c r="J21" s="56"/>
      <c r="K21" s="56"/>
      <c r="L21" s="56"/>
      <c r="M21" s="56"/>
      <c r="N21" s="11"/>
      <c r="O21" s="100"/>
      <c r="Q21" s="100"/>
      <c r="T21" s="100"/>
    </row>
    <row r="22" spans="1:20" s="105" customFormat="1" x14ac:dyDescent="0.15">
      <c r="A22" s="11"/>
      <c r="B22" s="10"/>
      <c r="C22" s="106"/>
      <c r="D22" s="10"/>
      <c r="E22" s="10"/>
      <c r="F22" s="106"/>
      <c r="G22" s="10"/>
      <c r="H22" s="10"/>
      <c r="I22" s="56"/>
      <c r="J22" s="56"/>
      <c r="K22" s="56"/>
      <c r="L22" s="56"/>
      <c r="M22" s="56"/>
      <c r="N22" s="11"/>
      <c r="O22" s="100"/>
      <c r="Q22" s="100"/>
      <c r="T22" s="100"/>
    </row>
    <row r="23" spans="1:20" s="105" customFormat="1" x14ac:dyDescent="0.15">
      <c r="A23" s="11"/>
      <c r="B23" s="10"/>
      <c r="C23" s="106"/>
      <c r="D23" s="10"/>
      <c r="E23" s="10"/>
      <c r="F23" s="106"/>
      <c r="G23" s="10"/>
      <c r="H23" s="10"/>
      <c r="I23" s="56"/>
      <c r="J23" s="56"/>
      <c r="K23" s="56"/>
      <c r="L23" s="56"/>
      <c r="M23" s="56"/>
      <c r="N23" s="11"/>
      <c r="O23" s="100"/>
      <c r="Q23" s="100"/>
      <c r="T23" s="100"/>
    </row>
    <row r="24" spans="1:20" s="105" customFormat="1" x14ac:dyDescent="0.15">
      <c r="A24" s="11"/>
      <c r="B24" s="10"/>
      <c r="C24" s="106"/>
      <c r="D24" s="10"/>
      <c r="E24" s="10"/>
      <c r="F24" s="106"/>
      <c r="G24" s="10"/>
      <c r="H24" s="10"/>
      <c r="I24" s="56"/>
      <c r="J24" s="56"/>
      <c r="K24" s="56"/>
      <c r="L24" s="56"/>
      <c r="M24" s="56"/>
      <c r="N24" s="11"/>
      <c r="O24" s="100"/>
      <c r="Q24" s="100"/>
      <c r="T24" s="100"/>
    </row>
    <row r="25" spans="1:20" s="105" customFormat="1" x14ac:dyDescent="0.15">
      <c r="A25" s="11"/>
      <c r="B25" s="10"/>
      <c r="C25" s="106"/>
      <c r="D25" s="10"/>
      <c r="E25" s="10"/>
      <c r="F25" s="106"/>
      <c r="G25" s="10"/>
      <c r="H25" s="10"/>
      <c r="I25" s="56"/>
      <c r="J25" s="56"/>
      <c r="K25" s="56"/>
      <c r="L25" s="56"/>
      <c r="M25" s="56"/>
      <c r="N25" s="11"/>
      <c r="O25" s="100"/>
      <c r="Q25" s="100"/>
      <c r="T25" s="100"/>
    </row>
    <row r="26" spans="1:20" s="105" customFormat="1" x14ac:dyDescent="0.15">
      <c r="A26" s="11"/>
      <c r="B26" s="10"/>
      <c r="C26" s="106"/>
      <c r="D26" s="10"/>
      <c r="E26" s="10"/>
      <c r="F26" s="106"/>
      <c r="G26" s="10"/>
      <c r="H26" s="10"/>
      <c r="I26" s="56"/>
      <c r="J26" s="56"/>
      <c r="K26" s="56"/>
      <c r="L26" s="56"/>
      <c r="M26" s="56"/>
      <c r="N26" s="11"/>
      <c r="O26" s="100"/>
      <c r="Q26" s="100"/>
      <c r="T26" s="100"/>
    </row>
    <row r="27" spans="1:20" s="105" customFormat="1" x14ac:dyDescent="0.15">
      <c r="A27" s="11"/>
      <c r="B27" s="10"/>
      <c r="C27" s="106"/>
      <c r="D27" s="10"/>
      <c r="E27" s="10"/>
      <c r="F27" s="106"/>
      <c r="G27" s="10"/>
      <c r="H27" s="10"/>
      <c r="I27" s="56"/>
      <c r="J27" s="56"/>
      <c r="K27" s="56"/>
      <c r="L27" s="56"/>
      <c r="M27" s="56"/>
      <c r="N27" s="11"/>
      <c r="O27" s="100"/>
      <c r="Q27" s="100"/>
      <c r="T27" s="100"/>
    </row>
    <row r="28" spans="1:20" s="105" customFormat="1" x14ac:dyDescent="0.15">
      <c r="A28" s="11"/>
      <c r="B28" s="10"/>
      <c r="C28" s="106"/>
      <c r="D28" s="10"/>
      <c r="E28" s="10"/>
      <c r="F28" s="106"/>
      <c r="G28" s="10"/>
      <c r="H28" s="10"/>
      <c r="I28" s="56"/>
      <c r="J28" s="56"/>
      <c r="K28" s="56"/>
      <c r="L28" s="56"/>
      <c r="M28" s="56"/>
      <c r="N28" s="11"/>
      <c r="O28" s="100"/>
      <c r="Q28" s="100"/>
      <c r="T28" s="100"/>
    </row>
    <row r="29" spans="1:20" s="105" customFormat="1" x14ac:dyDescent="0.15">
      <c r="A29" s="11"/>
      <c r="B29" s="10"/>
      <c r="C29" s="106"/>
      <c r="D29" s="10"/>
      <c r="E29" s="10"/>
      <c r="F29" s="106"/>
      <c r="G29" s="10"/>
      <c r="H29" s="10"/>
      <c r="I29" s="56"/>
      <c r="J29" s="56"/>
      <c r="K29" s="56"/>
      <c r="L29" s="56"/>
      <c r="M29" s="56"/>
      <c r="N29" s="11"/>
      <c r="O29" s="100"/>
      <c r="Q29" s="100"/>
      <c r="T29" s="100"/>
    </row>
    <row r="30" spans="1:20" s="105" customFormat="1" x14ac:dyDescent="0.15">
      <c r="A30" s="11"/>
      <c r="B30" s="10"/>
      <c r="C30" s="106"/>
      <c r="D30" s="10"/>
      <c r="E30" s="10"/>
      <c r="F30" s="106"/>
      <c r="G30" s="10"/>
      <c r="H30" s="10"/>
      <c r="I30" s="56"/>
      <c r="J30" s="56"/>
      <c r="K30" s="56"/>
      <c r="L30" s="56"/>
      <c r="M30" s="56"/>
      <c r="N30" s="11"/>
      <c r="O30" s="100"/>
      <c r="Q30" s="100"/>
      <c r="T30" s="100"/>
    </row>
    <row r="31" spans="1:20" s="105" customFormat="1" x14ac:dyDescent="0.15">
      <c r="A31" s="11"/>
      <c r="B31" s="10"/>
      <c r="C31" s="106"/>
      <c r="D31" s="10"/>
      <c r="E31" s="10"/>
      <c r="F31" s="106"/>
      <c r="G31" s="10"/>
      <c r="H31" s="10"/>
      <c r="I31" s="56"/>
      <c r="J31" s="56"/>
      <c r="K31" s="56"/>
      <c r="L31" s="56"/>
      <c r="M31" s="56"/>
      <c r="N31" s="11"/>
      <c r="O31" s="100"/>
      <c r="Q31" s="100"/>
      <c r="T31" s="100"/>
    </row>
    <row r="32" spans="1:20" s="105" customFormat="1" x14ac:dyDescent="0.15">
      <c r="A32" s="11"/>
      <c r="B32" s="10"/>
      <c r="C32" s="106"/>
      <c r="D32" s="10"/>
      <c r="E32" s="10"/>
      <c r="F32" s="106"/>
      <c r="G32" s="10"/>
      <c r="H32" s="10"/>
      <c r="I32" s="56"/>
      <c r="J32" s="56"/>
      <c r="K32" s="56"/>
      <c r="L32" s="56"/>
      <c r="M32" s="56"/>
      <c r="N32" s="11"/>
      <c r="O32" s="100"/>
      <c r="Q32" s="100"/>
      <c r="T32" s="100"/>
    </row>
    <row r="33" spans="1:20" s="105" customFormat="1" x14ac:dyDescent="0.15">
      <c r="A33" s="11"/>
      <c r="B33" s="10"/>
      <c r="C33" s="106"/>
      <c r="D33" s="10"/>
      <c r="E33" s="10"/>
      <c r="F33" s="106"/>
      <c r="G33" s="10"/>
      <c r="H33" s="10"/>
      <c r="I33" s="56"/>
      <c r="J33" s="56"/>
      <c r="K33" s="56"/>
      <c r="L33" s="56"/>
      <c r="M33" s="56"/>
      <c r="N33" s="11"/>
      <c r="O33" s="100"/>
      <c r="Q33" s="100"/>
      <c r="T33" s="100"/>
    </row>
    <row r="34" spans="1:20" s="105" customFormat="1" x14ac:dyDescent="0.15">
      <c r="A34" s="11"/>
      <c r="B34" s="10"/>
      <c r="C34" s="106"/>
      <c r="D34" s="10"/>
      <c r="E34" s="10"/>
      <c r="F34" s="106"/>
      <c r="G34" s="10"/>
      <c r="H34" s="10"/>
      <c r="I34" s="56"/>
      <c r="J34" s="56"/>
      <c r="K34" s="56"/>
      <c r="L34" s="56"/>
      <c r="M34" s="56"/>
      <c r="N34" s="11"/>
      <c r="O34" s="100"/>
      <c r="Q34" s="100"/>
      <c r="T34" s="100"/>
    </row>
    <row r="35" spans="1:20" s="105" customFormat="1" x14ac:dyDescent="0.15">
      <c r="A35" s="11"/>
      <c r="B35" s="10"/>
      <c r="C35" s="106"/>
      <c r="D35" s="10"/>
      <c r="E35" s="10"/>
      <c r="F35" s="106"/>
      <c r="G35" s="10"/>
      <c r="H35" s="10"/>
      <c r="I35" s="56"/>
      <c r="J35" s="56"/>
      <c r="K35" s="56"/>
      <c r="L35" s="56"/>
      <c r="M35" s="56"/>
      <c r="N35" s="11"/>
      <c r="O35" s="100"/>
      <c r="Q35" s="100"/>
      <c r="T35" s="100"/>
    </row>
    <row r="36" spans="1:20" s="105" customFormat="1" x14ac:dyDescent="0.15">
      <c r="A36" s="11"/>
      <c r="B36" s="10"/>
      <c r="C36" s="106"/>
      <c r="D36" s="10"/>
      <c r="E36" s="10"/>
      <c r="F36" s="106"/>
      <c r="G36" s="10"/>
      <c r="H36" s="10"/>
      <c r="I36" s="56"/>
      <c r="J36" s="56"/>
      <c r="K36" s="56"/>
      <c r="L36" s="56"/>
      <c r="M36" s="56"/>
      <c r="N36" s="11"/>
      <c r="O36" s="100"/>
      <c r="Q36" s="100"/>
      <c r="T36" s="100"/>
    </row>
    <row r="37" spans="1:20" s="105" customFormat="1" x14ac:dyDescent="0.15">
      <c r="A37" s="11"/>
      <c r="B37" s="10"/>
      <c r="C37" s="106"/>
      <c r="D37" s="10"/>
      <c r="E37" s="10"/>
      <c r="F37" s="106"/>
      <c r="G37" s="10"/>
      <c r="H37" s="10"/>
      <c r="I37" s="56"/>
      <c r="J37" s="56"/>
      <c r="K37" s="56"/>
      <c r="L37" s="56"/>
      <c r="M37" s="56"/>
      <c r="N37" s="11"/>
      <c r="O37" s="100"/>
      <c r="Q37" s="100"/>
      <c r="T37" s="100"/>
    </row>
    <row r="38" spans="1:20" s="105" customFormat="1" x14ac:dyDescent="0.15">
      <c r="A38" s="11"/>
      <c r="B38" s="10"/>
      <c r="C38" s="106"/>
      <c r="D38" s="10"/>
      <c r="E38" s="10"/>
      <c r="F38" s="106"/>
      <c r="G38" s="10"/>
      <c r="H38" s="10"/>
      <c r="I38" s="56"/>
      <c r="J38" s="56"/>
      <c r="K38" s="56"/>
      <c r="L38" s="56"/>
      <c r="M38" s="56"/>
      <c r="N38" s="11"/>
      <c r="O38" s="100"/>
      <c r="Q38" s="100"/>
      <c r="T38" s="100"/>
    </row>
    <row r="39" spans="1:20" s="105" customFormat="1" x14ac:dyDescent="0.15">
      <c r="A39" s="11"/>
      <c r="B39" s="10"/>
      <c r="C39" s="106"/>
      <c r="D39" s="10"/>
      <c r="E39" s="10"/>
      <c r="F39" s="106"/>
      <c r="G39" s="10"/>
      <c r="H39" s="10"/>
      <c r="I39" s="56"/>
      <c r="J39" s="56"/>
      <c r="K39" s="56"/>
      <c r="L39" s="56"/>
      <c r="M39" s="56"/>
      <c r="N39" s="11"/>
      <c r="O39" s="100"/>
      <c r="Q39" s="100"/>
      <c r="T39" s="100"/>
    </row>
    <row r="40" spans="1:20" s="105" customFormat="1" x14ac:dyDescent="0.15">
      <c r="A40" s="11"/>
      <c r="B40" s="10"/>
      <c r="C40" s="106"/>
      <c r="D40" s="10"/>
      <c r="E40" s="10"/>
      <c r="F40" s="106"/>
      <c r="G40" s="10"/>
      <c r="H40" s="10"/>
      <c r="I40" s="56"/>
      <c r="J40" s="56"/>
      <c r="K40" s="56"/>
      <c r="L40" s="56"/>
      <c r="M40" s="56"/>
      <c r="N40" s="11"/>
      <c r="O40" s="100"/>
      <c r="Q40" s="100"/>
      <c r="T40" s="100"/>
    </row>
    <row r="41" spans="1:20" s="105" customFormat="1" x14ac:dyDescent="0.15">
      <c r="A41" s="11"/>
      <c r="B41" s="10"/>
      <c r="C41" s="106"/>
      <c r="D41" s="10"/>
      <c r="E41" s="10"/>
      <c r="F41" s="106"/>
      <c r="G41" s="10"/>
      <c r="H41" s="10"/>
      <c r="I41" s="56"/>
      <c r="J41" s="56"/>
      <c r="K41" s="56"/>
      <c r="L41" s="56"/>
      <c r="M41" s="56"/>
      <c r="N41" s="11"/>
      <c r="O41" s="100"/>
      <c r="Q41" s="100"/>
      <c r="T41" s="100"/>
    </row>
    <row r="42" spans="1:20" s="105" customFormat="1" x14ac:dyDescent="0.15">
      <c r="A42" s="11"/>
      <c r="B42" s="10"/>
      <c r="C42" s="106"/>
      <c r="D42" s="10"/>
      <c r="E42" s="10"/>
      <c r="F42" s="106"/>
      <c r="G42" s="10"/>
      <c r="H42" s="10"/>
      <c r="I42" s="56"/>
      <c r="J42" s="56"/>
      <c r="K42" s="56"/>
      <c r="L42" s="56"/>
      <c r="M42" s="56"/>
      <c r="N42" s="11"/>
      <c r="O42" s="100"/>
      <c r="Q42" s="100"/>
      <c r="T42" s="100"/>
    </row>
    <row r="43" spans="1:20" s="105" customFormat="1" x14ac:dyDescent="0.15">
      <c r="A43" s="11"/>
      <c r="B43" s="10"/>
      <c r="C43" s="106"/>
      <c r="D43" s="10"/>
      <c r="E43" s="10"/>
      <c r="F43" s="106"/>
      <c r="G43" s="10"/>
      <c r="H43" s="10"/>
      <c r="I43" s="56"/>
      <c r="J43" s="56"/>
      <c r="K43" s="56"/>
      <c r="L43" s="56"/>
      <c r="M43" s="56"/>
      <c r="N43" s="11"/>
      <c r="O43" s="100"/>
      <c r="Q43" s="100"/>
      <c r="T43" s="100"/>
    </row>
    <row r="44" spans="1:20" s="105" customFormat="1" x14ac:dyDescent="0.15">
      <c r="A44" s="11"/>
      <c r="B44" s="10"/>
      <c r="C44" s="106"/>
      <c r="D44" s="10"/>
      <c r="E44" s="10"/>
      <c r="F44" s="106"/>
      <c r="G44" s="10"/>
      <c r="H44" s="10"/>
      <c r="I44" s="56"/>
      <c r="J44" s="56"/>
      <c r="K44" s="56"/>
      <c r="L44" s="56"/>
      <c r="M44" s="56"/>
      <c r="N44" s="11"/>
      <c r="O44" s="100"/>
      <c r="Q44" s="100"/>
      <c r="T44" s="100"/>
    </row>
    <row r="45" spans="1:20" s="105" customFormat="1" x14ac:dyDescent="0.15">
      <c r="A45" s="11"/>
      <c r="B45" s="10"/>
      <c r="C45" s="106"/>
      <c r="D45" s="10"/>
      <c r="E45" s="10"/>
      <c r="F45" s="106"/>
      <c r="G45" s="10"/>
      <c r="H45" s="10"/>
      <c r="I45" s="56"/>
      <c r="J45" s="56"/>
      <c r="K45" s="56"/>
      <c r="L45" s="56"/>
      <c r="M45" s="56"/>
      <c r="N45" s="11"/>
      <c r="O45" s="100"/>
      <c r="Q45" s="100"/>
      <c r="T45" s="100"/>
    </row>
    <row r="46" spans="1:20" s="105" customFormat="1" x14ac:dyDescent="0.15">
      <c r="A46" s="11"/>
      <c r="B46" s="10"/>
      <c r="C46" s="106"/>
      <c r="D46" s="10"/>
      <c r="E46" s="10"/>
      <c r="F46" s="106"/>
      <c r="G46" s="10"/>
      <c r="H46" s="10"/>
      <c r="I46" s="56"/>
      <c r="J46" s="56"/>
      <c r="K46" s="56"/>
      <c r="L46" s="56"/>
      <c r="M46" s="56"/>
      <c r="N46" s="11"/>
      <c r="O46" s="100"/>
      <c r="Q46" s="100"/>
      <c r="T46" s="100"/>
    </row>
    <row r="47" spans="1:20" s="105" customFormat="1" x14ac:dyDescent="0.15">
      <c r="A47" s="11"/>
      <c r="B47" s="10"/>
      <c r="C47" s="106"/>
      <c r="D47" s="10"/>
      <c r="E47" s="10"/>
      <c r="F47" s="106"/>
      <c r="G47" s="10"/>
      <c r="H47" s="10"/>
      <c r="I47" s="56"/>
      <c r="J47" s="56"/>
      <c r="K47" s="56"/>
      <c r="L47" s="56"/>
      <c r="M47" s="56"/>
      <c r="N47" s="11"/>
      <c r="O47" s="100"/>
      <c r="Q47" s="100"/>
      <c r="T47" s="100"/>
    </row>
    <row r="48" spans="1:20" s="105" customFormat="1" x14ac:dyDescent="0.15">
      <c r="A48" s="11"/>
      <c r="B48" s="10"/>
      <c r="C48" s="106"/>
      <c r="D48" s="10"/>
      <c r="E48" s="10"/>
      <c r="F48" s="106"/>
      <c r="G48" s="10"/>
      <c r="H48" s="10"/>
      <c r="I48" s="56"/>
      <c r="J48" s="56"/>
      <c r="K48" s="56"/>
      <c r="L48" s="56"/>
      <c r="M48" s="56"/>
      <c r="N48" s="11"/>
      <c r="O48" s="100"/>
      <c r="Q48" s="100"/>
      <c r="T48" s="100"/>
    </row>
    <row r="49" spans="1:20" s="105" customFormat="1" x14ac:dyDescent="0.15">
      <c r="A49" s="11"/>
      <c r="B49" s="10"/>
      <c r="C49" s="106"/>
      <c r="D49" s="10"/>
      <c r="E49" s="10"/>
      <c r="F49" s="106"/>
      <c r="G49" s="10"/>
      <c r="H49" s="10"/>
      <c r="I49" s="56"/>
      <c r="J49" s="56"/>
      <c r="K49" s="56"/>
      <c r="L49" s="56"/>
      <c r="M49" s="56"/>
      <c r="N49" s="11"/>
      <c r="O49" s="100"/>
      <c r="Q49" s="100"/>
      <c r="T49" s="100"/>
    </row>
    <row r="50" spans="1:20" s="105" customFormat="1" x14ac:dyDescent="0.15">
      <c r="A50" s="11"/>
      <c r="B50" s="10"/>
      <c r="C50" s="106"/>
      <c r="D50" s="10"/>
      <c r="E50" s="10"/>
      <c r="F50" s="106"/>
      <c r="G50" s="10"/>
      <c r="H50" s="10"/>
      <c r="I50" s="56"/>
      <c r="J50" s="56"/>
      <c r="K50" s="56"/>
      <c r="L50" s="56"/>
      <c r="M50" s="56"/>
      <c r="N50" s="11"/>
      <c r="O50" s="100"/>
      <c r="Q50" s="100"/>
      <c r="T50" s="100"/>
    </row>
    <row r="51" spans="1:20" s="105" customFormat="1" x14ac:dyDescent="0.15">
      <c r="A51" s="11"/>
      <c r="B51" s="10"/>
      <c r="C51" s="106"/>
      <c r="D51" s="10"/>
      <c r="E51" s="10"/>
      <c r="F51" s="106"/>
      <c r="G51" s="10"/>
      <c r="H51" s="10"/>
      <c r="I51" s="56"/>
      <c r="J51" s="56"/>
      <c r="K51" s="56"/>
      <c r="L51" s="56"/>
      <c r="M51" s="56"/>
      <c r="N51" s="11"/>
      <c r="O51" s="100"/>
      <c r="Q51" s="100"/>
      <c r="T51" s="100"/>
    </row>
    <row r="52" spans="1:20" s="105" customFormat="1" x14ac:dyDescent="0.15">
      <c r="A52" s="11"/>
      <c r="B52" s="10"/>
      <c r="C52" s="106"/>
      <c r="D52" s="10"/>
      <c r="E52" s="10"/>
      <c r="F52" s="106"/>
      <c r="G52" s="10"/>
      <c r="H52" s="10"/>
      <c r="I52" s="56"/>
      <c r="J52" s="56"/>
      <c r="K52" s="56"/>
      <c r="L52" s="56"/>
      <c r="M52" s="56"/>
      <c r="N52" s="11"/>
      <c r="O52" s="100"/>
      <c r="Q52" s="100"/>
      <c r="T52" s="100"/>
    </row>
    <row r="53" spans="1:20" s="105" customFormat="1" x14ac:dyDescent="0.15">
      <c r="A53" s="11"/>
      <c r="B53" s="10"/>
      <c r="C53" s="106"/>
      <c r="D53" s="10"/>
      <c r="E53" s="10"/>
      <c r="F53" s="106"/>
      <c r="G53" s="10"/>
      <c r="H53" s="10"/>
      <c r="I53" s="56"/>
      <c r="J53" s="56"/>
      <c r="K53" s="56"/>
      <c r="L53" s="56"/>
      <c r="M53" s="56"/>
      <c r="N53" s="11"/>
      <c r="O53" s="100"/>
      <c r="Q53" s="100"/>
      <c r="T53" s="100"/>
    </row>
    <row r="54" spans="1:20" s="105" customFormat="1" x14ac:dyDescent="0.15">
      <c r="A54" s="11"/>
      <c r="B54" s="10"/>
      <c r="C54" s="106"/>
      <c r="D54" s="10"/>
      <c r="E54" s="10"/>
      <c r="F54" s="106"/>
      <c r="G54" s="10"/>
      <c r="H54" s="10"/>
      <c r="I54" s="56"/>
      <c r="J54" s="56"/>
      <c r="K54" s="56"/>
      <c r="L54" s="56"/>
      <c r="M54" s="56"/>
      <c r="N54" s="11"/>
      <c r="O54" s="100"/>
      <c r="Q54" s="100"/>
      <c r="T54" s="100"/>
    </row>
    <row r="55" spans="1:20" s="105" customFormat="1" x14ac:dyDescent="0.15">
      <c r="A55" s="11"/>
      <c r="B55" s="10"/>
      <c r="C55" s="106"/>
      <c r="D55" s="10"/>
      <c r="E55" s="10"/>
      <c r="F55" s="106"/>
      <c r="G55" s="10"/>
      <c r="H55" s="10"/>
      <c r="I55" s="56"/>
      <c r="J55" s="56"/>
      <c r="K55" s="56"/>
      <c r="L55" s="56"/>
      <c r="M55" s="56"/>
      <c r="N55" s="11"/>
      <c r="O55" s="100"/>
      <c r="Q55" s="100"/>
      <c r="T55" s="100"/>
    </row>
    <row r="56" spans="1:20" s="105" customFormat="1" x14ac:dyDescent="0.15">
      <c r="A56" s="11"/>
      <c r="B56" s="10"/>
      <c r="C56" s="106"/>
      <c r="D56" s="10"/>
      <c r="E56" s="10"/>
      <c r="F56" s="106"/>
      <c r="G56" s="10"/>
      <c r="H56" s="10"/>
      <c r="I56" s="56"/>
      <c r="J56" s="56"/>
      <c r="K56" s="56"/>
      <c r="L56" s="56"/>
      <c r="M56" s="56"/>
      <c r="N56" s="11"/>
      <c r="O56" s="100"/>
      <c r="Q56" s="100"/>
      <c r="T56" s="100"/>
    </row>
    <row r="57" spans="1:20" s="105" customFormat="1" x14ac:dyDescent="0.15">
      <c r="A57" s="11"/>
      <c r="B57" s="10"/>
      <c r="C57" s="106"/>
      <c r="D57" s="10"/>
      <c r="E57" s="10"/>
      <c r="F57" s="106"/>
      <c r="G57" s="10"/>
      <c r="H57" s="10"/>
      <c r="I57" s="56"/>
      <c r="J57" s="56"/>
      <c r="K57" s="56"/>
      <c r="L57" s="56"/>
      <c r="M57" s="56"/>
      <c r="N57" s="11"/>
      <c r="O57" s="100"/>
      <c r="Q57" s="100"/>
      <c r="T57" s="100"/>
    </row>
    <row r="58" spans="1:20" s="105" customFormat="1" x14ac:dyDescent="0.15">
      <c r="A58" s="11"/>
      <c r="B58" s="10"/>
      <c r="C58" s="106"/>
      <c r="D58" s="10"/>
      <c r="E58" s="10"/>
      <c r="F58" s="106"/>
      <c r="G58" s="10"/>
      <c r="H58" s="10"/>
      <c r="I58" s="56"/>
      <c r="J58" s="56"/>
      <c r="K58" s="56"/>
      <c r="L58" s="56"/>
      <c r="M58" s="56"/>
      <c r="N58" s="11"/>
      <c r="O58" s="100"/>
      <c r="Q58" s="100"/>
      <c r="T58" s="100"/>
    </row>
    <row r="59" spans="1:20" s="105" customFormat="1" x14ac:dyDescent="0.15">
      <c r="A59" s="11"/>
      <c r="B59" s="10"/>
      <c r="C59" s="106"/>
      <c r="D59" s="10"/>
      <c r="E59" s="10"/>
      <c r="F59" s="106"/>
      <c r="G59" s="10"/>
      <c r="H59" s="10"/>
      <c r="I59" s="56"/>
      <c r="J59" s="56"/>
      <c r="K59" s="56"/>
      <c r="L59" s="56"/>
      <c r="M59" s="56"/>
      <c r="N59" s="11"/>
      <c r="O59" s="100"/>
      <c r="Q59" s="100"/>
      <c r="T59" s="100"/>
    </row>
    <row r="60" spans="1:20" s="105" customFormat="1" x14ac:dyDescent="0.15">
      <c r="A60" s="11"/>
      <c r="B60" s="10"/>
      <c r="C60" s="106"/>
      <c r="D60" s="10"/>
      <c r="E60" s="10"/>
      <c r="F60" s="106"/>
      <c r="G60" s="10"/>
      <c r="H60" s="10"/>
      <c r="I60" s="56"/>
      <c r="J60" s="56"/>
      <c r="K60" s="56"/>
      <c r="L60" s="56"/>
      <c r="M60" s="56"/>
      <c r="N60" s="11"/>
      <c r="O60" s="100"/>
      <c r="Q60" s="100"/>
      <c r="T60" s="100"/>
    </row>
    <row r="61" spans="1:20" s="105" customFormat="1" x14ac:dyDescent="0.15">
      <c r="A61" s="11"/>
      <c r="B61" s="10"/>
      <c r="C61" s="106"/>
      <c r="D61" s="10"/>
      <c r="E61" s="10"/>
      <c r="F61" s="106"/>
      <c r="G61" s="10"/>
      <c r="H61" s="10"/>
      <c r="I61" s="56"/>
      <c r="J61" s="56"/>
      <c r="K61" s="56"/>
      <c r="L61" s="56"/>
      <c r="M61" s="56"/>
      <c r="N61" s="11"/>
      <c r="O61" s="100"/>
      <c r="Q61" s="100"/>
      <c r="T61" s="100"/>
    </row>
    <row r="62" spans="1:20" s="105" customFormat="1" x14ac:dyDescent="0.15">
      <c r="A62" s="11"/>
      <c r="B62" s="10"/>
      <c r="C62" s="106"/>
      <c r="D62" s="10"/>
      <c r="E62" s="10"/>
      <c r="F62" s="106"/>
      <c r="G62" s="10"/>
      <c r="H62" s="10"/>
      <c r="I62" s="56"/>
      <c r="J62" s="56"/>
      <c r="K62" s="56"/>
      <c r="L62" s="56"/>
      <c r="M62" s="56"/>
      <c r="N62" s="11"/>
      <c r="O62" s="100"/>
      <c r="Q62" s="100"/>
      <c r="T62" s="100"/>
    </row>
    <row r="63" spans="1:20" s="105" customFormat="1" x14ac:dyDescent="0.15">
      <c r="A63" s="11"/>
      <c r="B63" s="10"/>
      <c r="C63" s="106"/>
      <c r="D63" s="10"/>
      <c r="E63" s="10"/>
      <c r="F63" s="106"/>
      <c r="G63" s="10"/>
      <c r="H63" s="10"/>
      <c r="I63" s="56"/>
      <c r="J63" s="56"/>
      <c r="K63" s="56"/>
      <c r="L63" s="56"/>
      <c r="M63" s="56"/>
      <c r="N63" s="11"/>
      <c r="O63" s="100"/>
      <c r="Q63" s="100"/>
      <c r="T63" s="100"/>
    </row>
    <row r="64" spans="1:20" s="105" customFormat="1" x14ac:dyDescent="0.15">
      <c r="A64" s="11"/>
      <c r="B64" s="10"/>
      <c r="C64" s="106"/>
      <c r="D64" s="10"/>
      <c r="E64" s="10"/>
      <c r="F64" s="106"/>
      <c r="G64" s="10"/>
      <c r="H64" s="10"/>
      <c r="I64" s="56"/>
      <c r="J64" s="56"/>
      <c r="K64" s="56"/>
      <c r="L64" s="56"/>
      <c r="M64" s="56"/>
      <c r="N64" s="11"/>
      <c r="O64" s="100"/>
      <c r="Q64" s="100"/>
      <c r="T64" s="100"/>
    </row>
    <row r="65" spans="1:20" s="105" customFormat="1" x14ac:dyDescent="0.15">
      <c r="A65" s="11"/>
      <c r="B65" s="10"/>
      <c r="C65" s="106"/>
      <c r="D65" s="10"/>
      <c r="E65" s="10"/>
      <c r="F65" s="106"/>
      <c r="G65" s="10"/>
      <c r="H65" s="10"/>
      <c r="I65" s="56"/>
      <c r="J65" s="56"/>
      <c r="K65" s="56"/>
      <c r="L65" s="56"/>
      <c r="M65" s="56"/>
      <c r="N65" s="11"/>
      <c r="O65" s="100"/>
      <c r="Q65" s="100"/>
      <c r="T65" s="100"/>
    </row>
    <row r="66" spans="1:20" s="105" customFormat="1" x14ac:dyDescent="0.15">
      <c r="A66" s="11"/>
      <c r="B66" s="10"/>
      <c r="C66" s="106"/>
      <c r="D66" s="10"/>
      <c r="E66" s="10"/>
      <c r="F66" s="106"/>
      <c r="G66" s="10"/>
      <c r="H66" s="10"/>
      <c r="I66" s="56"/>
      <c r="J66" s="56"/>
      <c r="K66" s="56"/>
      <c r="L66" s="56"/>
      <c r="M66" s="56"/>
      <c r="N66" s="11"/>
      <c r="O66" s="100"/>
      <c r="Q66" s="100"/>
      <c r="T66" s="100"/>
    </row>
    <row r="67" spans="1:20" s="105" customFormat="1" x14ac:dyDescent="0.15">
      <c r="A67" s="11"/>
      <c r="B67" s="10"/>
      <c r="C67" s="106"/>
      <c r="D67" s="10"/>
      <c r="E67" s="10"/>
      <c r="F67" s="106"/>
      <c r="G67" s="10"/>
      <c r="H67" s="10"/>
      <c r="I67" s="56"/>
      <c r="J67" s="56"/>
      <c r="K67" s="56"/>
      <c r="L67" s="56"/>
      <c r="M67" s="56"/>
      <c r="N67" s="11"/>
      <c r="O67" s="100"/>
      <c r="Q67" s="100"/>
      <c r="T67" s="100"/>
    </row>
    <row r="68" spans="1:20" s="105" customFormat="1" x14ac:dyDescent="0.15">
      <c r="A68" s="11"/>
      <c r="B68" s="10"/>
      <c r="C68" s="106"/>
      <c r="D68" s="10"/>
      <c r="E68" s="10"/>
      <c r="F68" s="106"/>
      <c r="G68" s="10"/>
      <c r="H68" s="10"/>
      <c r="I68" s="56"/>
      <c r="J68" s="56"/>
      <c r="K68" s="56"/>
      <c r="L68" s="56"/>
      <c r="M68" s="56"/>
      <c r="N68" s="11"/>
      <c r="O68" s="100"/>
      <c r="Q68" s="100"/>
      <c r="T68" s="100"/>
    </row>
    <row r="69" spans="1:20" s="105" customFormat="1" x14ac:dyDescent="0.15">
      <c r="A69" s="11"/>
      <c r="B69" s="10"/>
      <c r="C69" s="106"/>
      <c r="D69" s="10"/>
      <c r="E69" s="10"/>
      <c r="F69" s="106"/>
      <c r="G69" s="10"/>
      <c r="H69" s="10"/>
      <c r="I69" s="56"/>
      <c r="J69" s="56"/>
      <c r="K69" s="56"/>
      <c r="L69" s="56"/>
      <c r="M69" s="56"/>
      <c r="N69" s="11"/>
      <c r="O69" s="100"/>
      <c r="Q69" s="100"/>
      <c r="T69" s="100"/>
    </row>
    <row r="70" spans="1:20" s="105" customFormat="1" x14ac:dyDescent="0.15">
      <c r="A70" s="11"/>
      <c r="B70" s="10"/>
      <c r="C70" s="106"/>
      <c r="D70" s="10"/>
      <c r="E70" s="10"/>
      <c r="F70" s="106"/>
      <c r="G70" s="10"/>
      <c r="H70" s="10"/>
      <c r="I70" s="56"/>
      <c r="J70" s="56"/>
      <c r="K70" s="56"/>
      <c r="L70" s="56"/>
      <c r="M70" s="56"/>
      <c r="N70" s="11"/>
      <c r="O70" s="100"/>
      <c r="Q70" s="100"/>
      <c r="T70" s="100"/>
    </row>
    <row r="71" spans="1:20" s="105" customFormat="1" x14ac:dyDescent="0.15">
      <c r="A71" s="11"/>
      <c r="B71" s="10"/>
      <c r="C71" s="106"/>
      <c r="D71" s="10"/>
      <c r="E71" s="10"/>
      <c r="F71" s="106"/>
      <c r="G71" s="10"/>
      <c r="H71" s="10"/>
      <c r="I71" s="56"/>
      <c r="J71" s="56"/>
      <c r="K71" s="56"/>
      <c r="L71" s="56"/>
      <c r="M71" s="56"/>
      <c r="N71" s="11"/>
      <c r="O71" s="100"/>
      <c r="Q71" s="100"/>
      <c r="T71" s="100"/>
    </row>
    <row r="72" spans="1:20" s="105" customFormat="1" x14ac:dyDescent="0.15">
      <c r="A72" s="11"/>
      <c r="B72" s="10"/>
      <c r="C72" s="106"/>
      <c r="D72" s="10"/>
      <c r="E72" s="10"/>
      <c r="F72" s="106"/>
      <c r="G72" s="10"/>
      <c r="H72" s="10"/>
      <c r="I72" s="56"/>
      <c r="J72" s="56"/>
      <c r="K72" s="56"/>
      <c r="L72" s="56"/>
      <c r="M72" s="56"/>
      <c r="N72" s="11"/>
      <c r="O72" s="100"/>
      <c r="Q72" s="100"/>
      <c r="T72" s="100"/>
    </row>
    <row r="73" spans="1:20" s="105" customFormat="1" x14ac:dyDescent="0.15">
      <c r="A73" s="11"/>
      <c r="B73" s="10"/>
      <c r="C73" s="106"/>
      <c r="D73" s="10"/>
      <c r="E73" s="10"/>
      <c r="F73" s="106"/>
      <c r="G73" s="10"/>
      <c r="H73" s="10"/>
      <c r="I73" s="56"/>
      <c r="J73" s="56"/>
      <c r="K73" s="56"/>
      <c r="L73" s="56"/>
      <c r="M73" s="56"/>
      <c r="N73" s="11"/>
      <c r="O73" s="100"/>
      <c r="Q73" s="100"/>
      <c r="T73" s="100"/>
    </row>
    <row r="74" spans="1:20" s="105" customFormat="1" x14ac:dyDescent="0.15">
      <c r="A74" s="11"/>
      <c r="B74" s="10"/>
      <c r="C74" s="106"/>
      <c r="D74" s="10"/>
      <c r="E74" s="10"/>
      <c r="F74" s="106"/>
      <c r="G74" s="10"/>
      <c r="H74" s="10"/>
      <c r="I74" s="56"/>
      <c r="J74" s="56"/>
      <c r="K74" s="56"/>
      <c r="L74" s="56"/>
      <c r="M74" s="56"/>
      <c r="N74" s="11"/>
      <c r="O74" s="100"/>
      <c r="Q74" s="100"/>
      <c r="T74" s="100"/>
    </row>
    <row r="75" spans="1:20" s="105" customFormat="1" x14ac:dyDescent="0.15">
      <c r="A75" s="11"/>
      <c r="B75" s="10"/>
      <c r="C75" s="106"/>
      <c r="D75" s="10"/>
      <c r="E75" s="10"/>
      <c r="F75" s="106"/>
      <c r="G75" s="10"/>
      <c r="H75" s="10"/>
      <c r="I75" s="56"/>
      <c r="J75" s="56"/>
      <c r="K75" s="56"/>
      <c r="L75" s="56"/>
      <c r="M75" s="56"/>
      <c r="N75" s="11"/>
      <c r="O75" s="100"/>
      <c r="Q75" s="100"/>
      <c r="T75" s="100"/>
    </row>
    <row r="76" spans="1:20" s="105" customFormat="1" x14ac:dyDescent="0.15">
      <c r="A76" s="11"/>
      <c r="B76" s="10"/>
      <c r="C76" s="106"/>
      <c r="D76" s="10"/>
      <c r="E76" s="10"/>
      <c r="F76" s="106"/>
      <c r="G76" s="10"/>
      <c r="H76" s="10"/>
      <c r="I76" s="56"/>
      <c r="J76" s="56"/>
      <c r="K76" s="56"/>
      <c r="L76" s="56"/>
      <c r="M76" s="56"/>
      <c r="N76" s="11"/>
      <c r="O76" s="100"/>
      <c r="Q76" s="100"/>
      <c r="T76" s="100"/>
    </row>
    <row r="77" spans="1:20" s="105" customFormat="1" x14ac:dyDescent="0.15">
      <c r="A77" s="11"/>
      <c r="B77" s="10"/>
      <c r="C77" s="106"/>
      <c r="D77" s="10"/>
      <c r="E77" s="10"/>
      <c r="F77" s="106"/>
      <c r="G77" s="10"/>
      <c r="H77" s="10"/>
      <c r="I77" s="56"/>
      <c r="J77" s="56"/>
      <c r="K77" s="56"/>
      <c r="L77" s="56"/>
      <c r="M77" s="56"/>
      <c r="N77" s="11"/>
      <c r="O77" s="100"/>
      <c r="Q77" s="100"/>
      <c r="T77" s="100"/>
    </row>
    <row r="78" spans="1:20" s="105" customFormat="1" x14ac:dyDescent="0.15">
      <c r="A78" s="11"/>
      <c r="B78" s="10"/>
      <c r="C78" s="106"/>
      <c r="D78" s="10"/>
      <c r="E78" s="10"/>
      <c r="F78" s="106"/>
      <c r="G78" s="10"/>
      <c r="H78" s="10"/>
      <c r="I78" s="56"/>
      <c r="J78" s="56"/>
      <c r="K78" s="56"/>
      <c r="L78" s="56"/>
      <c r="M78" s="56"/>
      <c r="N78" s="11"/>
      <c r="O78" s="100"/>
      <c r="Q78" s="100"/>
      <c r="T78" s="100"/>
    </row>
    <row r="79" spans="1:20" s="105" customFormat="1" x14ac:dyDescent="0.15">
      <c r="A79" s="11"/>
      <c r="B79" s="10"/>
      <c r="C79" s="106"/>
      <c r="D79" s="10"/>
      <c r="E79" s="10"/>
      <c r="F79" s="106"/>
      <c r="G79" s="10"/>
      <c r="H79" s="10"/>
      <c r="I79" s="56"/>
      <c r="J79" s="56"/>
      <c r="K79" s="56"/>
      <c r="L79" s="56"/>
      <c r="M79" s="56"/>
      <c r="N79" s="11"/>
      <c r="O79" s="100"/>
      <c r="Q79" s="100"/>
      <c r="T79" s="100"/>
    </row>
    <row r="80" spans="1:20" s="105" customFormat="1" x14ac:dyDescent="0.15">
      <c r="A80" s="11"/>
      <c r="B80" s="10"/>
      <c r="C80" s="106"/>
      <c r="D80" s="10"/>
      <c r="E80" s="10"/>
      <c r="F80" s="106"/>
      <c r="G80" s="10"/>
      <c r="H80" s="10"/>
      <c r="I80" s="56"/>
      <c r="J80" s="56"/>
      <c r="K80" s="56"/>
      <c r="L80" s="56"/>
      <c r="M80" s="56"/>
      <c r="N80" s="11"/>
      <c r="O80" s="100"/>
      <c r="Q80" s="100"/>
      <c r="T80" s="100"/>
    </row>
    <row r="81" spans="1:20" s="105" customFormat="1" x14ac:dyDescent="0.15">
      <c r="A81" s="11"/>
      <c r="B81" s="10"/>
      <c r="C81" s="106"/>
      <c r="D81" s="10"/>
      <c r="E81" s="10"/>
      <c r="F81" s="106"/>
      <c r="G81" s="10"/>
      <c r="H81" s="10"/>
      <c r="I81" s="56"/>
      <c r="J81" s="56"/>
      <c r="K81" s="56"/>
      <c r="L81" s="56"/>
      <c r="M81" s="56"/>
      <c r="N81" s="11"/>
      <c r="O81" s="100"/>
      <c r="Q81" s="100"/>
      <c r="T81" s="100"/>
    </row>
    <row r="82" spans="1:20" s="105" customFormat="1" x14ac:dyDescent="0.15">
      <c r="A82" s="11"/>
      <c r="B82" s="10"/>
      <c r="C82" s="106"/>
      <c r="D82" s="10"/>
      <c r="E82" s="10"/>
      <c r="F82" s="106"/>
      <c r="G82" s="10"/>
      <c r="H82" s="10"/>
      <c r="I82" s="56"/>
      <c r="J82" s="56"/>
      <c r="K82" s="56"/>
      <c r="L82" s="56"/>
      <c r="M82" s="56"/>
      <c r="N82" s="11"/>
      <c r="O82" s="100"/>
      <c r="Q82" s="100"/>
      <c r="T82" s="100"/>
    </row>
    <row r="83" spans="1:20" s="105" customFormat="1" x14ac:dyDescent="0.15">
      <c r="A83" s="11"/>
      <c r="B83" s="10"/>
      <c r="C83" s="106"/>
      <c r="D83" s="10"/>
      <c r="E83" s="10"/>
      <c r="F83" s="106"/>
      <c r="G83" s="10"/>
      <c r="H83" s="10"/>
      <c r="I83" s="56"/>
      <c r="J83" s="56"/>
      <c r="K83" s="56"/>
      <c r="L83" s="56"/>
      <c r="M83" s="56"/>
      <c r="N83" s="11"/>
      <c r="O83" s="100"/>
      <c r="Q83" s="100"/>
      <c r="T83" s="100"/>
    </row>
    <row r="84" spans="1:20" s="105" customFormat="1" x14ac:dyDescent="0.15">
      <c r="A84" s="11"/>
      <c r="B84" s="10"/>
      <c r="C84" s="106"/>
      <c r="D84" s="10"/>
      <c r="E84" s="10"/>
      <c r="F84" s="106"/>
      <c r="G84" s="10"/>
      <c r="H84" s="10"/>
      <c r="I84" s="56"/>
      <c r="J84" s="56"/>
      <c r="K84" s="56"/>
      <c r="L84" s="56"/>
      <c r="M84" s="56"/>
      <c r="N84" s="11"/>
      <c r="O84" s="100"/>
      <c r="Q84" s="100"/>
      <c r="T84" s="100"/>
    </row>
    <row r="85" spans="1:20" s="105" customFormat="1" x14ac:dyDescent="0.15">
      <c r="A85" s="11"/>
      <c r="B85" s="10"/>
      <c r="C85" s="106"/>
      <c r="D85" s="10"/>
      <c r="E85" s="10"/>
      <c r="F85" s="106"/>
      <c r="G85" s="10"/>
      <c r="H85" s="10"/>
      <c r="I85" s="56"/>
      <c r="J85" s="56"/>
      <c r="K85" s="56"/>
      <c r="L85" s="56"/>
      <c r="M85" s="56"/>
      <c r="N85" s="11"/>
      <c r="O85" s="100"/>
      <c r="Q85" s="100"/>
      <c r="T85" s="100"/>
    </row>
    <row r="86" spans="1:20" s="105" customFormat="1" x14ac:dyDescent="0.15">
      <c r="A86" s="11"/>
      <c r="B86" s="10"/>
      <c r="C86" s="106"/>
      <c r="D86" s="10"/>
      <c r="E86" s="10"/>
      <c r="F86" s="106"/>
      <c r="G86" s="10"/>
      <c r="H86" s="10"/>
      <c r="I86" s="56"/>
      <c r="J86" s="56"/>
      <c r="K86" s="56"/>
      <c r="L86" s="56"/>
      <c r="M86" s="56"/>
      <c r="N86" s="11"/>
      <c r="O86" s="100"/>
      <c r="Q86" s="100"/>
      <c r="T86" s="100"/>
    </row>
    <row r="87" spans="1:20" s="105" customFormat="1" x14ac:dyDescent="0.15">
      <c r="A87" s="11"/>
      <c r="B87" s="10"/>
      <c r="C87" s="106"/>
      <c r="D87" s="10"/>
      <c r="E87" s="10"/>
      <c r="F87" s="106"/>
      <c r="G87" s="10"/>
      <c r="H87" s="10"/>
      <c r="I87" s="56"/>
      <c r="J87" s="56"/>
      <c r="K87" s="56"/>
      <c r="L87" s="56"/>
      <c r="M87" s="56"/>
      <c r="N87" s="11"/>
      <c r="O87" s="100"/>
      <c r="Q87" s="100"/>
      <c r="T87" s="100"/>
    </row>
    <row r="88" spans="1:20" s="105" customFormat="1" x14ac:dyDescent="0.15">
      <c r="A88" s="11"/>
      <c r="B88" s="10"/>
      <c r="C88" s="106"/>
      <c r="D88" s="10"/>
      <c r="E88" s="10"/>
      <c r="F88" s="106"/>
      <c r="G88" s="10"/>
      <c r="H88" s="10"/>
      <c r="I88" s="56"/>
      <c r="J88" s="56"/>
      <c r="K88" s="56"/>
      <c r="L88" s="56"/>
      <c r="M88" s="56"/>
      <c r="N88" s="11"/>
      <c r="O88" s="100"/>
      <c r="Q88" s="100"/>
      <c r="T88" s="100"/>
    </row>
    <row r="89" spans="1:20" s="105" customFormat="1" x14ac:dyDescent="0.15">
      <c r="A89" s="11"/>
      <c r="B89" s="10"/>
      <c r="C89" s="106"/>
      <c r="D89" s="10"/>
      <c r="E89" s="10"/>
      <c r="F89" s="106"/>
      <c r="G89" s="10"/>
      <c r="H89" s="10"/>
      <c r="I89" s="56"/>
      <c r="J89" s="56"/>
      <c r="K89" s="56"/>
      <c r="L89" s="56"/>
      <c r="M89" s="56"/>
      <c r="N89" s="11"/>
      <c r="O89" s="100"/>
      <c r="Q89" s="100"/>
      <c r="T89" s="100"/>
    </row>
    <row r="90" spans="1:20" s="105" customFormat="1" x14ac:dyDescent="0.15">
      <c r="A90" s="11"/>
      <c r="B90" s="10"/>
      <c r="C90" s="106"/>
      <c r="D90" s="10"/>
      <c r="E90" s="10"/>
      <c r="F90" s="106"/>
      <c r="G90" s="10"/>
      <c r="H90" s="10"/>
      <c r="I90" s="56"/>
      <c r="J90" s="56"/>
      <c r="K90" s="56"/>
      <c r="L90" s="56"/>
      <c r="M90" s="56"/>
      <c r="N90" s="11"/>
      <c r="O90" s="100"/>
      <c r="Q90" s="100"/>
      <c r="T90" s="100"/>
    </row>
    <row r="91" spans="1:20" s="105" customFormat="1" x14ac:dyDescent="0.15">
      <c r="A91" s="11"/>
      <c r="B91" s="10"/>
      <c r="C91" s="106"/>
      <c r="D91" s="10"/>
      <c r="E91" s="10"/>
      <c r="F91" s="106"/>
      <c r="G91" s="10"/>
      <c r="H91" s="10"/>
      <c r="I91" s="56"/>
      <c r="J91" s="56"/>
      <c r="K91" s="56"/>
      <c r="L91" s="56"/>
      <c r="M91" s="56"/>
      <c r="N91" s="11"/>
      <c r="O91" s="100"/>
      <c r="Q91" s="100"/>
      <c r="T91" s="100"/>
    </row>
    <row r="92" spans="1:20" s="105" customFormat="1" x14ac:dyDescent="0.15">
      <c r="A92" s="11"/>
      <c r="B92" s="10"/>
      <c r="C92" s="106"/>
      <c r="D92" s="10"/>
      <c r="E92" s="10"/>
      <c r="F92" s="106"/>
      <c r="G92" s="10"/>
      <c r="H92" s="10"/>
      <c r="I92" s="56"/>
      <c r="J92" s="56"/>
      <c r="K92" s="56"/>
      <c r="L92" s="56"/>
      <c r="M92" s="56"/>
      <c r="N92" s="11"/>
      <c r="O92" s="100"/>
      <c r="Q92" s="100"/>
      <c r="T92" s="100"/>
    </row>
    <row r="93" spans="1:20" s="105" customFormat="1" x14ac:dyDescent="0.15">
      <c r="A93" s="11"/>
      <c r="B93" s="10"/>
      <c r="C93" s="106"/>
      <c r="D93" s="10"/>
      <c r="E93" s="10"/>
      <c r="F93" s="106"/>
      <c r="G93" s="10"/>
      <c r="H93" s="10"/>
      <c r="I93" s="56"/>
      <c r="J93" s="56"/>
      <c r="K93" s="56"/>
      <c r="L93" s="56"/>
      <c r="M93" s="56"/>
      <c r="N93" s="11"/>
      <c r="O93" s="100"/>
      <c r="Q93" s="100"/>
      <c r="T93" s="100"/>
    </row>
    <row r="94" spans="1:20" s="105" customFormat="1" x14ac:dyDescent="0.15">
      <c r="A94" s="11"/>
      <c r="B94" s="10"/>
      <c r="C94" s="106"/>
      <c r="D94" s="10"/>
      <c r="E94" s="10"/>
      <c r="F94" s="106"/>
      <c r="G94" s="10"/>
      <c r="H94" s="10"/>
      <c r="I94" s="56"/>
      <c r="J94" s="56"/>
      <c r="K94" s="56"/>
      <c r="L94" s="56"/>
      <c r="M94" s="56"/>
      <c r="N94" s="11"/>
      <c r="O94" s="100"/>
      <c r="Q94" s="100"/>
      <c r="T94" s="100"/>
    </row>
    <row r="95" spans="1:20" s="105" customFormat="1" x14ac:dyDescent="0.15">
      <c r="A95" s="11"/>
      <c r="B95" s="10"/>
      <c r="C95" s="106"/>
      <c r="D95" s="10"/>
      <c r="E95" s="10"/>
      <c r="F95" s="106"/>
      <c r="G95" s="10"/>
      <c r="H95" s="10"/>
      <c r="I95" s="56"/>
      <c r="J95" s="56"/>
      <c r="K95" s="56"/>
      <c r="L95" s="56"/>
      <c r="M95" s="56"/>
      <c r="N95" s="11"/>
      <c r="O95" s="100"/>
      <c r="Q95" s="100"/>
      <c r="T95" s="100"/>
    </row>
    <row r="96" spans="1:20" s="105" customFormat="1" x14ac:dyDescent="0.15">
      <c r="A96" s="11"/>
      <c r="B96" s="10"/>
      <c r="C96" s="106"/>
      <c r="D96" s="10"/>
      <c r="E96" s="10"/>
      <c r="F96" s="106"/>
      <c r="G96" s="10"/>
      <c r="H96" s="10"/>
      <c r="I96" s="56"/>
      <c r="J96" s="56"/>
      <c r="K96" s="56"/>
      <c r="L96" s="56"/>
      <c r="M96" s="56"/>
      <c r="N96" s="11"/>
      <c r="O96" s="100"/>
      <c r="Q96" s="100"/>
      <c r="T96" s="100"/>
    </row>
    <row r="97" spans="1:20" s="105" customFormat="1" x14ac:dyDescent="0.15">
      <c r="A97" s="11"/>
      <c r="B97" s="10"/>
      <c r="C97" s="106"/>
      <c r="D97" s="10"/>
      <c r="E97" s="10"/>
      <c r="F97" s="106"/>
      <c r="G97" s="10"/>
      <c r="H97" s="10"/>
      <c r="I97" s="56"/>
      <c r="J97" s="56"/>
      <c r="K97" s="56"/>
      <c r="L97" s="56"/>
      <c r="M97" s="56"/>
      <c r="N97" s="11"/>
      <c r="O97" s="100"/>
      <c r="Q97" s="100"/>
      <c r="T97" s="100"/>
    </row>
    <row r="98" spans="1:20" s="105" customFormat="1" x14ac:dyDescent="0.15">
      <c r="A98" s="11"/>
      <c r="B98" s="10"/>
      <c r="C98" s="106"/>
      <c r="D98" s="10"/>
      <c r="E98" s="10"/>
      <c r="F98" s="106"/>
      <c r="G98" s="10"/>
      <c r="H98" s="10"/>
      <c r="I98" s="56"/>
      <c r="J98" s="56"/>
      <c r="K98" s="56"/>
      <c r="L98" s="56"/>
      <c r="M98" s="56"/>
      <c r="N98" s="11"/>
      <c r="O98" s="100"/>
      <c r="Q98" s="100"/>
      <c r="T98" s="100"/>
    </row>
    <row r="99" spans="1:20" s="105" customFormat="1" x14ac:dyDescent="0.15">
      <c r="A99" s="11"/>
      <c r="B99" s="10"/>
      <c r="C99" s="106"/>
      <c r="D99" s="10"/>
      <c r="E99" s="10"/>
      <c r="F99" s="106"/>
      <c r="G99" s="10"/>
      <c r="H99" s="10"/>
      <c r="I99" s="56"/>
      <c r="J99" s="56"/>
      <c r="K99" s="56"/>
      <c r="L99" s="56"/>
      <c r="M99" s="56"/>
      <c r="N99" s="11"/>
      <c r="O99" s="100"/>
      <c r="Q99" s="100"/>
      <c r="T99" s="100"/>
    </row>
    <row r="100" spans="1:20" s="105" customFormat="1" x14ac:dyDescent="0.15">
      <c r="A100" s="11"/>
      <c r="B100" s="10"/>
      <c r="C100" s="106"/>
      <c r="D100" s="10"/>
      <c r="E100" s="10"/>
      <c r="F100" s="106"/>
      <c r="G100" s="10"/>
      <c r="H100" s="10"/>
      <c r="I100" s="56"/>
      <c r="J100" s="56"/>
      <c r="K100" s="56"/>
      <c r="L100" s="56"/>
      <c r="M100" s="56"/>
      <c r="N100" s="11"/>
      <c r="O100" s="100"/>
      <c r="Q100" s="100"/>
      <c r="T100" s="100"/>
    </row>
    <row r="101" spans="1:20" s="105" customFormat="1" x14ac:dyDescent="0.15">
      <c r="A101" s="11"/>
      <c r="B101" s="10"/>
      <c r="C101" s="106"/>
      <c r="D101" s="10"/>
      <c r="E101" s="10"/>
      <c r="F101" s="106"/>
      <c r="G101" s="10"/>
      <c r="H101" s="10"/>
      <c r="I101" s="56"/>
      <c r="J101" s="56"/>
      <c r="K101" s="56"/>
      <c r="L101" s="56"/>
      <c r="M101" s="56"/>
      <c r="N101" s="11"/>
      <c r="O101" s="100"/>
      <c r="Q101" s="100"/>
      <c r="T101" s="100"/>
    </row>
    <row r="102" spans="1:20" s="105" customFormat="1" x14ac:dyDescent="0.15">
      <c r="A102" s="11"/>
      <c r="B102" s="10"/>
      <c r="C102" s="106"/>
      <c r="D102" s="10"/>
      <c r="E102" s="10"/>
      <c r="F102" s="106"/>
      <c r="G102" s="10"/>
      <c r="H102" s="10"/>
      <c r="I102" s="56"/>
      <c r="J102" s="56"/>
      <c r="K102" s="56"/>
      <c r="L102" s="56"/>
      <c r="M102" s="56"/>
      <c r="N102" s="11"/>
      <c r="O102" s="100"/>
      <c r="Q102" s="100"/>
      <c r="T102" s="100"/>
    </row>
    <row r="103" spans="1:20" s="105" customFormat="1" x14ac:dyDescent="0.15">
      <c r="A103" s="11"/>
      <c r="B103" s="10"/>
      <c r="C103" s="106"/>
      <c r="D103" s="10"/>
      <c r="E103" s="10"/>
      <c r="F103" s="106"/>
      <c r="G103" s="10"/>
      <c r="H103" s="10"/>
      <c r="I103" s="56"/>
      <c r="J103" s="56"/>
      <c r="K103" s="56"/>
      <c r="L103" s="56"/>
      <c r="M103" s="56"/>
      <c r="N103" s="11"/>
      <c r="O103" s="100"/>
      <c r="Q103" s="100"/>
      <c r="T103" s="100"/>
    </row>
    <row r="104" spans="1:20" s="105" customFormat="1" x14ac:dyDescent="0.15">
      <c r="A104" s="11"/>
      <c r="B104" s="10"/>
      <c r="C104" s="106"/>
      <c r="D104" s="10"/>
      <c r="E104" s="10"/>
      <c r="F104" s="106"/>
      <c r="G104" s="10"/>
      <c r="H104" s="10"/>
      <c r="I104" s="56"/>
      <c r="J104" s="56"/>
      <c r="K104" s="56"/>
      <c r="L104" s="56"/>
      <c r="M104" s="56"/>
      <c r="N104" s="11"/>
      <c r="O104" s="100"/>
      <c r="Q104" s="100"/>
      <c r="T104" s="100"/>
    </row>
    <row r="105" spans="1:20" s="105" customFormat="1" x14ac:dyDescent="0.15">
      <c r="A105" s="11"/>
      <c r="B105" s="10"/>
      <c r="C105" s="106"/>
      <c r="D105" s="10"/>
      <c r="E105" s="10"/>
      <c r="F105" s="106"/>
      <c r="G105" s="10"/>
      <c r="H105" s="10"/>
      <c r="I105" s="56"/>
      <c r="J105" s="56"/>
      <c r="K105" s="56"/>
      <c r="L105" s="56"/>
      <c r="M105" s="56"/>
      <c r="N105" s="11"/>
      <c r="O105" s="100"/>
      <c r="Q105" s="100"/>
      <c r="T105" s="100"/>
    </row>
    <row r="106" spans="1:20" s="105" customFormat="1" x14ac:dyDescent="0.15">
      <c r="A106" s="11"/>
      <c r="B106" s="10"/>
      <c r="C106" s="106"/>
      <c r="D106" s="10"/>
      <c r="E106" s="10"/>
      <c r="F106" s="106"/>
      <c r="G106" s="10"/>
      <c r="H106" s="10"/>
      <c r="I106" s="56"/>
      <c r="J106" s="56"/>
      <c r="K106" s="56"/>
      <c r="L106" s="56"/>
      <c r="M106" s="56"/>
      <c r="N106" s="11"/>
      <c r="O106" s="100"/>
      <c r="Q106" s="100"/>
      <c r="T106" s="100"/>
    </row>
    <row r="107" spans="1:20" s="105" customFormat="1" x14ac:dyDescent="0.15">
      <c r="A107" s="11"/>
      <c r="B107" s="10"/>
      <c r="C107" s="106"/>
      <c r="D107" s="10"/>
      <c r="E107" s="10"/>
      <c r="F107" s="106"/>
      <c r="G107" s="10"/>
      <c r="H107" s="10"/>
      <c r="I107" s="56"/>
      <c r="J107" s="56"/>
      <c r="K107" s="56"/>
      <c r="L107" s="56"/>
      <c r="M107" s="56"/>
      <c r="N107" s="11"/>
      <c r="O107" s="100"/>
      <c r="Q107" s="100"/>
      <c r="T107" s="100"/>
    </row>
    <row r="108" spans="1:20" s="105" customFormat="1" x14ac:dyDescent="0.15">
      <c r="A108" s="11"/>
      <c r="B108" s="10"/>
      <c r="C108" s="106"/>
      <c r="D108" s="10"/>
      <c r="E108" s="10"/>
      <c r="F108" s="106"/>
      <c r="G108" s="10"/>
      <c r="H108" s="10"/>
      <c r="I108" s="56"/>
      <c r="J108" s="56"/>
      <c r="K108" s="56"/>
      <c r="L108" s="56"/>
      <c r="M108" s="56"/>
      <c r="N108" s="11"/>
      <c r="O108" s="100"/>
      <c r="Q108" s="100"/>
      <c r="T108" s="100"/>
    </row>
    <row r="109" spans="1:20" s="105" customFormat="1" x14ac:dyDescent="0.15">
      <c r="A109" s="11"/>
      <c r="B109" s="10"/>
      <c r="C109" s="106"/>
      <c r="D109" s="10"/>
      <c r="E109" s="10"/>
      <c r="F109" s="106"/>
      <c r="G109" s="10"/>
      <c r="H109" s="10"/>
      <c r="I109" s="56"/>
      <c r="J109" s="56"/>
      <c r="K109" s="56"/>
      <c r="L109" s="56"/>
      <c r="M109" s="56"/>
      <c r="N109" s="11"/>
      <c r="O109" s="100"/>
      <c r="Q109" s="100"/>
      <c r="T109" s="100"/>
    </row>
    <row r="110" spans="1:20" s="105" customFormat="1" x14ac:dyDescent="0.15">
      <c r="A110" s="11"/>
      <c r="B110" s="10"/>
      <c r="C110" s="106"/>
      <c r="D110" s="10"/>
      <c r="E110" s="10"/>
      <c r="F110" s="106"/>
      <c r="G110" s="10"/>
      <c r="H110" s="10"/>
      <c r="I110" s="56"/>
      <c r="J110" s="56"/>
      <c r="K110" s="56"/>
      <c r="L110" s="56"/>
      <c r="M110" s="56"/>
      <c r="N110" s="11"/>
      <c r="O110" s="100"/>
      <c r="Q110" s="100"/>
      <c r="T110" s="100"/>
    </row>
    <row r="111" spans="1:20" s="105" customFormat="1" x14ac:dyDescent="0.15">
      <c r="A111" s="11"/>
      <c r="B111" s="10"/>
      <c r="C111" s="106"/>
      <c r="D111" s="10"/>
      <c r="E111" s="10"/>
      <c r="F111" s="106"/>
      <c r="G111" s="10"/>
      <c r="H111" s="10"/>
      <c r="I111" s="56"/>
      <c r="J111" s="56"/>
      <c r="K111" s="56"/>
      <c r="L111" s="56"/>
      <c r="M111" s="56"/>
      <c r="N111" s="11"/>
      <c r="O111" s="100"/>
      <c r="Q111" s="100"/>
      <c r="T111" s="100"/>
    </row>
    <row r="112" spans="1:20" s="105" customFormat="1" x14ac:dyDescent="0.15">
      <c r="A112" s="11"/>
      <c r="B112" s="10"/>
      <c r="C112" s="106"/>
      <c r="D112" s="10"/>
      <c r="E112" s="10"/>
      <c r="F112" s="106"/>
      <c r="G112" s="10"/>
      <c r="H112" s="10"/>
      <c r="I112" s="56"/>
      <c r="J112" s="56"/>
      <c r="K112" s="56"/>
      <c r="L112" s="56"/>
      <c r="M112" s="56"/>
      <c r="N112" s="11"/>
      <c r="O112" s="100"/>
      <c r="Q112" s="100"/>
      <c r="T112" s="100"/>
    </row>
    <row r="113" spans="1:20" s="105" customFormat="1" x14ac:dyDescent="0.15">
      <c r="A113" s="11"/>
      <c r="B113" s="10"/>
      <c r="C113" s="106"/>
      <c r="D113" s="10"/>
      <c r="E113" s="10"/>
      <c r="F113" s="106"/>
      <c r="G113" s="10"/>
      <c r="H113" s="10"/>
      <c r="I113" s="56"/>
      <c r="J113" s="56"/>
      <c r="K113" s="56"/>
      <c r="L113" s="56"/>
      <c r="M113" s="56"/>
      <c r="N113" s="11"/>
      <c r="O113" s="100"/>
      <c r="Q113" s="100"/>
      <c r="T113" s="100"/>
    </row>
    <row r="114" spans="1:20" s="105" customFormat="1" x14ac:dyDescent="0.15">
      <c r="A114" s="11"/>
      <c r="B114" s="10"/>
      <c r="C114" s="106"/>
      <c r="D114" s="10"/>
      <c r="E114" s="10"/>
      <c r="F114" s="106"/>
      <c r="G114" s="10"/>
      <c r="H114" s="10"/>
      <c r="I114" s="56"/>
      <c r="J114" s="56"/>
      <c r="K114" s="56"/>
      <c r="L114" s="56"/>
      <c r="M114" s="56"/>
      <c r="N114" s="11"/>
      <c r="O114" s="100"/>
      <c r="Q114" s="100"/>
      <c r="T114" s="100"/>
    </row>
    <row r="115" spans="1:20" s="105" customFormat="1" x14ac:dyDescent="0.15">
      <c r="A115" s="11"/>
      <c r="B115" s="10"/>
      <c r="C115" s="106"/>
      <c r="D115" s="10"/>
      <c r="E115" s="10"/>
      <c r="F115" s="106"/>
      <c r="G115" s="10"/>
      <c r="H115" s="10"/>
      <c r="I115" s="56"/>
      <c r="J115" s="56"/>
      <c r="K115" s="56"/>
      <c r="L115" s="56"/>
      <c r="M115" s="56"/>
      <c r="N115" s="11"/>
      <c r="O115" s="100"/>
      <c r="Q115" s="100"/>
      <c r="T115" s="100"/>
    </row>
    <row r="116" spans="1:20" s="105" customFormat="1" x14ac:dyDescent="0.15">
      <c r="A116" s="11"/>
      <c r="B116" s="10"/>
      <c r="C116" s="106"/>
      <c r="D116" s="10"/>
      <c r="E116" s="10"/>
      <c r="F116" s="106"/>
      <c r="G116" s="10"/>
      <c r="H116" s="10"/>
      <c r="I116" s="56"/>
      <c r="J116" s="56"/>
      <c r="K116" s="56"/>
      <c r="L116" s="56"/>
      <c r="M116" s="56"/>
      <c r="N116" s="11"/>
      <c r="O116" s="100"/>
      <c r="Q116" s="100"/>
      <c r="T116" s="100"/>
    </row>
    <row r="117" spans="1:20" s="105" customFormat="1" x14ac:dyDescent="0.15">
      <c r="A117" s="11"/>
      <c r="B117" s="10"/>
      <c r="C117" s="106"/>
      <c r="D117" s="10"/>
      <c r="E117" s="10"/>
      <c r="F117" s="106"/>
      <c r="G117" s="10"/>
      <c r="H117" s="10"/>
      <c r="I117" s="56"/>
      <c r="J117" s="56"/>
      <c r="K117" s="56"/>
      <c r="L117" s="56"/>
      <c r="M117" s="56"/>
      <c r="N117" s="11"/>
      <c r="O117" s="100"/>
      <c r="Q117" s="100"/>
      <c r="T117" s="100"/>
    </row>
    <row r="118" spans="1:20" s="105" customFormat="1" x14ac:dyDescent="0.15">
      <c r="A118" s="11"/>
      <c r="B118" s="10"/>
      <c r="C118" s="106"/>
      <c r="D118" s="10"/>
      <c r="E118" s="10"/>
      <c r="F118" s="106"/>
      <c r="G118" s="10"/>
      <c r="H118" s="10"/>
      <c r="I118" s="56"/>
      <c r="J118" s="56"/>
      <c r="K118" s="56"/>
      <c r="L118" s="56"/>
      <c r="M118" s="56"/>
      <c r="N118" s="11"/>
      <c r="O118" s="100"/>
      <c r="Q118" s="100"/>
      <c r="T118" s="100"/>
    </row>
    <row r="119" spans="1:20" s="105" customFormat="1" x14ac:dyDescent="0.15">
      <c r="A119" s="11"/>
      <c r="B119" s="10"/>
      <c r="C119" s="106"/>
      <c r="D119" s="10"/>
      <c r="E119" s="10"/>
      <c r="F119" s="106"/>
      <c r="G119" s="10"/>
      <c r="H119" s="10"/>
      <c r="I119" s="56"/>
      <c r="J119" s="56"/>
      <c r="K119" s="56"/>
      <c r="L119" s="56"/>
      <c r="M119" s="56"/>
      <c r="N119" s="11"/>
      <c r="O119" s="100"/>
      <c r="Q119" s="100"/>
      <c r="T119" s="100"/>
    </row>
    <row r="120" spans="1:20" s="105" customFormat="1" x14ac:dyDescent="0.15">
      <c r="A120" s="11"/>
      <c r="B120" s="10"/>
      <c r="C120" s="106"/>
      <c r="D120" s="10"/>
      <c r="E120" s="10"/>
      <c r="F120" s="106"/>
      <c r="G120" s="10"/>
      <c r="H120" s="10"/>
      <c r="I120" s="56"/>
      <c r="J120" s="56"/>
      <c r="K120" s="56"/>
      <c r="L120" s="56"/>
      <c r="M120" s="56"/>
      <c r="N120" s="11"/>
      <c r="O120" s="100"/>
      <c r="Q120" s="100"/>
      <c r="T120" s="100"/>
    </row>
    <row r="121" spans="1:20" s="105" customFormat="1" x14ac:dyDescent="0.15">
      <c r="A121" s="11"/>
      <c r="B121" s="10"/>
      <c r="C121" s="106"/>
      <c r="D121" s="10"/>
      <c r="E121" s="10"/>
      <c r="F121" s="106"/>
      <c r="G121" s="10"/>
      <c r="H121" s="10"/>
      <c r="I121" s="56"/>
      <c r="J121" s="56"/>
      <c r="K121" s="56"/>
      <c r="L121" s="56"/>
      <c r="M121" s="56"/>
      <c r="N121" s="11"/>
      <c r="O121" s="100"/>
      <c r="Q121" s="100"/>
      <c r="T121" s="100"/>
    </row>
    <row r="122" spans="1:20" s="105" customFormat="1" x14ac:dyDescent="0.15">
      <c r="A122" s="11"/>
      <c r="B122" s="10"/>
      <c r="C122" s="106"/>
      <c r="D122" s="10"/>
      <c r="E122" s="10"/>
      <c r="F122" s="106"/>
      <c r="G122" s="10"/>
      <c r="H122" s="10"/>
      <c r="I122" s="56"/>
      <c r="J122" s="56"/>
      <c r="K122" s="56"/>
      <c r="L122" s="56"/>
      <c r="M122" s="56"/>
      <c r="N122" s="11"/>
      <c r="O122" s="100"/>
      <c r="Q122" s="100"/>
      <c r="T122" s="100"/>
    </row>
    <row r="123" spans="1:20" s="105" customFormat="1" x14ac:dyDescent="0.15">
      <c r="A123" s="11"/>
      <c r="B123" s="10"/>
      <c r="C123" s="106"/>
      <c r="D123" s="10"/>
      <c r="E123" s="10"/>
      <c r="F123" s="106"/>
      <c r="G123" s="10"/>
      <c r="H123" s="10"/>
      <c r="I123" s="56"/>
      <c r="J123" s="56"/>
      <c r="K123" s="56"/>
      <c r="L123" s="56"/>
      <c r="M123" s="56"/>
      <c r="N123" s="11"/>
      <c r="O123" s="100"/>
      <c r="Q123" s="100"/>
      <c r="T123" s="100"/>
    </row>
    <row r="124" spans="1:20" s="105" customFormat="1" x14ac:dyDescent="0.15">
      <c r="A124" s="11"/>
      <c r="B124" s="10"/>
      <c r="C124" s="106"/>
      <c r="D124" s="10"/>
      <c r="E124" s="10"/>
      <c r="F124" s="106"/>
      <c r="G124" s="10"/>
      <c r="H124" s="10"/>
      <c r="I124" s="56"/>
      <c r="J124" s="56"/>
      <c r="K124" s="56"/>
      <c r="L124" s="56"/>
      <c r="M124" s="56"/>
      <c r="N124" s="11"/>
      <c r="O124" s="100"/>
      <c r="Q124" s="100"/>
      <c r="T124" s="100"/>
    </row>
    <row r="125" spans="1:20" s="105" customFormat="1" x14ac:dyDescent="0.15">
      <c r="A125" s="11"/>
      <c r="B125" s="10"/>
      <c r="C125" s="106"/>
      <c r="D125" s="10"/>
      <c r="E125" s="10"/>
      <c r="F125" s="106"/>
      <c r="G125" s="10"/>
      <c r="H125" s="10"/>
      <c r="I125" s="56"/>
      <c r="J125" s="56"/>
      <c r="K125" s="56"/>
      <c r="L125" s="56"/>
      <c r="M125" s="56"/>
      <c r="N125" s="11"/>
      <c r="O125" s="100"/>
      <c r="Q125" s="100"/>
      <c r="T125" s="100"/>
    </row>
    <row r="126" spans="1:20" s="105" customFormat="1" x14ac:dyDescent="0.15">
      <c r="A126" s="11"/>
      <c r="B126" s="10"/>
      <c r="C126" s="106"/>
      <c r="D126" s="10"/>
      <c r="E126" s="10"/>
      <c r="F126" s="106"/>
      <c r="G126" s="10"/>
      <c r="H126" s="10"/>
      <c r="I126" s="56"/>
      <c r="J126" s="56"/>
      <c r="K126" s="56"/>
      <c r="L126" s="56"/>
      <c r="M126" s="56"/>
      <c r="N126" s="11"/>
      <c r="O126" s="100"/>
      <c r="Q126" s="100"/>
      <c r="T126" s="100"/>
    </row>
    <row r="127" spans="1:20" s="105" customFormat="1" x14ac:dyDescent="0.15">
      <c r="A127" s="11"/>
      <c r="B127" s="10"/>
      <c r="C127" s="106"/>
      <c r="D127" s="10"/>
      <c r="E127" s="10"/>
      <c r="F127" s="106"/>
      <c r="G127" s="10"/>
      <c r="H127" s="10"/>
      <c r="I127" s="56"/>
      <c r="J127" s="56"/>
      <c r="K127" s="56"/>
      <c r="L127" s="56"/>
      <c r="M127" s="56"/>
      <c r="N127" s="11"/>
      <c r="O127" s="100"/>
      <c r="Q127" s="100"/>
      <c r="T127" s="100"/>
    </row>
    <row r="128" spans="1:20" s="105" customFormat="1" x14ac:dyDescent="0.15">
      <c r="A128" s="11"/>
      <c r="B128" s="10"/>
      <c r="C128" s="106"/>
      <c r="D128" s="10"/>
      <c r="E128" s="10"/>
      <c r="F128" s="106"/>
      <c r="G128" s="10"/>
      <c r="H128" s="10"/>
      <c r="I128" s="56"/>
      <c r="J128" s="56"/>
      <c r="K128" s="56"/>
      <c r="L128" s="56"/>
      <c r="M128" s="56"/>
      <c r="N128" s="11"/>
      <c r="O128" s="100"/>
      <c r="Q128" s="100"/>
      <c r="T128" s="100"/>
    </row>
    <row r="129" spans="1:20" s="105" customFormat="1" x14ac:dyDescent="0.15">
      <c r="A129" s="11"/>
      <c r="B129" s="10"/>
      <c r="C129" s="106"/>
      <c r="D129" s="10"/>
      <c r="E129" s="10"/>
      <c r="F129" s="106"/>
      <c r="G129" s="10"/>
      <c r="H129" s="10"/>
      <c r="I129" s="56"/>
      <c r="J129" s="56"/>
      <c r="K129" s="56"/>
      <c r="L129" s="56"/>
      <c r="M129" s="56"/>
      <c r="N129" s="11"/>
      <c r="O129" s="100"/>
      <c r="Q129" s="100"/>
      <c r="T129" s="100"/>
    </row>
    <row r="130" spans="1:20" s="105" customFormat="1" x14ac:dyDescent="0.15">
      <c r="A130" s="11"/>
      <c r="B130" s="10"/>
      <c r="C130" s="106"/>
      <c r="D130" s="10"/>
      <c r="E130" s="10"/>
      <c r="F130" s="106"/>
      <c r="G130" s="10"/>
      <c r="H130" s="10"/>
      <c r="I130" s="56"/>
      <c r="J130" s="56"/>
      <c r="K130" s="56"/>
      <c r="L130" s="56"/>
      <c r="M130" s="56"/>
      <c r="N130" s="11"/>
      <c r="O130" s="100"/>
      <c r="Q130" s="100"/>
      <c r="T130" s="100"/>
    </row>
    <row r="131" spans="1:20" s="105" customFormat="1" x14ac:dyDescent="0.15">
      <c r="A131" s="11"/>
      <c r="B131" s="10"/>
      <c r="C131" s="106"/>
      <c r="D131" s="10"/>
      <c r="E131" s="10"/>
      <c r="F131" s="106"/>
      <c r="G131" s="10"/>
      <c r="H131" s="10"/>
      <c r="I131" s="56"/>
      <c r="J131" s="56"/>
      <c r="K131" s="56"/>
      <c r="L131" s="56"/>
      <c r="M131" s="56"/>
      <c r="N131" s="11"/>
      <c r="O131" s="100"/>
      <c r="Q131" s="100"/>
      <c r="T131" s="100"/>
    </row>
    <row r="132" spans="1:20" s="105" customFormat="1" x14ac:dyDescent="0.15">
      <c r="A132" s="11"/>
      <c r="B132" s="10"/>
      <c r="C132" s="106"/>
      <c r="D132" s="10"/>
      <c r="E132" s="10"/>
      <c r="F132" s="106"/>
      <c r="G132" s="10"/>
      <c r="H132" s="10"/>
      <c r="I132" s="56"/>
      <c r="J132" s="56"/>
      <c r="K132" s="56"/>
      <c r="L132" s="56"/>
      <c r="M132" s="56"/>
      <c r="N132" s="11"/>
      <c r="O132" s="100"/>
      <c r="Q132" s="100"/>
      <c r="T132" s="100"/>
    </row>
    <row r="133" spans="1:20" s="105" customFormat="1" x14ac:dyDescent="0.15">
      <c r="A133" s="11"/>
      <c r="B133" s="10"/>
      <c r="C133" s="106"/>
      <c r="D133" s="10"/>
      <c r="E133" s="10"/>
      <c r="F133" s="106"/>
      <c r="G133" s="10"/>
      <c r="H133" s="10"/>
      <c r="I133" s="56"/>
      <c r="J133" s="56"/>
      <c r="K133" s="56"/>
      <c r="L133" s="56"/>
      <c r="M133" s="56"/>
      <c r="N133" s="11"/>
      <c r="O133" s="100"/>
      <c r="Q133" s="100"/>
      <c r="T133" s="100"/>
    </row>
    <row r="134" spans="1:20" s="105" customFormat="1" x14ac:dyDescent="0.15">
      <c r="A134" s="11"/>
      <c r="B134" s="10"/>
      <c r="C134" s="106"/>
      <c r="D134" s="10"/>
      <c r="E134" s="10"/>
      <c r="F134" s="106"/>
      <c r="G134" s="10"/>
      <c r="H134" s="10"/>
      <c r="I134" s="56"/>
      <c r="J134" s="56"/>
      <c r="K134" s="56"/>
      <c r="L134" s="56"/>
      <c r="M134" s="56"/>
      <c r="N134" s="11"/>
      <c r="O134" s="100"/>
      <c r="Q134" s="100"/>
      <c r="T134" s="100"/>
    </row>
    <row r="135" spans="1:20" s="105" customFormat="1" x14ac:dyDescent="0.15">
      <c r="A135" s="11"/>
      <c r="B135" s="10"/>
      <c r="C135" s="106"/>
      <c r="D135" s="10"/>
      <c r="E135" s="10"/>
      <c r="F135" s="106"/>
      <c r="G135" s="10"/>
      <c r="H135" s="10"/>
      <c r="I135" s="56"/>
      <c r="J135" s="56"/>
      <c r="K135" s="56"/>
      <c r="L135" s="56"/>
      <c r="M135" s="56"/>
      <c r="N135" s="11"/>
      <c r="O135" s="100"/>
      <c r="Q135" s="100"/>
      <c r="T135" s="100"/>
    </row>
    <row r="136" spans="1:20" s="105" customFormat="1" x14ac:dyDescent="0.15">
      <c r="A136" s="11"/>
      <c r="B136" s="10"/>
      <c r="C136" s="106"/>
      <c r="D136" s="10"/>
      <c r="E136" s="10"/>
      <c r="F136" s="106"/>
      <c r="G136" s="10"/>
      <c r="H136" s="10"/>
      <c r="I136" s="56"/>
      <c r="J136" s="56"/>
      <c r="K136" s="56"/>
      <c r="L136" s="56"/>
      <c r="M136" s="56"/>
      <c r="N136" s="11"/>
      <c r="O136" s="100"/>
      <c r="Q136" s="100"/>
      <c r="T136" s="100"/>
    </row>
    <row r="137" spans="1:20" s="105" customFormat="1" x14ac:dyDescent="0.15">
      <c r="A137" s="11"/>
      <c r="B137" s="10"/>
      <c r="C137" s="106"/>
      <c r="D137" s="10"/>
      <c r="E137" s="10"/>
      <c r="F137" s="106"/>
      <c r="G137" s="10"/>
      <c r="H137" s="10"/>
      <c r="I137" s="56"/>
      <c r="J137" s="56"/>
      <c r="K137" s="56"/>
      <c r="L137" s="56"/>
      <c r="M137" s="56"/>
      <c r="N137" s="11"/>
      <c r="O137" s="100"/>
      <c r="Q137" s="100"/>
      <c r="T137" s="100"/>
    </row>
    <row r="138" spans="1:20" s="105" customFormat="1" x14ac:dyDescent="0.15">
      <c r="A138" s="11"/>
      <c r="B138" s="10"/>
      <c r="C138" s="106"/>
      <c r="D138" s="10"/>
      <c r="E138" s="10"/>
      <c r="F138" s="106"/>
      <c r="G138" s="10"/>
      <c r="H138" s="10"/>
      <c r="I138" s="56"/>
      <c r="J138" s="56"/>
      <c r="K138" s="56"/>
      <c r="L138" s="56"/>
      <c r="M138" s="56"/>
      <c r="N138" s="11"/>
      <c r="O138" s="100"/>
      <c r="Q138" s="100"/>
      <c r="T138" s="100"/>
    </row>
    <row r="139" spans="1:20" s="105" customFormat="1" x14ac:dyDescent="0.15">
      <c r="A139" s="11"/>
      <c r="B139" s="10"/>
      <c r="C139" s="106"/>
      <c r="D139" s="10"/>
      <c r="E139" s="10"/>
      <c r="F139" s="106"/>
      <c r="G139" s="10"/>
      <c r="H139" s="10"/>
      <c r="I139" s="56"/>
      <c r="J139" s="56"/>
      <c r="K139" s="56"/>
      <c r="L139" s="56"/>
      <c r="M139" s="56"/>
      <c r="N139" s="11"/>
      <c r="O139" s="100"/>
      <c r="Q139" s="100"/>
      <c r="T139" s="100"/>
    </row>
    <row r="140" spans="1:20" s="105" customFormat="1" x14ac:dyDescent="0.15">
      <c r="A140" s="11"/>
      <c r="B140" s="10"/>
      <c r="C140" s="106"/>
      <c r="D140" s="10"/>
      <c r="E140" s="10"/>
      <c r="F140" s="106"/>
      <c r="G140" s="10"/>
      <c r="H140" s="10"/>
      <c r="I140" s="56"/>
      <c r="J140" s="56"/>
      <c r="K140" s="56"/>
      <c r="L140" s="56"/>
      <c r="M140" s="56"/>
      <c r="N140" s="11"/>
      <c r="O140" s="100"/>
      <c r="Q140" s="100"/>
      <c r="T140" s="100"/>
    </row>
    <row r="141" spans="1:20" s="105" customFormat="1" x14ac:dyDescent="0.15">
      <c r="A141" s="11"/>
      <c r="B141" s="10"/>
      <c r="C141" s="106"/>
      <c r="D141" s="10"/>
      <c r="E141" s="10"/>
      <c r="F141" s="106"/>
      <c r="G141" s="10"/>
      <c r="H141" s="10"/>
      <c r="I141" s="56"/>
      <c r="J141" s="56"/>
      <c r="K141" s="56"/>
      <c r="L141" s="56"/>
      <c r="M141" s="56"/>
      <c r="N141" s="11"/>
      <c r="O141" s="100"/>
      <c r="Q141" s="100"/>
      <c r="T141" s="100"/>
    </row>
    <row r="142" spans="1:20" s="105" customFormat="1" x14ac:dyDescent="0.15">
      <c r="A142" s="11"/>
      <c r="B142" s="10"/>
      <c r="C142" s="106"/>
      <c r="D142" s="10"/>
      <c r="E142" s="10"/>
      <c r="F142" s="106"/>
      <c r="G142" s="10"/>
      <c r="H142" s="10"/>
      <c r="I142" s="56"/>
      <c r="J142" s="56"/>
      <c r="K142" s="56"/>
      <c r="L142" s="56"/>
      <c r="M142" s="56"/>
      <c r="N142" s="11"/>
      <c r="O142" s="100"/>
      <c r="Q142" s="100"/>
      <c r="T142" s="100"/>
    </row>
    <row r="143" spans="1:20" s="105" customFormat="1" x14ac:dyDescent="0.15">
      <c r="A143" s="11"/>
      <c r="B143" s="10"/>
      <c r="C143" s="106"/>
      <c r="D143" s="10"/>
      <c r="E143" s="10"/>
      <c r="F143" s="106"/>
      <c r="G143" s="10"/>
      <c r="H143" s="10"/>
      <c r="I143" s="56"/>
      <c r="J143" s="56"/>
      <c r="K143" s="56"/>
      <c r="L143" s="56"/>
      <c r="M143" s="56"/>
      <c r="N143" s="11"/>
      <c r="O143" s="100"/>
      <c r="Q143" s="100"/>
      <c r="T143" s="100"/>
    </row>
    <row r="144" spans="1:20" s="105" customFormat="1" x14ac:dyDescent="0.15">
      <c r="A144" s="11"/>
      <c r="B144" s="10"/>
      <c r="C144" s="106"/>
      <c r="D144" s="10"/>
      <c r="E144" s="10"/>
      <c r="F144" s="106"/>
      <c r="G144" s="10"/>
      <c r="H144" s="10"/>
      <c r="I144" s="56"/>
      <c r="J144" s="56"/>
      <c r="K144" s="56"/>
      <c r="L144" s="56"/>
      <c r="M144" s="56"/>
      <c r="N144" s="11"/>
      <c r="O144" s="100"/>
      <c r="Q144" s="100"/>
      <c r="T144" s="100"/>
    </row>
    <row r="145" spans="1:20" s="105" customFormat="1" x14ac:dyDescent="0.15">
      <c r="A145" s="11"/>
      <c r="B145" s="10"/>
      <c r="C145" s="106"/>
      <c r="D145" s="10"/>
      <c r="E145" s="10"/>
      <c r="F145" s="106"/>
      <c r="G145" s="10"/>
      <c r="H145" s="10"/>
      <c r="I145" s="56"/>
      <c r="J145" s="56"/>
      <c r="K145" s="56"/>
      <c r="L145" s="56"/>
      <c r="M145" s="56"/>
      <c r="N145" s="11"/>
      <c r="O145" s="100"/>
      <c r="Q145" s="100"/>
      <c r="T145" s="100"/>
    </row>
    <row r="146" spans="1:20" s="105" customFormat="1" x14ac:dyDescent="0.15">
      <c r="A146" s="11"/>
      <c r="B146" s="10"/>
      <c r="C146" s="106"/>
      <c r="D146" s="10"/>
      <c r="E146" s="10"/>
      <c r="F146" s="106"/>
      <c r="G146" s="10"/>
      <c r="H146" s="10"/>
      <c r="I146" s="56"/>
      <c r="J146" s="56"/>
      <c r="K146" s="56"/>
      <c r="L146" s="56"/>
      <c r="M146" s="56"/>
      <c r="N146" s="11"/>
      <c r="O146" s="100"/>
      <c r="Q146" s="100"/>
      <c r="T146" s="100"/>
    </row>
    <row r="147" spans="1:20" s="105" customFormat="1" x14ac:dyDescent="0.15">
      <c r="A147" s="11"/>
      <c r="B147" s="10"/>
      <c r="C147" s="106"/>
      <c r="D147" s="10"/>
      <c r="E147" s="10"/>
      <c r="F147" s="106"/>
      <c r="G147" s="10"/>
      <c r="H147" s="10"/>
      <c r="I147" s="56"/>
      <c r="J147" s="56"/>
      <c r="K147" s="56"/>
      <c r="L147" s="56"/>
      <c r="M147" s="56"/>
      <c r="N147" s="11"/>
      <c r="O147" s="100"/>
      <c r="Q147" s="100"/>
      <c r="T147" s="100"/>
    </row>
    <row r="148" spans="1:20" s="105" customFormat="1" x14ac:dyDescent="0.15">
      <c r="A148" s="11"/>
      <c r="B148" s="10"/>
      <c r="C148" s="106"/>
      <c r="D148" s="10"/>
      <c r="E148" s="10"/>
      <c r="F148" s="106"/>
      <c r="G148" s="10"/>
      <c r="H148" s="10"/>
      <c r="I148" s="56"/>
      <c r="J148" s="56"/>
      <c r="K148" s="56"/>
      <c r="L148" s="56"/>
      <c r="M148" s="56"/>
      <c r="N148" s="11"/>
      <c r="O148" s="100"/>
      <c r="Q148" s="100"/>
      <c r="T148" s="100"/>
    </row>
    <row r="149" spans="1:20" s="105" customFormat="1" x14ac:dyDescent="0.15">
      <c r="A149" s="11"/>
      <c r="B149" s="10"/>
      <c r="C149" s="106"/>
      <c r="D149" s="10"/>
      <c r="E149" s="10"/>
      <c r="F149" s="106"/>
      <c r="G149" s="10"/>
      <c r="H149" s="10"/>
      <c r="I149" s="56"/>
      <c r="J149" s="56"/>
      <c r="K149" s="56"/>
      <c r="L149" s="56"/>
      <c r="M149" s="56"/>
      <c r="N149" s="11"/>
      <c r="O149" s="100"/>
      <c r="Q149" s="100"/>
      <c r="T149" s="100"/>
    </row>
    <row r="150" spans="1:20" s="105" customFormat="1" x14ac:dyDescent="0.15">
      <c r="A150" s="11"/>
      <c r="B150" s="10"/>
      <c r="C150" s="106"/>
      <c r="D150" s="10"/>
      <c r="E150" s="10"/>
      <c r="F150" s="106"/>
      <c r="G150" s="10"/>
      <c r="H150" s="10"/>
      <c r="I150" s="56"/>
      <c r="J150" s="56"/>
      <c r="K150" s="56"/>
      <c r="L150" s="56"/>
      <c r="M150" s="56"/>
      <c r="N150" s="11"/>
      <c r="O150" s="100"/>
      <c r="Q150" s="100"/>
      <c r="T150" s="100"/>
    </row>
    <row r="151" spans="1:20" s="105" customFormat="1" x14ac:dyDescent="0.15">
      <c r="A151" s="11"/>
      <c r="B151" s="10"/>
      <c r="C151" s="106"/>
      <c r="D151" s="10"/>
      <c r="E151" s="10"/>
      <c r="F151" s="106"/>
      <c r="G151" s="10"/>
      <c r="H151" s="10"/>
      <c r="I151" s="56"/>
      <c r="J151" s="56"/>
      <c r="K151" s="56"/>
      <c r="L151" s="56"/>
      <c r="M151" s="56"/>
      <c r="N151" s="11"/>
      <c r="O151" s="100"/>
      <c r="Q151" s="100"/>
      <c r="T151" s="100"/>
    </row>
    <row r="152" spans="1:20" s="105" customFormat="1" x14ac:dyDescent="0.15">
      <c r="A152" s="11"/>
      <c r="B152" s="10"/>
      <c r="C152" s="106"/>
      <c r="D152" s="10"/>
      <c r="E152" s="10"/>
      <c r="F152" s="106"/>
      <c r="G152" s="10"/>
      <c r="H152" s="10"/>
      <c r="I152" s="56"/>
      <c r="J152" s="56"/>
      <c r="K152" s="56"/>
      <c r="L152" s="56"/>
      <c r="M152" s="56"/>
      <c r="N152" s="11"/>
      <c r="O152" s="100"/>
      <c r="Q152" s="100"/>
      <c r="T152" s="100"/>
    </row>
    <row r="153" spans="1:20" s="105" customFormat="1" x14ac:dyDescent="0.15">
      <c r="A153" s="11"/>
      <c r="B153" s="10"/>
      <c r="C153" s="106"/>
      <c r="D153" s="10"/>
      <c r="E153" s="10"/>
      <c r="F153" s="106"/>
      <c r="G153" s="10"/>
      <c r="H153" s="10"/>
      <c r="I153" s="56"/>
      <c r="J153" s="56"/>
      <c r="K153" s="56"/>
      <c r="L153" s="56"/>
      <c r="M153" s="56"/>
      <c r="N153" s="11"/>
      <c r="O153" s="100"/>
      <c r="Q153" s="100"/>
      <c r="T153" s="100"/>
    </row>
    <row r="154" spans="1:20" s="105" customFormat="1" x14ac:dyDescent="0.15">
      <c r="A154" s="11"/>
      <c r="B154" s="10"/>
      <c r="C154" s="106"/>
      <c r="D154" s="10"/>
      <c r="E154" s="10"/>
      <c r="F154" s="106"/>
      <c r="G154" s="10"/>
      <c r="H154" s="10"/>
      <c r="I154" s="56"/>
      <c r="J154" s="56"/>
      <c r="K154" s="56"/>
      <c r="L154" s="56"/>
      <c r="M154" s="56"/>
      <c r="N154" s="11"/>
      <c r="O154" s="100"/>
      <c r="Q154" s="100"/>
      <c r="T154" s="100"/>
    </row>
    <row r="155" spans="1:20" s="105" customFormat="1" x14ac:dyDescent="0.15">
      <c r="A155" s="11"/>
      <c r="B155" s="10"/>
      <c r="C155" s="106"/>
      <c r="D155" s="10"/>
      <c r="E155" s="10"/>
      <c r="F155" s="106"/>
      <c r="G155" s="10"/>
      <c r="H155" s="10"/>
      <c r="I155" s="56"/>
      <c r="J155" s="56"/>
      <c r="K155" s="56"/>
      <c r="L155" s="56"/>
      <c r="M155" s="56"/>
      <c r="N155" s="11"/>
      <c r="O155" s="100"/>
      <c r="Q155" s="100"/>
      <c r="T155" s="100"/>
    </row>
    <row r="156" spans="1:20" s="105" customFormat="1" x14ac:dyDescent="0.15">
      <c r="A156" s="11"/>
      <c r="B156" s="10"/>
      <c r="C156" s="106"/>
      <c r="D156" s="10"/>
      <c r="E156" s="10"/>
      <c r="F156" s="106"/>
      <c r="G156" s="10"/>
      <c r="H156" s="10"/>
      <c r="I156" s="56"/>
      <c r="J156" s="56"/>
      <c r="K156" s="56"/>
      <c r="L156" s="56"/>
      <c r="M156" s="56"/>
      <c r="N156" s="11"/>
      <c r="O156" s="100"/>
      <c r="Q156" s="100"/>
      <c r="T156" s="100"/>
    </row>
    <row r="157" spans="1:20" s="105" customFormat="1" x14ac:dyDescent="0.15">
      <c r="A157" s="11"/>
      <c r="B157" s="10"/>
      <c r="C157" s="106"/>
      <c r="D157" s="10"/>
      <c r="E157" s="10"/>
      <c r="F157" s="106"/>
      <c r="G157" s="10"/>
      <c r="H157" s="10"/>
      <c r="I157" s="56"/>
      <c r="J157" s="56"/>
      <c r="K157" s="56"/>
      <c r="L157" s="56"/>
      <c r="M157" s="56"/>
      <c r="N157" s="11"/>
      <c r="O157" s="100"/>
      <c r="Q157" s="100"/>
      <c r="T157" s="100"/>
    </row>
    <row r="158" spans="1:20" s="105" customFormat="1" x14ac:dyDescent="0.15">
      <c r="A158" s="11"/>
      <c r="B158" s="10"/>
      <c r="C158" s="106"/>
      <c r="D158" s="10"/>
      <c r="E158" s="10"/>
      <c r="F158" s="106"/>
      <c r="G158" s="10"/>
      <c r="H158" s="10"/>
      <c r="I158" s="56"/>
      <c r="J158" s="56"/>
      <c r="K158" s="56"/>
      <c r="L158" s="56"/>
      <c r="M158" s="56"/>
      <c r="N158" s="11"/>
      <c r="O158" s="100"/>
      <c r="Q158" s="100"/>
      <c r="T158" s="100"/>
    </row>
    <row r="159" spans="1:20" s="105" customFormat="1" x14ac:dyDescent="0.15">
      <c r="A159" s="11"/>
      <c r="B159" s="10"/>
      <c r="C159" s="106"/>
      <c r="D159" s="10"/>
      <c r="E159" s="10"/>
      <c r="F159" s="106"/>
      <c r="G159" s="10"/>
      <c r="H159" s="10"/>
      <c r="I159" s="56"/>
      <c r="J159" s="56"/>
      <c r="K159" s="56"/>
      <c r="L159" s="56"/>
      <c r="M159" s="56"/>
      <c r="N159" s="11"/>
      <c r="O159" s="100"/>
      <c r="Q159" s="100"/>
      <c r="T159" s="100"/>
    </row>
    <row r="160" spans="1:20" s="105" customFormat="1" x14ac:dyDescent="0.15">
      <c r="A160" s="11"/>
      <c r="B160" s="10"/>
      <c r="C160" s="106"/>
      <c r="D160" s="10"/>
      <c r="E160" s="10"/>
      <c r="F160" s="106"/>
      <c r="G160" s="10"/>
      <c r="H160" s="10"/>
      <c r="I160" s="56"/>
      <c r="J160" s="56"/>
      <c r="K160" s="56"/>
      <c r="L160" s="56"/>
      <c r="M160" s="56"/>
      <c r="N160" s="11"/>
      <c r="O160" s="100"/>
      <c r="Q160" s="100"/>
      <c r="T160" s="100"/>
    </row>
    <row r="161" spans="1:20" s="105" customFormat="1" x14ac:dyDescent="0.15">
      <c r="A161" s="11"/>
      <c r="B161" s="10"/>
      <c r="C161" s="106"/>
      <c r="D161" s="10"/>
      <c r="E161" s="10"/>
      <c r="F161" s="106"/>
      <c r="G161" s="10"/>
      <c r="H161" s="10"/>
      <c r="I161" s="56"/>
      <c r="J161" s="56"/>
      <c r="K161" s="56"/>
      <c r="L161" s="56"/>
      <c r="M161" s="56"/>
      <c r="N161" s="11"/>
      <c r="O161" s="100"/>
      <c r="Q161" s="100"/>
      <c r="T161" s="100"/>
    </row>
    <row r="162" spans="1:20" s="105" customFormat="1" x14ac:dyDescent="0.15">
      <c r="A162" s="11"/>
      <c r="B162" s="10"/>
      <c r="C162" s="106"/>
      <c r="D162" s="10"/>
      <c r="E162" s="10"/>
      <c r="F162" s="106"/>
      <c r="G162" s="10"/>
      <c r="H162" s="10"/>
      <c r="I162" s="56"/>
      <c r="J162" s="56"/>
      <c r="K162" s="56"/>
      <c r="L162" s="56"/>
      <c r="M162" s="56"/>
      <c r="N162" s="11"/>
      <c r="O162" s="100"/>
      <c r="Q162" s="100"/>
      <c r="T162" s="100"/>
    </row>
    <row r="163" spans="1:20" s="105" customFormat="1" x14ac:dyDescent="0.15">
      <c r="A163" s="11"/>
      <c r="B163" s="10"/>
      <c r="C163" s="106"/>
      <c r="D163" s="10"/>
      <c r="E163" s="10"/>
      <c r="F163" s="106"/>
      <c r="G163" s="10"/>
      <c r="H163" s="10"/>
      <c r="I163" s="56"/>
      <c r="J163" s="56"/>
      <c r="K163" s="56"/>
      <c r="L163" s="56"/>
      <c r="M163" s="56"/>
      <c r="N163" s="11"/>
      <c r="O163" s="100"/>
      <c r="Q163" s="100"/>
      <c r="T163" s="100"/>
    </row>
    <row r="164" spans="1:20" s="105" customFormat="1" x14ac:dyDescent="0.15">
      <c r="A164" s="11"/>
      <c r="B164" s="10"/>
      <c r="C164" s="106"/>
      <c r="D164" s="10"/>
      <c r="E164" s="10"/>
      <c r="F164" s="106"/>
      <c r="G164" s="10"/>
      <c r="H164" s="10"/>
      <c r="I164" s="56"/>
      <c r="J164" s="56"/>
      <c r="K164" s="56"/>
      <c r="L164" s="56"/>
      <c r="M164" s="56"/>
      <c r="N164" s="11"/>
      <c r="O164" s="100"/>
      <c r="Q164" s="100"/>
      <c r="T164" s="100"/>
    </row>
    <row r="165" spans="1:20" s="105" customFormat="1" x14ac:dyDescent="0.15">
      <c r="A165" s="11"/>
      <c r="B165" s="10"/>
      <c r="C165" s="106"/>
      <c r="D165" s="10"/>
      <c r="E165" s="10"/>
      <c r="F165" s="106"/>
      <c r="G165" s="10"/>
      <c r="H165" s="10"/>
      <c r="I165" s="56"/>
      <c r="J165" s="56"/>
      <c r="K165" s="56"/>
      <c r="L165" s="56"/>
      <c r="M165" s="56"/>
      <c r="N165" s="11"/>
      <c r="O165" s="100"/>
      <c r="Q165" s="100"/>
      <c r="T165" s="100"/>
    </row>
    <row r="166" spans="1:20" s="105" customFormat="1" x14ac:dyDescent="0.15">
      <c r="A166" s="11"/>
      <c r="B166" s="10"/>
      <c r="C166" s="106"/>
      <c r="D166" s="10"/>
      <c r="E166" s="10"/>
      <c r="F166" s="106"/>
      <c r="G166" s="10"/>
      <c r="H166" s="10"/>
      <c r="I166" s="56"/>
      <c r="J166" s="56"/>
      <c r="K166" s="56"/>
      <c r="L166" s="56"/>
      <c r="M166" s="56"/>
      <c r="N166" s="11"/>
      <c r="O166" s="100"/>
      <c r="Q166" s="100"/>
      <c r="T166" s="100"/>
    </row>
    <row r="167" spans="1:20" s="105" customFormat="1" x14ac:dyDescent="0.15">
      <c r="A167" s="11"/>
      <c r="B167" s="10"/>
      <c r="C167" s="106"/>
      <c r="D167" s="10"/>
      <c r="E167" s="10"/>
      <c r="F167" s="106"/>
      <c r="G167" s="10"/>
      <c r="H167" s="10"/>
      <c r="I167" s="56"/>
      <c r="J167" s="56"/>
      <c r="K167" s="56"/>
      <c r="L167" s="56"/>
      <c r="M167" s="56"/>
      <c r="N167" s="11"/>
      <c r="O167" s="100"/>
      <c r="Q167" s="100"/>
      <c r="T167" s="100"/>
    </row>
    <row r="168" spans="1:20" s="105" customFormat="1" x14ac:dyDescent="0.15">
      <c r="A168" s="11"/>
      <c r="B168" s="10"/>
      <c r="C168" s="106"/>
      <c r="D168" s="10"/>
      <c r="E168" s="10"/>
      <c r="F168" s="106"/>
      <c r="G168" s="10"/>
      <c r="H168" s="10"/>
      <c r="I168" s="56"/>
      <c r="J168" s="56"/>
      <c r="K168" s="56"/>
      <c r="L168" s="56"/>
      <c r="M168" s="56"/>
      <c r="N168" s="11"/>
      <c r="O168" s="100"/>
      <c r="Q168" s="100"/>
      <c r="T168" s="100"/>
    </row>
    <row r="169" spans="1:20" s="105" customFormat="1" x14ac:dyDescent="0.15">
      <c r="A169" s="11"/>
      <c r="B169" s="10"/>
      <c r="C169" s="106"/>
      <c r="D169" s="10"/>
      <c r="E169" s="10"/>
      <c r="F169" s="106"/>
      <c r="G169" s="10"/>
      <c r="H169" s="10"/>
      <c r="I169" s="56"/>
      <c r="J169" s="56"/>
      <c r="K169" s="56"/>
      <c r="L169" s="56"/>
      <c r="M169" s="56"/>
      <c r="N169" s="11"/>
      <c r="O169" s="100"/>
      <c r="Q169" s="100"/>
      <c r="T169" s="100"/>
    </row>
    <row r="170" spans="1:20" s="105" customFormat="1" x14ac:dyDescent="0.15">
      <c r="A170" s="11"/>
      <c r="B170" s="10"/>
      <c r="C170" s="106"/>
      <c r="D170" s="10"/>
      <c r="E170" s="10"/>
      <c r="F170" s="106"/>
      <c r="G170" s="10"/>
      <c r="H170" s="10"/>
      <c r="I170" s="56"/>
      <c r="J170" s="56"/>
      <c r="K170" s="56"/>
      <c r="L170" s="56"/>
      <c r="M170" s="56"/>
      <c r="N170" s="11"/>
      <c r="O170" s="100"/>
      <c r="Q170" s="100"/>
      <c r="T170" s="100"/>
    </row>
    <row r="171" spans="1:20" s="105" customFormat="1" x14ac:dyDescent="0.15">
      <c r="A171" s="11"/>
      <c r="B171" s="10"/>
      <c r="C171" s="106"/>
      <c r="D171" s="10"/>
      <c r="E171" s="10"/>
      <c r="F171" s="106"/>
      <c r="G171" s="10"/>
      <c r="H171" s="10"/>
      <c r="I171" s="56"/>
      <c r="J171" s="56"/>
      <c r="K171" s="56"/>
      <c r="L171" s="56"/>
      <c r="M171" s="56"/>
      <c r="N171" s="11"/>
      <c r="O171" s="100"/>
      <c r="Q171" s="100"/>
      <c r="T171" s="100"/>
    </row>
    <row r="172" spans="1:20" s="105" customFormat="1" x14ac:dyDescent="0.15">
      <c r="A172" s="11"/>
      <c r="B172" s="10"/>
      <c r="C172" s="106"/>
      <c r="D172" s="10"/>
      <c r="E172" s="10"/>
      <c r="F172" s="106"/>
      <c r="G172" s="10"/>
      <c r="H172" s="10"/>
      <c r="I172" s="56"/>
      <c r="J172" s="56"/>
      <c r="K172" s="56"/>
      <c r="L172" s="56"/>
      <c r="M172" s="56"/>
      <c r="N172" s="11"/>
      <c r="O172" s="100"/>
      <c r="Q172" s="100"/>
      <c r="T172" s="100"/>
    </row>
    <row r="173" spans="1:20" s="105" customFormat="1" x14ac:dyDescent="0.15">
      <c r="A173" s="11"/>
      <c r="B173" s="10"/>
      <c r="C173" s="106"/>
      <c r="D173" s="10"/>
      <c r="E173" s="10"/>
      <c r="F173" s="106"/>
      <c r="G173" s="10"/>
      <c r="H173" s="10"/>
      <c r="I173" s="56"/>
      <c r="J173" s="56"/>
      <c r="K173" s="56"/>
      <c r="L173" s="56"/>
      <c r="M173" s="56"/>
      <c r="N173" s="11"/>
      <c r="O173" s="100"/>
      <c r="Q173" s="100"/>
      <c r="T173" s="100"/>
    </row>
    <row r="174" spans="1:20" s="105" customFormat="1" x14ac:dyDescent="0.15">
      <c r="A174" s="11"/>
      <c r="B174" s="10"/>
      <c r="C174" s="106"/>
      <c r="D174" s="10"/>
      <c r="E174" s="10"/>
      <c r="F174" s="106"/>
      <c r="G174" s="10"/>
      <c r="H174" s="10"/>
      <c r="I174" s="56"/>
      <c r="J174" s="56"/>
      <c r="K174" s="56"/>
      <c r="L174" s="56"/>
      <c r="M174" s="56"/>
      <c r="N174" s="11"/>
      <c r="O174" s="100"/>
      <c r="Q174" s="100"/>
      <c r="T174" s="100"/>
    </row>
    <row r="175" spans="1:20" s="105" customFormat="1" x14ac:dyDescent="0.15">
      <c r="A175" s="11"/>
      <c r="B175" s="10"/>
      <c r="C175" s="106"/>
      <c r="D175" s="10"/>
      <c r="E175" s="10"/>
      <c r="F175" s="106"/>
      <c r="G175" s="10"/>
      <c r="H175" s="10"/>
      <c r="I175" s="56"/>
      <c r="J175" s="56"/>
      <c r="K175" s="56"/>
      <c r="L175" s="56"/>
      <c r="M175" s="56"/>
      <c r="N175" s="11"/>
      <c r="O175" s="100"/>
      <c r="Q175" s="100"/>
      <c r="T175" s="100"/>
    </row>
    <row r="176" spans="1:20" s="105" customFormat="1" x14ac:dyDescent="0.15">
      <c r="A176" s="11"/>
      <c r="B176" s="10"/>
      <c r="C176" s="106"/>
      <c r="D176" s="10"/>
      <c r="E176" s="10"/>
      <c r="F176" s="106"/>
      <c r="G176" s="10"/>
      <c r="H176" s="10"/>
      <c r="I176" s="56"/>
      <c r="J176" s="56"/>
      <c r="K176" s="56"/>
      <c r="L176" s="56"/>
      <c r="M176" s="56"/>
      <c r="N176" s="11"/>
      <c r="O176" s="100"/>
      <c r="Q176" s="100"/>
      <c r="T176" s="100"/>
    </row>
    <row r="177" spans="1:20" s="105" customFormat="1" x14ac:dyDescent="0.15">
      <c r="A177" s="11"/>
      <c r="B177" s="10"/>
      <c r="C177" s="106"/>
      <c r="D177" s="10"/>
      <c r="E177" s="10"/>
      <c r="F177" s="106"/>
      <c r="G177" s="10"/>
      <c r="H177" s="10"/>
      <c r="I177" s="56"/>
      <c r="J177" s="56"/>
      <c r="K177" s="56"/>
      <c r="L177" s="56"/>
      <c r="M177" s="56"/>
      <c r="N177" s="11"/>
      <c r="O177" s="100"/>
      <c r="Q177" s="100"/>
      <c r="T177" s="100"/>
    </row>
    <row r="178" spans="1:20" s="105" customFormat="1" x14ac:dyDescent="0.15">
      <c r="A178" s="11"/>
      <c r="B178" s="10"/>
      <c r="C178" s="106"/>
      <c r="D178" s="10"/>
      <c r="E178" s="10"/>
      <c r="F178" s="106"/>
      <c r="G178" s="10"/>
      <c r="H178" s="10"/>
      <c r="I178" s="56"/>
      <c r="J178" s="56"/>
      <c r="K178" s="56"/>
      <c r="L178" s="56"/>
      <c r="M178" s="56"/>
      <c r="N178" s="11"/>
      <c r="O178" s="100"/>
      <c r="Q178" s="100"/>
      <c r="T178" s="100"/>
    </row>
    <row r="179" spans="1:20" s="105" customFormat="1" x14ac:dyDescent="0.15">
      <c r="A179" s="11"/>
      <c r="B179" s="10"/>
      <c r="C179" s="106"/>
      <c r="D179" s="10"/>
      <c r="E179" s="10"/>
      <c r="F179" s="106"/>
      <c r="G179" s="10"/>
      <c r="H179" s="10"/>
      <c r="I179" s="56"/>
      <c r="J179" s="56"/>
      <c r="K179" s="56"/>
      <c r="L179" s="56"/>
      <c r="M179" s="56"/>
      <c r="N179" s="11"/>
      <c r="O179" s="100"/>
      <c r="Q179" s="100"/>
      <c r="T179" s="100"/>
    </row>
    <row r="180" spans="1:20" s="105" customFormat="1" x14ac:dyDescent="0.15">
      <c r="A180" s="11"/>
      <c r="B180" s="10"/>
      <c r="C180" s="106"/>
      <c r="D180" s="10"/>
      <c r="E180" s="10"/>
      <c r="F180" s="106"/>
      <c r="G180" s="10"/>
      <c r="H180" s="10"/>
      <c r="I180" s="56"/>
      <c r="J180" s="56"/>
      <c r="K180" s="56"/>
      <c r="L180" s="56"/>
      <c r="M180" s="56"/>
      <c r="N180" s="11"/>
      <c r="O180" s="100"/>
      <c r="Q180" s="100"/>
      <c r="T180" s="100"/>
    </row>
    <row r="181" spans="1:20" s="105" customFormat="1" x14ac:dyDescent="0.15">
      <c r="A181" s="11"/>
      <c r="B181" s="10"/>
      <c r="C181" s="106"/>
      <c r="D181" s="10"/>
      <c r="E181" s="10"/>
      <c r="F181" s="106"/>
      <c r="G181" s="10"/>
      <c r="H181" s="10"/>
      <c r="I181" s="56"/>
      <c r="J181" s="56"/>
      <c r="K181" s="56"/>
      <c r="L181" s="56"/>
      <c r="M181" s="56"/>
      <c r="N181" s="11"/>
      <c r="O181" s="100"/>
      <c r="Q181" s="100"/>
      <c r="T181" s="100"/>
    </row>
    <row r="182" spans="1:20" s="105" customFormat="1" x14ac:dyDescent="0.15">
      <c r="A182" s="11"/>
      <c r="B182" s="10"/>
      <c r="C182" s="106"/>
      <c r="D182" s="10"/>
      <c r="E182" s="10"/>
      <c r="F182" s="106"/>
      <c r="G182" s="10"/>
      <c r="H182" s="10"/>
      <c r="I182" s="56"/>
      <c r="J182" s="56"/>
      <c r="K182" s="56"/>
      <c r="L182" s="56"/>
      <c r="M182" s="56"/>
      <c r="N182" s="11"/>
      <c r="O182" s="100"/>
      <c r="Q182" s="100"/>
      <c r="T182" s="100"/>
    </row>
    <row r="183" spans="1:20" s="105" customFormat="1" x14ac:dyDescent="0.15">
      <c r="A183" s="11"/>
      <c r="B183" s="10"/>
      <c r="C183" s="106"/>
      <c r="D183" s="10"/>
      <c r="E183" s="10"/>
      <c r="F183" s="106"/>
      <c r="G183" s="10"/>
      <c r="H183" s="10"/>
      <c r="I183" s="56"/>
      <c r="J183" s="56"/>
      <c r="K183" s="56"/>
      <c r="L183" s="56"/>
      <c r="M183" s="56"/>
      <c r="N183" s="11"/>
      <c r="O183" s="100"/>
      <c r="Q183" s="100"/>
      <c r="T183" s="100"/>
    </row>
    <row r="184" spans="1:20" s="105" customFormat="1" x14ac:dyDescent="0.15">
      <c r="A184" s="11"/>
      <c r="B184" s="10"/>
      <c r="C184" s="106"/>
      <c r="D184" s="10"/>
      <c r="E184" s="10"/>
      <c r="F184" s="106"/>
      <c r="G184" s="10"/>
      <c r="H184" s="10"/>
      <c r="I184" s="56"/>
      <c r="J184" s="56"/>
      <c r="K184" s="56"/>
      <c r="L184" s="56"/>
      <c r="M184" s="56"/>
      <c r="N184" s="11"/>
      <c r="O184" s="100"/>
      <c r="Q184" s="100"/>
      <c r="T184" s="100"/>
    </row>
    <row r="185" spans="1:20" s="105" customFormat="1" x14ac:dyDescent="0.15">
      <c r="A185" s="11"/>
      <c r="B185" s="10"/>
      <c r="C185" s="106"/>
      <c r="D185" s="10"/>
      <c r="E185" s="10"/>
      <c r="F185" s="106"/>
      <c r="G185" s="10"/>
      <c r="H185" s="10"/>
      <c r="I185" s="56"/>
      <c r="J185" s="56"/>
      <c r="K185" s="56"/>
      <c r="L185" s="56"/>
      <c r="M185" s="56"/>
      <c r="N185" s="11"/>
      <c r="O185" s="100"/>
      <c r="Q185" s="100"/>
      <c r="T185" s="100"/>
    </row>
    <row r="186" spans="1:20" s="105" customFormat="1" x14ac:dyDescent="0.15">
      <c r="A186" s="11"/>
      <c r="B186" s="10"/>
      <c r="C186" s="106"/>
      <c r="D186" s="10"/>
      <c r="E186" s="10"/>
      <c r="F186" s="106"/>
      <c r="G186" s="10"/>
      <c r="H186" s="10"/>
      <c r="I186" s="56"/>
      <c r="J186" s="56"/>
      <c r="K186" s="56"/>
      <c r="L186" s="56"/>
      <c r="M186" s="56"/>
      <c r="N186" s="11"/>
      <c r="O186" s="100"/>
      <c r="Q186" s="100"/>
      <c r="T186" s="100"/>
    </row>
    <row r="187" spans="1:20" s="105" customFormat="1" x14ac:dyDescent="0.15">
      <c r="A187" s="11"/>
      <c r="B187" s="10"/>
      <c r="C187" s="106"/>
      <c r="D187" s="10"/>
      <c r="E187" s="10"/>
      <c r="F187" s="106"/>
      <c r="G187" s="10"/>
      <c r="H187" s="10"/>
      <c r="I187" s="56"/>
      <c r="J187" s="56"/>
      <c r="K187" s="56"/>
      <c r="L187" s="56"/>
      <c r="M187" s="56"/>
      <c r="N187" s="11"/>
      <c r="O187" s="100"/>
      <c r="Q187" s="100"/>
      <c r="T187" s="100"/>
    </row>
    <row r="188" spans="1:20" s="105" customFormat="1" x14ac:dyDescent="0.15">
      <c r="A188" s="11"/>
      <c r="B188" s="10"/>
      <c r="C188" s="106"/>
      <c r="D188" s="10"/>
      <c r="E188" s="10"/>
      <c r="F188" s="106"/>
      <c r="G188" s="10"/>
      <c r="H188" s="10"/>
      <c r="I188" s="56"/>
      <c r="J188" s="56"/>
      <c r="K188" s="56"/>
      <c r="L188" s="56"/>
      <c r="M188" s="56"/>
      <c r="N188" s="11"/>
      <c r="O188" s="100"/>
      <c r="Q188" s="100"/>
      <c r="T188" s="100"/>
    </row>
    <row r="189" spans="1:20" s="105" customFormat="1" x14ac:dyDescent="0.15">
      <c r="A189" s="11"/>
      <c r="B189" s="10"/>
      <c r="C189" s="106"/>
      <c r="D189" s="10"/>
      <c r="E189" s="10"/>
      <c r="F189" s="106"/>
      <c r="G189" s="10"/>
      <c r="H189" s="10"/>
      <c r="I189" s="56"/>
      <c r="J189" s="56"/>
      <c r="K189" s="56"/>
      <c r="L189" s="56"/>
      <c r="M189" s="56"/>
      <c r="N189" s="11"/>
      <c r="O189" s="100"/>
      <c r="Q189" s="100"/>
      <c r="T189" s="100"/>
    </row>
    <row r="190" spans="1:20" s="105" customFormat="1" x14ac:dyDescent="0.15">
      <c r="A190" s="11"/>
      <c r="B190" s="10"/>
      <c r="C190" s="106"/>
      <c r="D190" s="10"/>
      <c r="E190" s="10"/>
      <c r="F190" s="106"/>
      <c r="G190" s="10"/>
      <c r="H190" s="10"/>
      <c r="I190" s="56"/>
      <c r="J190" s="56"/>
      <c r="K190" s="56"/>
      <c r="L190" s="56"/>
      <c r="M190" s="56"/>
      <c r="N190" s="11"/>
      <c r="O190" s="100"/>
      <c r="Q190" s="100"/>
      <c r="T190" s="100"/>
    </row>
    <row r="191" spans="1:20" s="105" customFormat="1" x14ac:dyDescent="0.15">
      <c r="A191" s="11"/>
      <c r="B191" s="10"/>
      <c r="C191" s="106"/>
      <c r="D191" s="10"/>
      <c r="E191" s="10"/>
      <c r="F191" s="106"/>
      <c r="G191" s="10"/>
      <c r="H191" s="10"/>
      <c r="I191" s="56"/>
      <c r="J191" s="56"/>
      <c r="K191" s="56"/>
      <c r="L191" s="56"/>
      <c r="M191" s="56"/>
      <c r="N191" s="11"/>
      <c r="O191" s="100"/>
      <c r="Q191" s="100"/>
      <c r="T191" s="100"/>
    </row>
    <row r="192" spans="1:20" s="105" customFormat="1" x14ac:dyDescent="0.15">
      <c r="A192" s="11"/>
      <c r="B192" s="10"/>
      <c r="C192" s="106"/>
      <c r="D192" s="10"/>
      <c r="E192" s="10"/>
      <c r="F192" s="106"/>
      <c r="G192" s="10"/>
      <c r="H192" s="10"/>
      <c r="I192" s="56"/>
      <c r="J192" s="56"/>
      <c r="K192" s="56"/>
      <c r="L192" s="56"/>
      <c r="M192" s="56"/>
      <c r="N192" s="11"/>
      <c r="O192" s="100"/>
      <c r="Q192" s="100"/>
      <c r="T192" s="100"/>
    </row>
    <row r="193" spans="1:20" s="105" customFormat="1" x14ac:dyDescent="0.15">
      <c r="A193" s="11"/>
      <c r="B193" s="10"/>
      <c r="C193" s="106"/>
      <c r="D193" s="10"/>
      <c r="E193" s="10"/>
      <c r="F193" s="106"/>
      <c r="G193" s="10"/>
      <c r="H193" s="10"/>
      <c r="I193" s="56"/>
      <c r="J193" s="56"/>
      <c r="K193" s="56"/>
      <c r="L193" s="56"/>
      <c r="M193" s="56"/>
      <c r="N193" s="11"/>
      <c r="O193" s="100"/>
      <c r="Q193" s="100"/>
      <c r="T193" s="100"/>
    </row>
    <row r="194" spans="1:20" s="105" customFormat="1" x14ac:dyDescent="0.15">
      <c r="A194" s="11"/>
      <c r="B194" s="10"/>
      <c r="C194" s="106"/>
      <c r="D194" s="10"/>
      <c r="E194" s="10"/>
      <c r="F194" s="106"/>
      <c r="G194" s="10"/>
      <c r="H194" s="10"/>
      <c r="I194" s="56"/>
      <c r="J194" s="56"/>
      <c r="K194" s="56"/>
      <c r="L194" s="56"/>
      <c r="M194" s="56"/>
      <c r="N194" s="11"/>
      <c r="O194" s="100"/>
      <c r="Q194" s="100"/>
      <c r="T194" s="100"/>
    </row>
    <row r="195" spans="1:20" s="105" customFormat="1" x14ac:dyDescent="0.15">
      <c r="A195" s="11"/>
      <c r="B195" s="10"/>
      <c r="C195" s="106"/>
      <c r="D195" s="10"/>
      <c r="E195" s="10"/>
      <c r="F195" s="106"/>
      <c r="G195" s="10"/>
      <c r="H195" s="10"/>
      <c r="I195" s="56"/>
      <c r="J195" s="56"/>
      <c r="K195" s="56"/>
      <c r="L195" s="56"/>
      <c r="M195" s="56"/>
      <c r="N195" s="11"/>
      <c r="O195" s="100"/>
      <c r="Q195" s="100"/>
      <c r="T195" s="100"/>
    </row>
    <row r="196" spans="1:20" s="105" customFormat="1" x14ac:dyDescent="0.15">
      <c r="A196" s="11"/>
      <c r="B196" s="10"/>
      <c r="C196" s="106"/>
      <c r="D196" s="10"/>
      <c r="E196" s="10"/>
      <c r="F196" s="106"/>
      <c r="G196" s="10"/>
      <c r="H196" s="10"/>
      <c r="I196" s="56"/>
      <c r="J196" s="56"/>
      <c r="K196" s="56"/>
      <c r="L196" s="56"/>
      <c r="M196" s="56"/>
      <c r="N196" s="11"/>
      <c r="O196" s="100"/>
      <c r="Q196" s="100"/>
      <c r="T196" s="100"/>
    </row>
    <row r="197" spans="1:20" s="105" customFormat="1" x14ac:dyDescent="0.15">
      <c r="A197" s="11"/>
      <c r="B197" s="10"/>
      <c r="C197" s="106"/>
      <c r="D197" s="10"/>
      <c r="E197" s="10"/>
      <c r="F197" s="106"/>
      <c r="G197" s="10"/>
      <c r="H197" s="10"/>
      <c r="I197" s="56"/>
      <c r="J197" s="56"/>
      <c r="K197" s="56"/>
      <c r="L197" s="56"/>
      <c r="M197" s="56"/>
      <c r="N197" s="11"/>
      <c r="O197" s="100"/>
      <c r="Q197" s="100"/>
      <c r="T197" s="100"/>
    </row>
    <row r="198" spans="1:20" s="105" customFormat="1" x14ac:dyDescent="0.15">
      <c r="A198" s="11"/>
      <c r="B198" s="10"/>
      <c r="C198" s="106"/>
      <c r="D198" s="10"/>
      <c r="E198" s="10"/>
      <c r="F198" s="106"/>
      <c r="G198" s="10"/>
      <c r="H198" s="10"/>
      <c r="I198" s="56"/>
      <c r="J198" s="56"/>
      <c r="K198" s="56"/>
      <c r="L198" s="56"/>
      <c r="M198" s="56"/>
      <c r="N198" s="11"/>
      <c r="O198" s="100"/>
      <c r="Q198" s="100"/>
      <c r="T198" s="100"/>
    </row>
    <row r="199" spans="1:20" s="105" customFormat="1" x14ac:dyDescent="0.15">
      <c r="A199" s="11"/>
      <c r="B199" s="10"/>
      <c r="C199" s="106"/>
      <c r="D199" s="10"/>
      <c r="E199" s="10"/>
      <c r="F199" s="106"/>
      <c r="G199" s="10"/>
      <c r="H199" s="10"/>
      <c r="I199" s="56"/>
      <c r="J199" s="56"/>
      <c r="K199" s="56"/>
      <c r="L199" s="56"/>
      <c r="M199" s="56"/>
      <c r="N199" s="11"/>
      <c r="O199" s="100"/>
      <c r="Q199" s="100"/>
      <c r="T199" s="100"/>
    </row>
    <row r="200" spans="1:20" s="105" customFormat="1" x14ac:dyDescent="0.15">
      <c r="A200" s="11"/>
      <c r="B200" s="10"/>
      <c r="C200" s="106"/>
      <c r="D200" s="10"/>
      <c r="E200" s="10"/>
      <c r="F200" s="106"/>
      <c r="G200" s="10"/>
      <c r="H200" s="10"/>
      <c r="I200" s="56"/>
      <c r="J200" s="56"/>
      <c r="K200" s="56"/>
      <c r="L200" s="56"/>
      <c r="M200" s="56"/>
      <c r="N200" s="11"/>
      <c r="O200" s="100"/>
      <c r="Q200" s="100"/>
      <c r="T200" s="100"/>
    </row>
    <row r="201" spans="1:20" s="105" customFormat="1" x14ac:dyDescent="0.15">
      <c r="A201" s="11"/>
      <c r="B201" s="10"/>
      <c r="C201" s="106"/>
      <c r="D201" s="10"/>
      <c r="E201" s="10"/>
      <c r="F201" s="106"/>
      <c r="G201" s="10"/>
      <c r="H201" s="10"/>
      <c r="I201" s="56"/>
      <c r="J201" s="56"/>
      <c r="K201" s="56"/>
      <c r="L201" s="56"/>
      <c r="M201" s="56"/>
      <c r="N201" s="11"/>
      <c r="O201" s="100"/>
      <c r="Q201" s="100"/>
      <c r="T201" s="100"/>
    </row>
    <row r="202" spans="1:20" s="105" customFormat="1" x14ac:dyDescent="0.15">
      <c r="A202" s="11"/>
      <c r="B202" s="10"/>
      <c r="C202" s="106"/>
      <c r="D202" s="10"/>
      <c r="E202" s="10"/>
      <c r="F202" s="106"/>
      <c r="G202" s="10"/>
      <c r="H202" s="10"/>
      <c r="I202" s="56"/>
      <c r="J202" s="56"/>
      <c r="K202" s="56"/>
      <c r="L202" s="56"/>
      <c r="M202" s="56"/>
      <c r="N202" s="11"/>
      <c r="O202" s="100"/>
      <c r="Q202" s="100"/>
      <c r="T202" s="100"/>
    </row>
    <row r="203" spans="1:20" s="105" customFormat="1" x14ac:dyDescent="0.15">
      <c r="A203" s="11"/>
      <c r="B203" s="10"/>
      <c r="C203" s="106"/>
      <c r="D203" s="10"/>
      <c r="E203" s="10"/>
      <c r="F203" s="106"/>
      <c r="G203" s="10"/>
      <c r="H203" s="10"/>
      <c r="I203" s="56"/>
      <c r="J203" s="56"/>
      <c r="K203" s="56"/>
      <c r="L203" s="56"/>
      <c r="M203" s="56"/>
      <c r="N203" s="11"/>
      <c r="O203" s="100"/>
      <c r="Q203" s="100"/>
      <c r="T203" s="100"/>
    </row>
    <row r="204" spans="1:20" s="105" customFormat="1" x14ac:dyDescent="0.15">
      <c r="A204" s="11"/>
      <c r="B204" s="10"/>
      <c r="C204" s="106"/>
      <c r="D204" s="10"/>
      <c r="E204" s="10"/>
      <c r="F204" s="106"/>
      <c r="G204" s="10"/>
      <c r="H204" s="10"/>
      <c r="I204" s="56"/>
      <c r="J204" s="56"/>
      <c r="K204" s="56"/>
      <c r="L204" s="56"/>
      <c r="M204" s="56"/>
      <c r="N204" s="11"/>
      <c r="O204" s="100"/>
      <c r="Q204" s="100"/>
      <c r="T204" s="100"/>
    </row>
    <row r="205" spans="1:20" s="105" customFormat="1" x14ac:dyDescent="0.15">
      <c r="A205" s="11"/>
      <c r="B205" s="10"/>
      <c r="C205" s="106"/>
      <c r="D205" s="10"/>
      <c r="E205" s="10"/>
      <c r="F205" s="106"/>
      <c r="G205" s="10"/>
      <c r="H205" s="10"/>
      <c r="I205" s="56"/>
      <c r="J205" s="56"/>
      <c r="K205" s="56"/>
      <c r="L205" s="56"/>
      <c r="M205" s="56"/>
      <c r="N205" s="11"/>
      <c r="O205" s="100"/>
      <c r="Q205" s="100"/>
      <c r="T205" s="100"/>
    </row>
    <row r="206" spans="1:20" s="105" customFormat="1" x14ac:dyDescent="0.15">
      <c r="A206" s="11"/>
      <c r="B206" s="10"/>
      <c r="C206" s="106"/>
      <c r="D206" s="10"/>
      <c r="E206" s="10"/>
      <c r="F206" s="106"/>
      <c r="G206" s="10"/>
      <c r="H206" s="10"/>
      <c r="I206" s="56"/>
      <c r="J206" s="56"/>
      <c r="K206" s="56"/>
      <c r="L206" s="56"/>
      <c r="M206" s="56"/>
      <c r="N206" s="11"/>
      <c r="O206" s="100"/>
      <c r="Q206" s="100"/>
      <c r="T206" s="100"/>
    </row>
    <row r="207" spans="1:20" s="105" customFormat="1" x14ac:dyDescent="0.15">
      <c r="A207" s="11"/>
      <c r="B207" s="10"/>
      <c r="C207" s="106"/>
      <c r="D207" s="10"/>
      <c r="E207" s="10"/>
      <c r="F207" s="106"/>
      <c r="G207" s="10"/>
      <c r="H207" s="10"/>
      <c r="I207" s="56"/>
      <c r="J207" s="56"/>
      <c r="K207" s="56"/>
      <c r="L207" s="56"/>
      <c r="M207" s="56"/>
      <c r="N207" s="11"/>
      <c r="O207" s="100"/>
      <c r="Q207" s="100"/>
      <c r="T207" s="100"/>
    </row>
    <row r="208" spans="1:20" s="105" customFormat="1" x14ac:dyDescent="0.15">
      <c r="A208" s="11"/>
      <c r="B208" s="10"/>
      <c r="C208" s="106"/>
      <c r="D208" s="10"/>
      <c r="E208" s="10"/>
      <c r="F208" s="106"/>
      <c r="G208" s="10"/>
      <c r="H208" s="10"/>
      <c r="I208" s="56"/>
      <c r="J208" s="56"/>
      <c r="K208" s="56"/>
      <c r="L208" s="56"/>
      <c r="M208" s="56"/>
      <c r="N208" s="11"/>
      <c r="O208" s="100"/>
      <c r="Q208" s="100"/>
      <c r="T208" s="100"/>
    </row>
    <row r="209" spans="1:20" s="105" customFormat="1" x14ac:dyDescent="0.15">
      <c r="A209" s="11"/>
      <c r="B209" s="10"/>
      <c r="C209" s="106"/>
      <c r="D209" s="10"/>
      <c r="E209" s="10"/>
      <c r="F209" s="106"/>
      <c r="G209" s="10"/>
      <c r="H209" s="10"/>
      <c r="I209" s="56"/>
      <c r="J209" s="56"/>
      <c r="K209" s="56"/>
      <c r="L209" s="56"/>
      <c r="M209" s="56"/>
      <c r="N209" s="11"/>
      <c r="O209" s="100"/>
      <c r="Q209" s="100"/>
      <c r="T209" s="100"/>
    </row>
    <row r="210" spans="1:20" s="105" customFormat="1" x14ac:dyDescent="0.15">
      <c r="A210" s="11"/>
      <c r="B210" s="10"/>
      <c r="C210" s="106"/>
      <c r="D210" s="10"/>
      <c r="E210" s="10"/>
      <c r="F210" s="106"/>
      <c r="G210" s="10"/>
      <c r="H210" s="10"/>
      <c r="I210" s="56"/>
      <c r="J210" s="56"/>
      <c r="K210" s="56"/>
      <c r="L210" s="56"/>
      <c r="M210" s="56"/>
      <c r="N210" s="11"/>
      <c r="O210" s="100"/>
      <c r="Q210" s="100"/>
      <c r="T210" s="100"/>
    </row>
    <row r="211" spans="1:20" s="105" customFormat="1" x14ac:dyDescent="0.15">
      <c r="A211" s="11"/>
      <c r="B211" s="10"/>
      <c r="C211" s="106"/>
      <c r="D211" s="10"/>
      <c r="E211" s="10"/>
      <c r="F211" s="106"/>
      <c r="G211" s="10"/>
      <c r="H211" s="10"/>
      <c r="I211" s="56"/>
      <c r="J211" s="56"/>
      <c r="K211" s="56"/>
      <c r="L211" s="56"/>
      <c r="M211" s="56"/>
      <c r="N211" s="11"/>
      <c r="O211" s="100"/>
      <c r="Q211" s="100"/>
      <c r="T211" s="100"/>
    </row>
    <row r="212" spans="1:20" s="105" customFormat="1" x14ac:dyDescent="0.15">
      <c r="A212" s="11"/>
      <c r="B212" s="10"/>
      <c r="C212" s="106"/>
      <c r="D212" s="10"/>
      <c r="E212" s="10"/>
      <c r="F212" s="106"/>
      <c r="G212" s="10"/>
      <c r="H212" s="10"/>
      <c r="I212" s="56"/>
      <c r="J212" s="56"/>
      <c r="K212" s="56"/>
      <c r="L212" s="56"/>
      <c r="M212" s="56"/>
      <c r="N212" s="11"/>
      <c r="O212" s="100"/>
      <c r="Q212" s="100"/>
      <c r="T212" s="100"/>
    </row>
    <row r="213" spans="1:20" s="105" customFormat="1" x14ac:dyDescent="0.15">
      <c r="A213" s="11"/>
      <c r="B213" s="10"/>
      <c r="C213" s="106"/>
      <c r="D213" s="10"/>
      <c r="E213" s="10"/>
      <c r="F213" s="106"/>
      <c r="G213" s="10"/>
      <c r="H213" s="10"/>
      <c r="I213" s="56"/>
      <c r="J213" s="56"/>
      <c r="K213" s="56"/>
      <c r="L213" s="56"/>
      <c r="M213" s="56"/>
      <c r="N213" s="11"/>
      <c r="O213" s="100"/>
      <c r="Q213" s="100"/>
      <c r="T213" s="100"/>
    </row>
    <row r="214" spans="1:20" s="105" customFormat="1" x14ac:dyDescent="0.15">
      <c r="A214" s="11"/>
      <c r="B214" s="10"/>
      <c r="C214" s="106"/>
      <c r="D214" s="10"/>
      <c r="E214" s="10"/>
      <c r="F214" s="106"/>
      <c r="G214" s="10"/>
      <c r="H214" s="10"/>
      <c r="I214" s="56"/>
      <c r="J214" s="56"/>
      <c r="K214" s="56"/>
      <c r="L214" s="56"/>
      <c r="M214" s="56"/>
      <c r="N214" s="11"/>
      <c r="O214" s="100"/>
      <c r="Q214" s="100"/>
      <c r="T214" s="100"/>
    </row>
    <row r="215" spans="1:20" s="105" customFormat="1" x14ac:dyDescent="0.15">
      <c r="A215" s="11"/>
      <c r="B215" s="10"/>
      <c r="C215" s="106"/>
      <c r="D215" s="10"/>
      <c r="E215" s="10"/>
      <c r="F215" s="106"/>
      <c r="G215" s="10"/>
      <c r="H215" s="10"/>
      <c r="I215" s="56"/>
      <c r="J215" s="56"/>
      <c r="K215" s="56"/>
      <c r="L215" s="56"/>
      <c r="M215" s="56"/>
      <c r="N215" s="11"/>
      <c r="O215" s="100"/>
      <c r="Q215" s="100"/>
      <c r="T215" s="100"/>
    </row>
    <row r="216" spans="1:20" s="105" customFormat="1" x14ac:dyDescent="0.15">
      <c r="A216" s="11"/>
      <c r="B216" s="10"/>
      <c r="C216" s="106"/>
      <c r="D216" s="10"/>
      <c r="E216" s="10"/>
      <c r="F216" s="106"/>
      <c r="G216" s="10"/>
      <c r="H216" s="10"/>
      <c r="I216" s="56"/>
      <c r="J216" s="56"/>
      <c r="K216" s="56"/>
      <c r="L216" s="56"/>
      <c r="M216" s="56"/>
      <c r="N216" s="11"/>
      <c r="O216" s="100"/>
      <c r="Q216" s="100"/>
      <c r="T216" s="100"/>
    </row>
    <row r="217" spans="1:20" s="105" customFormat="1" x14ac:dyDescent="0.15">
      <c r="A217" s="11"/>
      <c r="B217" s="10"/>
      <c r="C217" s="106"/>
      <c r="D217" s="10"/>
      <c r="E217" s="10"/>
      <c r="F217" s="106"/>
      <c r="G217" s="10"/>
      <c r="H217" s="10"/>
      <c r="I217" s="56"/>
      <c r="J217" s="56"/>
      <c r="K217" s="56"/>
      <c r="L217" s="56"/>
      <c r="M217" s="56"/>
      <c r="N217" s="11"/>
      <c r="O217" s="100"/>
      <c r="Q217" s="100"/>
      <c r="T217" s="100"/>
    </row>
    <row r="218" spans="1:20" s="105" customFormat="1" x14ac:dyDescent="0.15">
      <c r="A218" s="11"/>
      <c r="B218" s="10"/>
      <c r="C218" s="106"/>
      <c r="D218" s="10"/>
      <c r="E218" s="10"/>
      <c r="F218" s="106"/>
      <c r="G218" s="10"/>
      <c r="H218" s="10"/>
      <c r="I218" s="56"/>
      <c r="J218" s="56"/>
      <c r="K218" s="56"/>
      <c r="L218" s="56"/>
      <c r="M218" s="56"/>
      <c r="N218" s="11"/>
      <c r="O218" s="100"/>
      <c r="Q218" s="100"/>
      <c r="T218" s="100"/>
    </row>
    <row r="219" spans="1:20" s="105" customFormat="1" x14ac:dyDescent="0.15">
      <c r="A219" s="11"/>
      <c r="B219" s="10"/>
      <c r="C219" s="106"/>
      <c r="D219" s="10"/>
      <c r="E219" s="10"/>
      <c r="F219" s="106"/>
      <c r="G219" s="10"/>
      <c r="H219" s="10"/>
      <c r="I219" s="56"/>
      <c r="J219" s="56"/>
      <c r="K219" s="56"/>
      <c r="L219" s="56"/>
      <c r="M219" s="56"/>
      <c r="N219" s="11"/>
      <c r="O219" s="100"/>
      <c r="Q219" s="100"/>
      <c r="T219" s="100"/>
    </row>
    <row r="220" spans="1:20" s="105" customFormat="1" x14ac:dyDescent="0.15">
      <c r="A220" s="11"/>
      <c r="B220" s="10"/>
      <c r="C220" s="106"/>
      <c r="D220" s="10"/>
      <c r="E220" s="10"/>
      <c r="F220" s="106"/>
      <c r="G220" s="10"/>
      <c r="H220" s="10"/>
      <c r="I220" s="56"/>
      <c r="J220" s="56"/>
      <c r="K220" s="56"/>
      <c r="L220" s="56"/>
      <c r="M220" s="56"/>
      <c r="N220" s="11"/>
      <c r="O220" s="100"/>
      <c r="Q220" s="100"/>
      <c r="T220" s="100"/>
    </row>
    <row r="221" spans="1:20" s="105" customFormat="1" x14ac:dyDescent="0.15">
      <c r="A221" s="11"/>
      <c r="B221" s="10"/>
      <c r="C221" s="106"/>
      <c r="D221" s="10"/>
      <c r="E221" s="10"/>
      <c r="F221" s="106"/>
      <c r="G221" s="10"/>
      <c r="H221" s="10"/>
      <c r="I221" s="56"/>
      <c r="J221" s="56"/>
      <c r="K221" s="56"/>
      <c r="L221" s="56"/>
      <c r="M221" s="56"/>
      <c r="N221" s="11"/>
      <c r="O221" s="100"/>
      <c r="Q221" s="100"/>
      <c r="T221" s="100"/>
    </row>
    <row r="222" spans="1:20" s="105" customFormat="1" x14ac:dyDescent="0.15">
      <c r="A222" s="11"/>
      <c r="B222" s="10"/>
      <c r="C222" s="106"/>
      <c r="D222" s="10"/>
      <c r="E222" s="10"/>
      <c r="F222" s="106"/>
      <c r="G222" s="10"/>
      <c r="H222" s="10"/>
      <c r="I222" s="56"/>
      <c r="J222" s="56"/>
      <c r="K222" s="56"/>
      <c r="L222" s="56"/>
      <c r="M222" s="56"/>
      <c r="N222" s="11"/>
      <c r="O222" s="100"/>
      <c r="Q222" s="100"/>
      <c r="T222" s="100"/>
    </row>
    <row r="223" spans="1:20" s="105" customFormat="1" x14ac:dyDescent="0.15">
      <c r="A223" s="11"/>
      <c r="B223" s="10"/>
      <c r="C223" s="106"/>
      <c r="D223" s="10"/>
      <c r="E223" s="10"/>
      <c r="F223" s="106"/>
      <c r="G223" s="10"/>
      <c r="H223" s="10"/>
      <c r="I223" s="56"/>
      <c r="J223" s="56"/>
      <c r="K223" s="56"/>
      <c r="L223" s="56"/>
      <c r="M223" s="56"/>
      <c r="N223" s="11"/>
      <c r="O223" s="100"/>
      <c r="Q223" s="100"/>
      <c r="T223" s="100"/>
    </row>
    <row r="224" spans="1:20" s="105" customFormat="1" x14ac:dyDescent="0.15">
      <c r="A224" s="11"/>
      <c r="B224" s="10"/>
      <c r="C224" s="106"/>
      <c r="D224" s="10"/>
      <c r="E224" s="10"/>
      <c r="F224" s="106"/>
      <c r="G224" s="10"/>
      <c r="H224" s="10"/>
      <c r="I224" s="56"/>
      <c r="J224" s="56"/>
      <c r="K224" s="56"/>
      <c r="L224" s="56"/>
      <c r="M224" s="56"/>
      <c r="N224" s="11"/>
      <c r="O224" s="100"/>
      <c r="Q224" s="100"/>
      <c r="T224" s="100"/>
    </row>
    <row r="225" spans="1:20" s="105" customFormat="1" x14ac:dyDescent="0.15">
      <c r="A225" s="11"/>
      <c r="B225" s="10"/>
      <c r="C225" s="106"/>
      <c r="D225" s="10"/>
      <c r="E225" s="10"/>
      <c r="F225" s="106"/>
      <c r="G225" s="10"/>
      <c r="H225" s="10"/>
      <c r="I225" s="56"/>
      <c r="J225" s="56"/>
      <c r="K225" s="56"/>
      <c r="L225" s="56"/>
      <c r="M225" s="56"/>
      <c r="N225" s="11"/>
      <c r="O225" s="100"/>
      <c r="Q225" s="100"/>
      <c r="T225" s="100"/>
    </row>
    <row r="226" spans="1:20" s="105" customFormat="1" x14ac:dyDescent="0.15">
      <c r="A226" s="11"/>
      <c r="B226" s="10"/>
      <c r="C226" s="106"/>
      <c r="D226" s="10"/>
      <c r="E226" s="10"/>
      <c r="F226" s="106"/>
      <c r="G226" s="10"/>
      <c r="H226" s="10"/>
      <c r="I226" s="56"/>
      <c r="J226" s="56"/>
      <c r="K226" s="56"/>
      <c r="L226" s="56"/>
      <c r="M226" s="56"/>
      <c r="N226" s="11"/>
      <c r="O226" s="100"/>
      <c r="Q226" s="100"/>
      <c r="T226" s="100"/>
    </row>
    <row r="227" spans="1:20" s="105" customFormat="1" x14ac:dyDescent="0.15">
      <c r="A227" s="11"/>
      <c r="B227" s="10"/>
      <c r="C227" s="106"/>
      <c r="D227" s="10"/>
      <c r="E227" s="10"/>
      <c r="F227" s="106"/>
      <c r="G227" s="10"/>
      <c r="H227" s="10"/>
      <c r="I227" s="56"/>
      <c r="J227" s="56"/>
      <c r="K227" s="56"/>
      <c r="L227" s="56"/>
      <c r="M227" s="56"/>
      <c r="N227" s="11"/>
      <c r="O227" s="100"/>
      <c r="Q227" s="100"/>
      <c r="T227" s="100"/>
    </row>
    <row r="228" spans="1:20" s="105" customFormat="1" x14ac:dyDescent="0.15">
      <c r="A228" s="11"/>
      <c r="B228" s="10"/>
      <c r="C228" s="106"/>
      <c r="D228" s="10"/>
      <c r="E228" s="10"/>
      <c r="F228" s="106"/>
      <c r="G228" s="10"/>
      <c r="H228" s="10"/>
      <c r="I228" s="56"/>
      <c r="J228" s="56"/>
      <c r="K228" s="56"/>
      <c r="L228" s="56"/>
      <c r="M228" s="56"/>
      <c r="N228" s="11"/>
      <c r="O228" s="100"/>
      <c r="Q228" s="100"/>
      <c r="T228" s="100"/>
    </row>
    <row r="229" spans="1:20" s="105" customFormat="1" x14ac:dyDescent="0.15">
      <c r="A229" s="11"/>
      <c r="B229" s="10"/>
      <c r="C229" s="106"/>
      <c r="D229" s="10"/>
      <c r="E229" s="10"/>
      <c r="F229" s="106"/>
      <c r="G229" s="10"/>
      <c r="H229" s="10"/>
      <c r="I229" s="56"/>
      <c r="J229" s="56"/>
      <c r="K229" s="56"/>
      <c r="L229" s="56"/>
      <c r="M229" s="56"/>
      <c r="N229" s="11"/>
      <c r="O229" s="100"/>
      <c r="Q229" s="100"/>
      <c r="T229" s="100"/>
    </row>
    <row r="230" spans="1:20" s="105" customFormat="1" x14ac:dyDescent="0.15">
      <c r="A230" s="11"/>
      <c r="B230" s="10"/>
      <c r="C230" s="106"/>
      <c r="D230" s="10"/>
      <c r="E230" s="10"/>
      <c r="F230" s="106"/>
      <c r="G230" s="10"/>
      <c r="H230" s="10"/>
      <c r="I230" s="56"/>
      <c r="J230" s="56"/>
      <c r="K230" s="56"/>
      <c r="L230" s="56"/>
      <c r="M230" s="56"/>
      <c r="N230" s="11"/>
      <c r="O230" s="100"/>
      <c r="Q230" s="100"/>
      <c r="T230" s="100"/>
    </row>
    <row r="231" spans="1:20" s="105" customFormat="1" x14ac:dyDescent="0.15">
      <c r="A231" s="11"/>
      <c r="B231" s="10"/>
      <c r="C231" s="106"/>
      <c r="D231" s="10"/>
      <c r="E231" s="10"/>
      <c r="F231" s="106"/>
      <c r="G231" s="10"/>
      <c r="H231" s="10"/>
      <c r="I231" s="56"/>
      <c r="J231" s="56"/>
      <c r="K231" s="56"/>
      <c r="L231" s="56"/>
      <c r="M231" s="56"/>
      <c r="N231" s="11"/>
      <c r="O231" s="100"/>
      <c r="Q231" s="100"/>
      <c r="T231" s="100"/>
    </row>
    <row r="232" spans="1:20" s="105" customFormat="1" x14ac:dyDescent="0.15">
      <c r="A232" s="11"/>
      <c r="B232" s="10"/>
      <c r="C232" s="106"/>
      <c r="D232" s="10"/>
      <c r="E232" s="10"/>
      <c r="F232" s="106"/>
      <c r="G232" s="10"/>
      <c r="H232" s="10"/>
      <c r="I232" s="56"/>
      <c r="J232" s="56"/>
      <c r="K232" s="56"/>
      <c r="L232" s="56"/>
      <c r="M232" s="56"/>
      <c r="N232" s="11"/>
      <c r="O232" s="100"/>
      <c r="Q232" s="100"/>
      <c r="T232" s="100"/>
    </row>
    <row r="233" spans="1:20" s="105" customFormat="1" x14ac:dyDescent="0.15">
      <c r="A233" s="11"/>
      <c r="B233" s="10"/>
      <c r="C233" s="106"/>
      <c r="D233" s="10"/>
      <c r="E233" s="10"/>
      <c r="F233" s="106"/>
      <c r="G233" s="10"/>
      <c r="H233" s="10"/>
      <c r="I233" s="56"/>
      <c r="J233" s="56"/>
      <c r="K233" s="56"/>
      <c r="L233" s="56"/>
      <c r="M233" s="56"/>
      <c r="N233" s="11"/>
      <c r="O233" s="100"/>
      <c r="Q233" s="100"/>
      <c r="T233" s="100"/>
    </row>
    <row r="234" spans="1:20" s="105" customFormat="1" x14ac:dyDescent="0.15">
      <c r="A234" s="11"/>
      <c r="B234" s="10"/>
      <c r="C234" s="106"/>
      <c r="D234" s="10"/>
      <c r="E234" s="10"/>
      <c r="F234" s="106"/>
      <c r="G234" s="10"/>
      <c r="H234" s="10"/>
      <c r="I234" s="56"/>
      <c r="J234" s="56"/>
      <c r="K234" s="56"/>
      <c r="L234" s="56"/>
      <c r="M234" s="56"/>
      <c r="N234" s="11"/>
      <c r="O234" s="100"/>
      <c r="Q234" s="100"/>
      <c r="T234" s="100"/>
    </row>
    <row r="235" spans="1:20" s="105" customFormat="1" x14ac:dyDescent="0.15">
      <c r="A235" s="11"/>
      <c r="B235" s="10"/>
      <c r="C235" s="106"/>
      <c r="D235" s="10"/>
      <c r="E235" s="10"/>
      <c r="F235" s="106"/>
      <c r="G235" s="10"/>
      <c r="H235" s="10"/>
      <c r="I235" s="56"/>
      <c r="J235" s="56"/>
      <c r="K235" s="56"/>
      <c r="L235" s="56"/>
      <c r="M235" s="56"/>
      <c r="N235" s="11"/>
      <c r="O235" s="100"/>
      <c r="Q235" s="100"/>
      <c r="T235" s="100"/>
    </row>
    <row r="236" spans="1:20" s="105" customFormat="1" x14ac:dyDescent="0.15">
      <c r="A236" s="11"/>
      <c r="B236" s="10"/>
      <c r="C236" s="106"/>
      <c r="D236" s="10"/>
      <c r="E236" s="10"/>
      <c r="F236" s="106"/>
      <c r="G236" s="10"/>
      <c r="H236" s="10"/>
      <c r="I236" s="56"/>
      <c r="J236" s="56"/>
      <c r="K236" s="56"/>
      <c r="L236" s="56"/>
      <c r="M236" s="56"/>
      <c r="N236" s="11"/>
      <c r="O236" s="100"/>
      <c r="Q236" s="100"/>
      <c r="T236" s="100"/>
    </row>
    <row r="237" spans="1:20" s="105" customFormat="1" x14ac:dyDescent="0.15">
      <c r="A237" s="11"/>
      <c r="B237" s="10"/>
      <c r="C237" s="106"/>
      <c r="D237" s="10"/>
      <c r="E237" s="10"/>
      <c r="F237" s="106"/>
      <c r="G237" s="10"/>
      <c r="H237" s="10"/>
      <c r="I237" s="56"/>
      <c r="J237" s="56"/>
      <c r="K237" s="56"/>
      <c r="L237" s="56"/>
      <c r="M237" s="56"/>
      <c r="N237" s="11"/>
      <c r="O237" s="100"/>
      <c r="Q237" s="100"/>
      <c r="T237" s="100"/>
    </row>
    <row r="238" spans="1:20" s="105" customFormat="1" x14ac:dyDescent="0.15">
      <c r="A238" s="11"/>
      <c r="B238" s="10"/>
      <c r="C238" s="106"/>
      <c r="D238" s="10"/>
      <c r="E238" s="10"/>
      <c r="F238" s="106"/>
      <c r="G238" s="10"/>
      <c r="H238" s="10"/>
      <c r="I238" s="56"/>
      <c r="J238" s="56"/>
      <c r="K238" s="56"/>
      <c r="L238" s="56"/>
      <c r="M238" s="56"/>
      <c r="N238" s="11"/>
      <c r="O238" s="100"/>
      <c r="Q238" s="100"/>
      <c r="T238" s="100"/>
    </row>
    <row r="239" spans="1:20" s="105" customFormat="1" x14ac:dyDescent="0.15">
      <c r="A239" s="11"/>
      <c r="B239" s="10"/>
      <c r="C239" s="106"/>
      <c r="D239" s="10"/>
      <c r="E239" s="10"/>
      <c r="F239" s="106"/>
      <c r="G239" s="10"/>
      <c r="H239" s="10"/>
      <c r="I239" s="56"/>
      <c r="J239" s="56"/>
      <c r="K239" s="56"/>
      <c r="L239" s="56"/>
      <c r="M239" s="56"/>
      <c r="N239" s="11"/>
      <c r="O239" s="100"/>
      <c r="Q239" s="100"/>
      <c r="T239" s="100"/>
    </row>
    <row r="240" spans="1:20" s="105" customFormat="1" x14ac:dyDescent="0.15">
      <c r="A240" s="11"/>
      <c r="B240" s="10"/>
      <c r="C240" s="106"/>
      <c r="D240" s="10"/>
      <c r="E240" s="10"/>
      <c r="F240" s="106"/>
      <c r="G240" s="10"/>
      <c r="H240" s="10"/>
      <c r="I240" s="56"/>
      <c r="J240" s="56"/>
      <c r="K240" s="56"/>
      <c r="L240" s="56"/>
      <c r="M240" s="56"/>
      <c r="N240" s="11"/>
      <c r="O240" s="100"/>
      <c r="Q240" s="100"/>
      <c r="T240" s="100"/>
    </row>
    <row r="241" spans="1:20" s="105" customFormat="1" x14ac:dyDescent="0.15">
      <c r="A241" s="11"/>
      <c r="B241" s="10"/>
      <c r="C241" s="106"/>
      <c r="D241" s="10"/>
      <c r="E241" s="10"/>
      <c r="F241" s="106"/>
      <c r="G241" s="10"/>
      <c r="H241" s="10"/>
      <c r="I241" s="56"/>
      <c r="J241" s="56"/>
      <c r="K241" s="56"/>
      <c r="L241" s="56"/>
      <c r="M241" s="56"/>
      <c r="N241" s="11"/>
      <c r="O241" s="100"/>
      <c r="Q241" s="100"/>
      <c r="T241" s="100"/>
    </row>
    <row r="242" spans="1:20" s="105" customFormat="1" x14ac:dyDescent="0.15">
      <c r="A242" s="11"/>
      <c r="B242" s="10"/>
      <c r="C242" s="106"/>
      <c r="D242" s="10"/>
      <c r="E242" s="10"/>
      <c r="F242" s="106"/>
      <c r="G242" s="10"/>
      <c r="H242" s="10"/>
      <c r="I242" s="56"/>
      <c r="J242" s="56"/>
      <c r="K242" s="56"/>
      <c r="L242" s="56"/>
      <c r="M242" s="56"/>
      <c r="N242" s="11"/>
      <c r="O242" s="100"/>
      <c r="Q242" s="100"/>
      <c r="T242" s="100"/>
    </row>
    <row r="243" spans="1:20" s="105" customFormat="1" x14ac:dyDescent="0.15">
      <c r="A243" s="11"/>
      <c r="B243" s="10"/>
      <c r="C243" s="106"/>
      <c r="D243" s="10"/>
      <c r="E243" s="10"/>
      <c r="F243" s="106"/>
      <c r="G243" s="10"/>
      <c r="H243" s="10"/>
      <c r="I243" s="56"/>
      <c r="J243" s="56"/>
      <c r="K243" s="56"/>
      <c r="L243" s="56"/>
      <c r="M243" s="56"/>
      <c r="N243" s="11"/>
      <c r="O243" s="100"/>
      <c r="Q243" s="100"/>
      <c r="T243" s="100"/>
    </row>
    <row r="244" spans="1:20" s="105" customFormat="1" x14ac:dyDescent="0.15">
      <c r="A244" s="11"/>
      <c r="B244" s="10"/>
      <c r="C244" s="106"/>
      <c r="D244" s="10"/>
      <c r="E244" s="10"/>
      <c r="F244" s="106"/>
      <c r="G244" s="10"/>
      <c r="H244" s="10"/>
      <c r="I244" s="56"/>
      <c r="J244" s="56"/>
      <c r="K244" s="56"/>
      <c r="L244" s="56"/>
      <c r="M244" s="56"/>
      <c r="N244" s="11"/>
      <c r="O244" s="100"/>
      <c r="Q244" s="100"/>
      <c r="T244" s="100"/>
    </row>
    <row r="245" spans="1:20" s="105" customFormat="1" x14ac:dyDescent="0.15">
      <c r="A245" s="11"/>
      <c r="B245" s="10"/>
      <c r="C245" s="106"/>
      <c r="D245" s="10"/>
      <c r="E245" s="10"/>
      <c r="F245" s="106"/>
      <c r="G245" s="10"/>
      <c r="H245" s="10"/>
      <c r="I245" s="56"/>
      <c r="J245" s="56"/>
      <c r="K245" s="56"/>
      <c r="L245" s="56"/>
      <c r="M245" s="56"/>
      <c r="N245" s="11"/>
      <c r="O245" s="100"/>
      <c r="Q245" s="100"/>
      <c r="T245" s="100"/>
    </row>
    <row r="246" spans="1:20" s="105" customFormat="1" x14ac:dyDescent="0.15">
      <c r="A246" s="11"/>
      <c r="B246" s="10"/>
      <c r="C246" s="106"/>
      <c r="D246" s="10"/>
      <c r="E246" s="10"/>
      <c r="F246" s="106"/>
      <c r="G246" s="10"/>
      <c r="H246" s="10"/>
      <c r="I246" s="56"/>
      <c r="J246" s="56"/>
      <c r="K246" s="56"/>
      <c r="L246" s="56"/>
      <c r="M246" s="56"/>
      <c r="N246" s="11"/>
      <c r="O246" s="100"/>
      <c r="Q246" s="100"/>
      <c r="T246" s="100"/>
    </row>
    <row r="247" spans="1:20" s="105" customFormat="1" x14ac:dyDescent="0.15">
      <c r="A247" s="11"/>
      <c r="B247" s="10"/>
      <c r="C247" s="106"/>
      <c r="D247" s="10"/>
      <c r="E247" s="10"/>
      <c r="F247" s="106"/>
      <c r="G247" s="10"/>
      <c r="H247" s="10"/>
      <c r="I247" s="56"/>
      <c r="J247" s="56"/>
      <c r="K247" s="56"/>
      <c r="L247" s="56"/>
      <c r="M247" s="56"/>
      <c r="N247" s="11"/>
      <c r="O247" s="100"/>
      <c r="Q247" s="100"/>
      <c r="T247" s="100"/>
    </row>
    <row r="248" spans="1:20" s="105" customFormat="1" x14ac:dyDescent="0.15">
      <c r="A248" s="11"/>
      <c r="B248" s="10"/>
      <c r="C248" s="106"/>
      <c r="D248" s="10"/>
      <c r="E248" s="10"/>
      <c r="F248" s="106"/>
      <c r="G248" s="10"/>
      <c r="H248" s="10"/>
      <c r="I248" s="56"/>
      <c r="J248" s="56"/>
      <c r="K248" s="56"/>
      <c r="L248" s="56"/>
      <c r="M248" s="56"/>
      <c r="N248" s="11"/>
      <c r="O248" s="100"/>
      <c r="Q248" s="100"/>
      <c r="T248" s="100"/>
    </row>
    <row r="249" spans="1:20" s="105" customFormat="1" x14ac:dyDescent="0.15">
      <c r="A249" s="11"/>
      <c r="B249" s="10"/>
      <c r="C249" s="106"/>
      <c r="D249" s="10"/>
      <c r="E249" s="10"/>
      <c r="F249" s="106"/>
      <c r="G249" s="10"/>
      <c r="H249" s="10"/>
      <c r="I249" s="56"/>
      <c r="J249" s="56"/>
      <c r="K249" s="56"/>
      <c r="L249" s="56"/>
      <c r="M249" s="56"/>
      <c r="N249" s="11"/>
      <c r="O249" s="100"/>
      <c r="Q249" s="100"/>
      <c r="T249" s="100"/>
    </row>
    <row r="250" spans="1:20" s="105" customFormat="1" x14ac:dyDescent="0.15">
      <c r="A250" s="11"/>
      <c r="B250" s="10"/>
      <c r="C250" s="106"/>
      <c r="D250" s="10"/>
      <c r="E250" s="10"/>
      <c r="F250" s="106"/>
      <c r="G250" s="10"/>
      <c r="H250" s="10"/>
      <c r="I250" s="56"/>
      <c r="J250" s="56"/>
      <c r="K250" s="56"/>
      <c r="L250" s="56"/>
      <c r="M250" s="56"/>
      <c r="N250" s="11"/>
      <c r="O250" s="100"/>
      <c r="Q250" s="100"/>
      <c r="T250" s="100"/>
    </row>
    <row r="251" spans="1:20" s="105" customFormat="1" x14ac:dyDescent="0.15">
      <c r="A251" s="11"/>
      <c r="B251" s="10"/>
      <c r="C251" s="106"/>
      <c r="D251" s="10"/>
      <c r="E251" s="10"/>
      <c r="F251" s="106"/>
      <c r="G251" s="10"/>
      <c r="H251" s="10"/>
      <c r="I251" s="56"/>
      <c r="J251" s="56"/>
      <c r="K251" s="56"/>
      <c r="L251" s="56"/>
      <c r="M251" s="56"/>
      <c r="N251" s="11"/>
      <c r="O251" s="100"/>
      <c r="Q251" s="100"/>
      <c r="T251" s="100"/>
    </row>
    <row r="252" spans="1:20" s="105" customFormat="1" x14ac:dyDescent="0.15">
      <c r="A252" s="11"/>
      <c r="B252" s="10"/>
      <c r="C252" s="106"/>
      <c r="D252" s="10"/>
      <c r="E252" s="10"/>
      <c r="F252" s="106"/>
      <c r="G252" s="10"/>
      <c r="H252" s="10"/>
      <c r="I252" s="56"/>
      <c r="J252" s="56"/>
      <c r="K252" s="56"/>
      <c r="L252" s="56"/>
      <c r="M252" s="56"/>
      <c r="N252" s="11"/>
      <c r="O252" s="100"/>
      <c r="Q252" s="100"/>
      <c r="T252" s="100"/>
    </row>
    <row r="253" spans="1:20" s="105" customFormat="1" x14ac:dyDescent="0.15">
      <c r="A253" s="11"/>
      <c r="B253" s="10"/>
      <c r="C253" s="106"/>
      <c r="D253" s="10"/>
      <c r="E253" s="10"/>
      <c r="F253" s="106"/>
      <c r="G253" s="10"/>
      <c r="H253" s="10"/>
      <c r="I253" s="56"/>
      <c r="J253" s="56"/>
      <c r="K253" s="56"/>
      <c r="L253" s="56"/>
      <c r="M253" s="56"/>
      <c r="N253" s="11"/>
      <c r="O253" s="100"/>
      <c r="Q253" s="100"/>
      <c r="T253" s="100"/>
    </row>
    <row r="254" spans="1:20" s="105" customFormat="1" x14ac:dyDescent="0.15">
      <c r="A254" s="11"/>
      <c r="B254" s="10"/>
      <c r="C254" s="106"/>
      <c r="D254" s="10"/>
      <c r="E254" s="10"/>
      <c r="F254" s="106"/>
      <c r="G254" s="10"/>
      <c r="H254" s="10"/>
      <c r="I254" s="56"/>
      <c r="J254" s="56"/>
      <c r="K254" s="56"/>
      <c r="L254" s="56"/>
      <c r="M254" s="56"/>
      <c r="N254" s="11"/>
      <c r="O254" s="100"/>
      <c r="Q254" s="100"/>
      <c r="T254" s="100"/>
    </row>
    <row r="255" spans="1:20" s="105" customFormat="1" x14ac:dyDescent="0.15">
      <c r="A255" s="11"/>
      <c r="B255" s="10"/>
      <c r="C255" s="106"/>
      <c r="D255" s="10"/>
      <c r="E255" s="10"/>
      <c r="F255" s="106"/>
      <c r="G255" s="10"/>
      <c r="H255" s="10"/>
      <c r="I255" s="56"/>
      <c r="J255" s="56"/>
      <c r="K255" s="56"/>
      <c r="L255" s="56"/>
      <c r="M255" s="56"/>
      <c r="N255" s="11"/>
      <c r="O255" s="100"/>
      <c r="Q255" s="100"/>
      <c r="T255" s="100"/>
    </row>
    <row r="256" spans="1:20" s="105" customFormat="1" x14ac:dyDescent="0.15">
      <c r="A256" s="11"/>
      <c r="B256" s="10"/>
      <c r="C256" s="106"/>
      <c r="D256" s="10"/>
      <c r="E256" s="10"/>
      <c r="F256" s="106"/>
      <c r="G256" s="10"/>
      <c r="H256" s="10"/>
      <c r="I256" s="56"/>
      <c r="J256" s="56"/>
      <c r="K256" s="56"/>
      <c r="L256" s="56"/>
      <c r="M256" s="56"/>
      <c r="N256" s="11"/>
      <c r="O256" s="100"/>
      <c r="Q256" s="100"/>
      <c r="T256" s="100"/>
    </row>
    <row r="257" spans="1:20" s="105" customFormat="1" x14ac:dyDescent="0.15">
      <c r="A257" s="11"/>
      <c r="B257" s="10"/>
      <c r="C257" s="106"/>
      <c r="D257" s="10"/>
      <c r="E257" s="10"/>
      <c r="F257" s="106"/>
      <c r="G257" s="10"/>
      <c r="H257" s="10"/>
      <c r="I257" s="56"/>
      <c r="J257" s="56"/>
      <c r="K257" s="56"/>
      <c r="L257" s="56"/>
      <c r="M257" s="56"/>
      <c r="N257" s="11"/>
      <c r="O257" s="100"/>
      <c r="Q257" s="100"/>
      <c r="T257" s="100"/>
    </row>
    <row r="258" spans="1:20" s="105" customFormat="1" x14ac:dyDescent="0.15">
      <c r="A258" s="11"/>
      <c r="B258" s="10"/>
      <c r="C258" s="106"/>
      <c r="D258" s="10"/>
      <c r="E258" s="10"/>
      <c r="F258" s="106"/>
      <c r="G258" s="10"/>
      <c r="H258" s="10"/>
      <c r="I258" s="56"/>
      <c r="J258" s="56"/>
      <c r="K258" s="56"/>
      <c r="L258" s="56"/>
      <c r="M258" s="56"/>
      <c r="N258" s="11"/>
      <c r="O258" s="100"/>
      <c r="Q258" s="100"/>
      <c r="T258" s="100"/>
    </row>
    <row r="259" spans="1:20" s="105" customFormat="1" x14ac:dyDescent="0.15">
      <c r="A259" s="11"/>
      <c r="B259" s="10"/>
      <c r="C259" s="106"/>
      <c r="D259" s="10"/>
      <c r="E259" s="10"/>
      <c r="F259" s="106"/>
      <c r="G259" s="10"/>
      <c r="H259" s="10"/>
      <c r="I259" s="56"/>
      <c r="J259" s="56"/>
      <c r="K259" s="56"/>
      <c r="L259" s="56"/>
      <c r="M259" s="56"/>
      <c r="N259" s="11"/>
      <c r="O259" s="100"/>
      <c r="Q259" s="100"/>
      <c r="T259" s="100"/>
    </row>
    <row r="260" spans="1:20" s="105" customFormat="1" x14ac:dyDescent="0.15">
      <c r="A260" s="11"/>
      <c r="B260" s="10"/>
      <c r="C260" s="106"/>
      <c r="D260" s="10"/>
      <c r="E260" s="10"/>
      <c r="F260" s="106"/>
      <c r="G260" s="10"/>
      <c r="H260" s="10"/>
      <c r="I260" s="56"/>
      <c r="J260" s="56"/>
      <c r="K260" s="56"/>
      <c r="L260" s="56"/>
      <c r="M260" s="56"/>
      <c r="N260" s="11"/>
      <c r="O260" s="100"/>
      <c r="Q260" s="100"/>
      <c r="T260" s="100"/>
    </row>
    <row r="261" spans="1:20" s="105" customFormat="1" x14ac:dyDescent="0.15">
      <c r="A261" s="11"/>
      <c r="B261" s="10"/>
      <c r="C261" s="106"/>
      <c r="D261" s="10"/>
      <c r="E261" s="10"/>
      <c r="F261" s="106"/>
      <c r="G261" s="10"/>
      <c r="H261" s="10"/>
      <c r="I261" s="56"/>
      <c r="J261" s="56"/>
      <c r="K261" s="56"/>
      <c r="L261" s="56"/>
      <c r="M261" s="56"/>
      <c r="N261" s="11"/>
      <c r="O261" s="100"/>
      <c r="Q261" s="100"/>
      <c r="T261" s="100"/>
    </row>
    <row r="262" spans="1:20" s="105" customFormat="1" x14ac:dyDescent="0.15">
      <c r="A262" s="11"/>
      <c r="B262" s="10"/>
      <c r="C262" s="106"/>
      <c r="D262" s="10"/>
      <c r="E262" s="10"/>
      <c r="F262" s="106"/>
      <c r="G262" s="10"/>
      <c r="H262" s="10"/>
      <c r="I262" s="56"/>
      <c r="J262" s="56"/>
      <c r="K262" s="56"/>
      <c r="L262" s="56"/>
      <c r="M262" s="56"/>
      <c r="N262" s="11"/>
      <c r="O262" s="100"/>
      <c r="Q262" s="100"/>
      <c r="T262" s="100"/>
    </row>
    <row r="263" spans="1:20" s="105" customFormat="1" x14ac:dyDescent="0.15">
      <c r="A263" s="11"/>
      <c r="B263" s="10"/>
      <c r="C263" s="106"/>
      <c r="D263" s="10"/>
      <c r="E263" s="10"/>
      <c r="F263" s="106"/>
      <c r="G263" s="10"/>
      <c r="H263" s="10"/>
      <c r="I263" s="56"/>
      <c r="J263" s="56"/>
      <c r="K263" s="56"/>
      <c r="L263" s="56"/>
      <c r="M263" s="56"/>
      <c r="N263" s="11"/>
      <c r="O263" s="100"/>
      <c r="Q263" s="100"/>
      <c r="T263" s="100"/>
    </row>
    <row r="264" spans="1:20" s="105" customFormat="1" x14ac:dyDescent="0.15">
      <c r="A264" s="11"/>
      <c r="B264" s="10"/>
      <c r="C264" s="106"/>
      <c r="D264" s="10"/>
      <c r="E264" s="10"/>
      <c r="F264" s="106"/>
      <c r="G264" s="10"/>
      <c r="H264" s="10"/>
      <c r="I264" s="56"/>
      <c r="J264" s="56"/>
      <c r="K264" s="56"/>
      <c r="L264" s="56"/>
      <c r="M264" s="56"/>
      <c r="N264" s="11"/>
      <c r="O264" s="100"/>
      <c r="Q264" s="100"/>
      <c r="T264" s="100"/>
    </row>
    <row r="265" spans="1:20" s="105" customFormat="1" x14ac:dyDescent="0.15">
      <c r="A265" s="11"/>
      <c r="B265" s="10"/>
      <c r="C265" s="106"/>
      <c r="D265" s="10"/>
      <c r="E265" s="10"/>
      <c r="F265" s="106"/>
      <c r="G265" s="10"/>
      <c r="H265" s="10"/>
      <c r="I265" s="56"/>
      <c r="J265" s="56"/>
      <c r="K265" s="56"/>
      <c r="L265" s="56"/>
      <c r="M265" s="56"/>
      <c r="N265" s="11"/>
      <c r="O265" s="100"/>
      <c r="Q265" s="100"/>
      <c r="T265" s="100"/>
    </row>
    <row r="266" spans="1:20" s="105" customFormat="1" x14ac:dyDescent="0.15">
      <c r="A266" s="11"/>
      <c r="B266" s="10"/>
      <c r="C266" s="106"/>
      <c r="D266" s="10"/>
      <c r="E266" s="10"/>
      <c r="F266" s="106"/>
      <c r="G266" s="10"/>
      <c r="H266" s="10"/>
      <c r="I266" s="56"/>
      <c r="J266" s="56"/>
      <c r="K266" s="56"/>
      <c r="L266" s="56"/>
      <c r="M266" s="56"/>
      <c r="N266" s="11"/>
      <c r="O266" s="100"/>
      <c r="Q266" s="100"/>
      <c r="T266" s="100"/>
    </row>
    <row r="267" spans="1:20" s="105" customFormat="1" x14ac:dyDescent="0.15">
      <c r="A267" s="11"/>
      <c r="B267" s="10"/>
      <c r="C267" s="106"/>
      <c r="D267" s="10"/>
      <c r="E267" s="10"/>
      <c r="F267" s="106"/>
      <c r="G267" s="10"/>
      <c r="H267" s="10"/>
      <c r="I267" s="56"/>
      <c r="J267" s="56"/>
      <c r="K267" s="56"/>
      <c r="L267" s="56"/>
      <c r="M267" s="56"/>
      <c r="N267" s="11"/>
      <c r="O267" s="100"/>
      <c r="Q267" s="100"/>
      <c r="T267" s="100"/>
    </row>
    <row r="268" spans="1:20" s="105" customFormat="1" x14ac:dyDescent="0.15">
      <c r="A268" s="11"/>
      <c r="B268" s="10"/>
      <c r="C268" s="106"/>
      <c r="D268" s="10"/>
      <c r="E268" s="10"/>
      <c r="F268" s="106"/>
      <c r="G268" s="10"/>
      <c r="H268" s="10"/>
      <c r="I268" s="56"/>
      <c r="J268" s="56"/>
      <c r="K268" s="56"/>
      <c r="L268" s="56"/>
      <c r="M268" s="56"/>
      <c r="N268" s="11"/>
      <c r="O268" s="100"/>
      <c r="Q268" s="100"/>
      <c r="T268" s="100"/>
    </row>
    <row r="269" spans="1:20" s="105" customFormat="1" x14ac:dyDescent="0.15">
      <c r="A269" s="11"/>
      <c r="B269" s="10"/>
      <c r="C269" s="106"/>
      <c r="D269" s="10"/>
      <c r="E269" s="10"/>
      <c r="F269" s="106"/>
      <c r="G269" s="10"/>
      <c r="H269" s="10"/>
      <c r="I269" s="56"/>
      <c r="J269" s="56"/>
      <c r="K269" s="56"/>
      <c r="L269" s="56"/>
      <c r="M269" s="56"/>
      <c r="N269" s="11"/>
      <c r="O269" s="100"/>
      <c r="Q269" s="100"/>
      <c r="T269" s="100"/>
    </row>
    <row r="270" spans="1:20" s="105" customFormat="1" x14ac:dyDescent="0.15">
      <c r="A270" s="11"/>
      <c r="B270" s="10"/>
      <c r="C270" s="106"/>
      <c r="D270" s="10"/>
      <c r="E270" s="10"/>
      <c r="F270" s="106"/>
      <c r="G270" s="10"/>
      <c r="H270" s="10"/>
      <c r="I270" s="56"/>
      <c r="J270" s="56"/>
      <c r="K270" s="56"/>
      <c r="L270" s="56"/>
      <c r="M270" s="56"/>
      <c r="N270" s="11"/>
      <c r="O270" s="100"/>
      <c r="Q270" s="100"/>
      <c r="T270" s="100"/>
    </row>
    <row r="271" spans="1:20" s="105" customFormat="1" x14ac:dyDescent="0.15">
      <c r="A271" s="11"/>
      <c r="B271" s="10"/>
      <c r="C271" s="106"/>
      <c r="D271" s="10"/>
      <c r="E271" s="10"/>
      <c r="F271" s="106"/>
      <c r="G271" s="10"/>
      <c r="H271" s="10"/>
      <c r="I271" s="56"/>
      <c r="J271" s="56"/>
      <c r="K271" s="56"/>
      <c r="L271" s="56"/>
      <c r="M271" s="56"/>
      <c r="N271" s="11"/>
      <c r="O271" s="100"/>
      <c r="Q271" s="100"/>
      <c r="T271" s="100"/>
    </row>
    <row r="272" spans="1:20" s="105" customFormat="1" x14ac:dyDescent="0.15">
      <c r="A272" s="11"/>
      <c r="B272" s="10"/>
      <c r="C272" s="106"/>
      <c r="D272" s="10"/>
      <c r="E272" s="10"/>
      <c r="F272" s="106"/>
      <c r="G272" s="10"/>
      <c r="H272" s="10"/>
      <c r="I272" s="56"/>
      <c r="J272" s="56"/>
      <c r="K272" s="56"/>
      <c r="L272" s="56"/>
      <c r="M272" s="56"/>
      <c r="N272" s="11"/>
      <c r="O272" s="100"/>
      <c r="Q272" s="100"/>
      <c r="T272" s="100"/>
    </row>
    <row r="273" spans="1:20" s="105" customFormat="1" x14ac:dyDescent="0.15">
      <c r="A273" s="11"/>
      <c r="B273" s="10"/>
      <c r="C273" s="106"/>
      <c r="D273" s="10"/>
      <c r="E273" s="10"/>
      <c r="F273" s="106"/>
      <c r="G273" s="10"/>
      <c r="H273" s="10"/>
      <c r="I273" s="56"/>
      <c r="J273" s="56"/>
      <c r="K273" s="56"/>
      <c r="L273" s="56"/>
      <c r="M273" s="56"/>
      <c r="N273" s="11"/>
      <c r="O273" s="100"/>
      <c r="Q273" s="100"/>
      <c r="T273" s="100"/>
    </row>
    <row r="274" spans="1:20" s="105" customFormat="1" x14ac:dyDescent="0.15">
      <c r="A274" s="11"/>
      <c r="B274" s="10"/>
      <c r="C274" s="106"/>
      <c r="D274" s="10"/>
      <c r="E274" s="10"/>
      <c r="F274" s="106"/>
      <c r="G274" s="10"/>
      <c r="H274" s="10"/>
      <c r="I274" s="56"/>
      <c r="J274" s="56"/>
      <c r="K274" s="56"/>
      <c r="L274" s="56"/>
      <c r="M274" s="56"/>
      <c r="N274" s="11"/>
      <c r="O274" s="100"/>
      <c r="Q274" s="100"/>
      <c r="T274" s="100"/>
    </row>
    <row r="275" spans="1:20" s="105" customFormat="1" x14ac:dyDescent="0.15">
      <c r="A275" s="11"/>
      <c r="B275" s="10"/>
      <c r="C275" s="106"/>
      <c r="D275" s="10"/>
      <c r="E275" s="10"/>
      <c r="F275" s="106"/>
      <c r="G275" s="10"/>
      <c r="H275" s="10"/>
      <c r="I275" s="56"/>
      <c r="J275" s="56"/>
      <c r="K275" s="56"/>
      <c r="L275" s="56"/>
      <c r="M275" s="56"/>
      <c r="N275" s="11"/>
      <c r="O275" s="100"/>
      <c r="Q275" s="100"/>
      <c r="T275" s="100"/>
    </row>
    <row r="276" spans="1:20" s="105" customFormat="1" x14ac:dyDescent="0.15">
      <c r="A276" s="11"/>
      <c r="B276" s="10"/>
      <c r="C276" s="106"/>
      <c r="D276" s="10"/>
      <c r="E276" s="10"/>
      <c r="F276" s="106"/>
      <c r="G276" s="10"/>
      <c r="H276" s="10"/>
      <c r="I276" s="56"/>
      <c r="J276" s="56"/>
      <c r="K276" s="56"/>
      <c r="L276" s="56"/>
      <c r="M276" s="56"/>
      <c r="N276" s="11"/>
      <c r="O276" s="100"/>
      <c r="Q276" s="100"/>
      <c r="T276" s="100"/>
    </row>
    <row r="277" spans="1:20" s="105" customFormat="1" x14ac:dyDescent="0.15">
      <c r="A277" s="11"/>
      <c r="B277" s="10"/>
      <c r="C277" s="106"/>
      <c r="D277" s="10"/>
      <c r="E277" s="10"/>
      <c r="F277" s="106"/>
      <c r="G277" s="10"/>
      <c r="H277" s="10"/>
      <c r="I277" s="56"/>
      <c r="J277" s="56"/>
      <c r="K277" s="56"/>
      <c r="L277" s="56"/>
      <c r="M277" s="56"/>
      <c r="N277" s="11"/>
      <c r="O277" s="100"/>
      <c r="Q277" s="100"/>
      <c r="T277" s="100"/>
    </row>
    <row r="278" spans="1:20" s="105" customFormat="1" x14ac:dyDescent="0.15">
      <c r="A278" s="11"/>
      <c r="B278" s="10"/>
      <c r="C278" s="106"/>
      <c r="D278" s="10"/>
      <c r="E278" s="10"/>
      <c r="F278" s="106"/>
      <c r="G278" s="10"/>
      <c r="H278" s="10"/>
      <c r="I278" s="56"/>
      <c r="J278" s="56"/>
      <c r="K278" s="56"/>
      <c r="L278" s="56"/>
      <c r="M278" s="56"/>
      <c r="N278" s="11"/>
      <c r="O278" s="100"/>
      <c r="Q278" s="100"/>
      <c r="T278" s="100"/>
    </row>
    <row r="279" spans="1:20" s="105" customFormat="1" x14ac:dyDescent="0.15">
      <c r="A279" s="11"/>
      <c r="B279" s="10"/>
      <c r="C279" s="106"/>
      <c r="D279" s="10"/>
      <c r="E279" s="10"/>
      <c r="F279" s="106"/>
      <c r="G279" s="10"/>
      <c r="H279" s="10"/>
      <c r="I279" s="56"/>
      <c r="J279" s="56"/>
      <c r="K279" s="56"/>
      <c r="L279" s="56"/>
      <c r="M279" s="56"/>
      <c r="N279" s="11"/>
      <c r="O279" s="100"/>
      <c r="Q279" s="100"/>
      <c r="T279" s="100"/>
    </row>
    <row r="280" spans="1:20" s="105" customFormat="1" x14ac:dyDescent="0.15">
      <c r="A280" s="11"/>
      <c r="B280" s="10"/>
      <c r="C280" s="106"/>
      <c r="D280" s="10"/>
      <c r="E280" s="10"/>
      <c r="F280" s="106"/>
      <c r="G280" s="10"/>
      <c r="H280" s="10"/>
      <c r="I280" s="56"/>
      <c r="J280" s="56"/>
      <c r="K280" s="56"/>
      <c r="L280" s="56"/>
      <c r="M280" s="56"/>
      <c r="N280" s="11"/>
      <c r="O280" s="100"/>
      <c r="Q280" s="100"/>
      <c r="T280" s="100"/>
    </row>
    <row r="281" spans="1:20" s="105" customFormat="1" x14ac:dyDescent="0.15">
      <c r="A281" s="11"/>
      <c r="B281" s="10"/>
      <c r="C281" s="106"/>
      <c r="D281" s="10"/>
      <c r="E281" s="10"/>
      <c r="F281" s="106"/>
      <c r="G281" s="10"/>
      <c r="H281" s="10"/>
      <c r="I281" s="56"/>
      <c r="J281" s="56"/>
      <c r="K281" s="56"/>
      <c r="L281" s="56"/>
      <c r="M281" s="56"/>
      <c r="N281" s="11"/>
      <c r="O281" s="100"/>
      <c r="Q281" s="100"/>
      <c r="T281" s="100"/>
    </row>
    <row r="282" spans="1:20" s="105" customFormat="1" x14ac:dyDescent="0.15">
      <c r="A282" s="11"/>
      <c r="B282" s="10"/>
      <c r="C282" s="106"/>
      <c r="D282" s="10"/>
      <c r="E282" s="10"/>
      <c r="F282" s="106"/>
      <c r="G282" s="10"/>
      <c r="H282" s="10"/>
      <c r="I282" s="56"/>
      <c r="J282" s="56"/>
      <c r="K282" s="56"/>
      <c r="L282" s="56"/>
      <c r="M282" s="56"/>
      <c r="N282" s="11"/>
      <c r="O282" s="100"/>
      <c r="Q282" s="100"/>
      <c r="T282" s="100"/>
    </row>
    <row r="283" spans="1:20" s="105" customFormat="1" x14ac:dyDescent="0.15">
      <c r="A283" s="11"/>
      <c r="B283" s="10"/>
      <c r="C283" s="106"/>
      <c r="D283" s="10"/>
      <c r="E283" s="10"/>
      <c r="F283" s="106"/>
      <c r="G283" s="10"/>
      <c r="H283" s="10"/>
      <c r="I283" s="56"/>
      <c r="J283" s="56"/>
      <c r="K283" s="56"/>
      <c r="L283" s="56"/>
      <c r="M283" s="56"/>
      <c r="N283" s="11"/>
      <c r="O283" s="100"/>
      <c r="Q283" s="100"/>
      <c r="T283" s="100"/>
    </row>
    <row r="284" spans="1:20" s="105" customFormat="1" x14ac:dyDescent="0.15">
      <c r="A284" s="11"/>
      <c r="B284" s="10"/>
      <c r="C284" s="106"/>
      <c r="D284" s="10"/>
      <c r="E284" s="10"/>
      <c r="F284" s="106"/>
      <c r="G284" s="10"/>
      <c r="H284" s="10"/>
      <c r="I284" s="56"/>
      <c r="J284" s="56"/>
      <c r="K284" s="56"/>
      <c r="L284" s="56"/>
      <c r="M284" s="56"/>
      <c r="N284" s="11"/>
      <c r="O284" s="100"/>
      <c r="Q284" s="100"/>
      <c r="T284" s="100"/>
    </row>
    <row r="285" spans="1:20" s="105" customFormat="1" x14ac:dyDescent="0.15">
      <c r="A285" s="11"/>
      <c r="B285" s="10"/>
      <c r="C285" s="106"/>
      <c r="D285" s="10"/>
      <c r="E285" s="10"/>
      <c r="F285" s="106"/>
      <c r="G285" s="10"/>
      <c r="H285" s="10"/>
      <c r="I285" s="56"/>
      <c r="J285" s="56"/>
      <c r="K285" s="56"/>
      <c r="L285" s="56"/>
      <c r="M285" s="56"/>
      <c r="N285" s="11"/>
      <c r="O285" s="100"/>
      <c r="Q285" s="100"/>
      <c r="T285" s="100"/>
    </row>
    <row r="286" spans="1:20" s="105" customFormat="1" x14ac:dyDescent="0.15">
      <c r="A286" s="11"/>
      <c r="B286" s="10"/>
      <c r="C286" s="106"/>
      <c r="D286" s="10"/>
      <c r="E286" s="10"/>
      <c r="F286" s="106"/>
      <c r="G286" s="10"/>
      <c r="H286" s="10"/>
      <c r="I286" s="56"/>
      <c r="J286" s="56"/>
      <c r="K286" s="56"/>
      <c r="L286" s="56"/>
      <c r="M286" s="56"/>
      <c r="N286" s="11"/>
      <c r="O286" s="100"/>
      <c r="Q286" s="100"/>
      <c r="T286" s="100"/>
    </row>
    <row r="287" spans="1:20" s="105" customFormat="1" x14ac:dyDescent="0.15">
      <c r="A287" s="11"/>
      <c r="B287" s="10"/>
      <c r="C287" s="106"/>
      <c r="D287" s="10"/>
      <c r="E287" s="10"/>
      <c r="F287" s="106"/>
      <c r="G287" s="10"/>
      <c r="H287" s="10"/>
      <c r="I287" s="56"/>
      <c r="J287" s="56"/>
      <c r="K287" s="56"/>
      <c r="L287" s="56"/>
      <c r="M287" s="56"/>
      <c r="N287" s="11"/>
      <c r="O287" s="100"/>
      <c r="Q287" s="100"/>
      <c r="T287" s="100"/>
    </row>
    <row r="288" spans="1:20" s="105" customFormat="1" x14ac:dyDescent="0.15">
      <c r="A288" s="11"/>
      <c r="B288" s="10"/>
      <c r="C288" s="106"/>
      <c r="D288" s="10"/>
      <c r="E288" s="10"/>
      <c r="F288" s="106"/>
      <c r="G288" s="10"/>
      <c r="H288" s="10"/>
      <c r="I288" s="56"/>
      <c r="J288" s="56"/>
      <c r="K288" s="56"/>
      <c r="L288" s="56"/>
      <c r="M288" s="56"/>
      <c r="N288" s="11"/>
      <c r="O288" s="100"/>
      <c r="Q288" s="100"/>
      <c r="T288" s="100"/>
    </row>
    <row r="289" spans="1:20" s="105" customFormat="1" x14ac:dyDescent="0.15">
      <c r="A289" s="11"/>
      <c r="B289" s="10"/>
      <c r="C289" s="106"/>
      <c r="D289" s="10"/>
      <c r="E289" s="10"/>
      <c r="F289" s="106"/>
      <c r="G289" s="10"/>
      <c r="H289" s="10"/>
      <c r="I289" s="56"/>
      <c r="J289" s="56"/>
      <c r="K289" s="56"/>
      <c r="L289" s="56"/>
      <c r="M289" s="56"/>
      <c r="N289" s="11"/>
      <c r="O289" s="100"/>
      <c r="Q289" s="100"/>
      <c r="T289" s="100"/>
    </row>
    <row r="290" spans="1:20" s="105" customFormat="1" x14ac:dyDescent="0.15">
      <c r="A290" s="11"/>
      <c r="B290" s="10"/>
      <c r="C290" s="106"/>
      <c r="D290" s="10"/>
      <c r="E290" s="10"/>
      <c r="F290" s="106"/>
      <c r="G290" s="10"/>
      <c r="H290" s="10"/>
      <c r="I290" s="56"/>
      <c r="J290" s="56"/>
      <c r="K290" s="56"/>
      <c r="L290" s="56"/>
      <c r="M290" s="56"/>
      <c r="N290" s="11"/>
      <c r="O290" s="100"/>
      <c r="Q290" s="100"/>
      <c r="T290" s="100"/>
    </row>
    <row r="291" spans="1:20" s="105" customFormat="1" x14ac:dyDescent="0.15">
      <c r="A291" s="11"/>
      <c r="B291" s="10"/>
      <c r="C291" s="106"/>
      <c r="D291" s="10"/>
      <c r="E291" s="10"/>
      <c r="F291" s="106"/>
      <c r="G291" s="10"/>
      <c r="H291" s="10"/>
      <c r="I291" s="56"/>
      <c r="J291" s="56"/>
      <c r="K291" s="56"/>
      <c r="L291" s="56"/>
      <c r="M291" s="56"/>
      <c r="N291" s="11"/>
      <c r="O291" s="100"/>
      <c r="Q291" s="100"/>
      <c r="T291" s="100"/>
    </row>
    <row r="292" spans="1:20" s="105" customFormat="1" x14ac:dyDescent="0.15">
      <c r="A292" s="11"/>
      <c r="B292" s="10"/>
      <c r="C292" s="106"/>
      <c r="D292" s="10"/>
      <c r="E292" s="10"/>
      <c r="F292" s="106"/>
      <c r="G292" s="10"/>
      <c r="H292" s="10"/>
      <c r="I292" s="56"/>
      <c r="J292" s="56"/>
      <c r="K292" s="56"/>
      <c r="L292" s="56"/>
      <c r="M292" s="56"/>
      <c r="N292" s="11"/>
      <c r="O292" s="100"/>
      <c r="Q292" s="100"/>
      <c r="T292" s="100"/>
    </row>
    <row r="293" spans="1:20" s="105" customFormat="1" x14ac:dyDescent="0.15">
      <c r="A293" s="11"/>
      <c r="B293" s="10"/>
      <c r="C293" s="106"/>
      <c r="D293" s="10"/>
      <c r="E293" s="10"/>
      <c r="F293" s="106"/>
      <c r="G293" s="10"/>
      <c r="H293" s="10"/>
      <c r="I293" s="56"/>
      <c r="J293" s="56"/>
      <c r="K293" s="56"/>
      <c r="L293" s="56"/>
      <c r="M293" s="56"/>
      <c r="N293" s="11"/>
      <c r="O293" s="100"/>
      <c r="Q293" s="100"/>
      <c r="T293" s="100"/>
    </row>
    <row r="294" spans="1:20" s="105" customFormat="1" x14ac:dyDescent="0.15">
      <c r="A294" s="11"/>
      <c r="B294" s="10"/>
      <c r="C294" s="106"/>
      <c r="D294" s="10"/>
      <c r="E294" s="10"/>
      <c r="F294" s="106"/>
      <c r="G294" s="10"/>
      <c r="H294" s="10"/>
      <c r="I294" s="56"/>
      <c r="J294" s="56"/>
      <c r="K294" s="56"/>
      <c r="L294" s="56"/>
      <c r="M294" s="56"/>
      <c r="N294" s="11"/>
      <c r="O294" s="100"/>
      <c r="Q294" s="100"/>
      <c r="T294" s="100"/>
    </row>
    <row r="295" spans="1:20" s="105" customFormat="1" x14ac:dyDescent="0.15">
      <c r="A295" s="11"/>
      <c r="B295" s="10"/>
      <c r="C295" s="106"/>
      <c r="D295" s="10"/>
      <c r="E295" s="10"/>
      <c r="F295" s="106"/>
      <c r="G295" s="10"/>
      <c r="H295" s="10"/>
      <c r="I295" s="56"/>
      <c r="J295" s="56"/>
      <c r="K295" s="56"/>
      <c r="L295" s="56"/>
      <c r="M295" s="56"/>
      <c r="N295" s="11"/>
      <c r="O295" s="100"/>
      <c r="Q295" s="100"/>
      <c r="T295" s="100"/>
    </row>
    <row r="296" spans="1:20" s="105" customFormat="1" x14ac:dyDescent="0.15">
      <c r="A296" s="11"/>
      <c r="B296" s="10"/>
      <c r="C296" s="106"/>
      <c r="D296" s="10"/>
      <c r="E296" s="10"/>
      <c r="F296" s="106"/>
      <c r="G296" s="10"/>
      <c r="H296" s="10"/>
      <c r="I296" s="56"/>
      <c r="J296" s="56"/>
      <c r="K296" s="56"/>
      <c r="L296" s="56"/>
      <c r="M296" s="56"/>
      <c r="N296" s="11"/>
      <c r="O296" s="100"/>
      <c r="Q296" s="100"/>
      <c r="T296" s="100"/>
    </row>
    <row r="297" spans="1:20" s="105" customFormat="1" x14ac:dyDescent="0.15">
      <c r="A297" s="11"/>
      <c r="B297" s="10"/>
      <c r="C297" s="106"/>
      <c r="D297" s="10"/>
      <c r="E297" s="10"/>
      <c r="F297" s="106"/>
      <c r="G297" s="10"/>
      <c r="H297" s="10"/>
      <c r="I297" s="56"/>
      <c r="J297" s="56"/>
      <c r="K297" s="56"/>
      <c r="L297" s="56"/>
      <c r="M297" s="56"/>
      <c r="N297" s="11"/>
      <c r="O297" s="100"/>
      <c r="Q297" s="100"/>
      <c r="T297" s="100"/>
    </row>
    <row r="298" spans="1:20" s="105" customFormat="1" x14ac:dyDescent="0.15">
      <c r="A298" s="11"/>
      <c r="B298" s="10"/>
      <c r="C298" s="106"/>
      <c r="D298" s="10"/>
      <c r="E298" s="10"/>
      <c r="F298" s="106"/>
      <c r="G298" s="10"/>
      <c r="H298" s="10"/>
      <c r="I298" s="56"/>
      <c r="J298" s="56"/>
      <c r="K298" s="56"/>
      <c r="L298" s="56"/>
      <c r="M298" s="56"/>
      <c r="N298" s="11"/>
      <c r="O298" s="100"/>
      <c r="Q298" s="100"/>
      <c r="T298" s="100"/>
    </row>
    <row r="299" spans="1:20" s="105" customFormat="1" x14ac:dyDescent="0.15">
      <c r="A299" s="11"/>
      <c r="B299" s="10"/>
      <c r="C299" s="106"/>
      <c r="D299" s="10"/>
      <c r="E299" s="10"/>
      <c r="F299" s="106"/>
      <c r="G299" s="10"/>
      <c r="H299" s="10"/>
      <c r="I299" s="56"/>
      <c r="J299" s="56"/>
      <c r="K299" s="56"/>
      <c r="L299" s="56"/>
      <c r="M299" s="56"/>
      <c r="N299" s="11"/>
      <c r="O299" s="100"/>
      <c r="Q299" s="100"/>
      <c r="T299" s="100"/>
    </row>
    <row r="300" spans="1:20" s="105" customFormat="1" x14ac:dyDescent="0.15">
      <c r="A300" s="11"/>
      <c r="B300" s="10"/>
      <c r="C300" s="106"/>
      <c r="D300" s="10"/>
      <c r="E300" s="10"/>
      <c r="F300" s="106"/>
      <c r="G300" s="10"/>
      <c r="H300" s="10"/>
      <c r="I300" s="56"/>
      <c r="J300" s="56"/>
      <c r="K300" s="56"/>
      <c r="L300" s="56"/>
      <c r="M300" s="56"/>
      <c r="N300" s="11"/>
      <c r="O300" s="100"/>
      <c r="Q300" s="100"/>
      <c r="T300" s="100"/>
    </row>
    <row r="301" spans="1:20" s="105" customFormat="1" x14ac:dyDescent="0.15">
      <c r="A301" s="11"/>
      <c r="B301" s="10"/>
      <c r="C301" s="106"/>
      <c r="D301" s="10"/>
      <c r="E301" s="10"/>
      <c r="F301" s="106"/>
      <c r="G301" s="10"/>
      <c r="H301" s="10"/>
      <c r="I301" s="56"/>
      <c r="J301" s="56"/>
      <c r="K301" s="56"/>
      <c r="L301" s="56"/>
      <c r="M301" s="56"/>
      <c r="N301" s="11"/>
      <c r="O301" s="100"/>
      <c r="Q301" s="100"/>
      <c r="T301" s="100"/>
    </row>
    <row r="302" spans="1:20" s="105" customFormat="1" x14ac:dyDescent="0.15">
      <c r="A302" s="11"/>
      <c r="B302" s="10"/>
      <c r="C302" s="106"/>
      <c r="D302" s="10"/>
      <c r="E302" s="10"/>
      <c r="F302" s="106"/>
      <c r="G302" s="10"/>
      <c r="H302" s="10"/>
      <c r="I302" s="56"/>
      <c r="J302" s="56"/>
      <c r="K302" s="56"/>
      <c r="L302" s="56"/>
      <c r="M302" s="56"/>
      <c r="N302" s="11"/>
      <c r="O302" s="100"/>
      <c r="Q302" s="100"/>
      <c r="T302" s="100"/>
    </row>
    <row r="303" spans="1:20" s="105" customFormat="1" x14ac:dyDescent="0.15">
      <c r="A303" s="11"/>
      <c r="B303" s="10"/>
      <c r="C303" s="106"/>
      <c r="D303" s="10"/>
      <c r="E303" s="10"/>
      <c r="F303" s="106"/>
      <c r="G303" s="10"/>
      <c r="H303" s="10"/>
      <c r="I303" s="56"/>
      <c r="J303" s="56"/>
      <c r="K303" s="56"/>
      <c r="L303" s="56"/>
      <c r="M303" s="56"/>
      <c r="N303" s="11"/>
      <c r="O303" s="100"/>
      <c r="Q303" s="100"/>
      <c r="T303" s="100"/>
    </row>
    <row r="304" spans="1:20" s="105" customFormat="1" x14ac:dyDescent="0.15">
      <c r="A304" s="11"/>
      <c r="B304" s="10"/>
      <c r="C304" s="106"/>
      <c r="D304" s="10"/>
      <c r="E304" s="10"/>
      <c r="F304" s="106"/>
      <c r="G304" s="10"/>
      <c r="H304" s="10"/>
      <c r="I304" s="56"/>
      <c r="J304" s="56"/>
      <c r="K304" s="56"/>
      <c r="L304" s="56"/>
      <c r="M304" s="56"/>
      <c r="N304" s="11"/>
      <c r="O304" s="100"/>
      <c r="Q304" s="100"/>
      <c r="T304" s="100"/>
    </row>
    <row r="305" spans="1:20" s="105" customFormat="1" x14ac:dyDescent="0.15">
      <c r="A305" s="11"/>
      <c r="B305" s="10"/>
      <c r="C305" s="106"/>
      <c r="D305" s="10"/>
      <c r="E305" s="10"/>
      <c r="F305" s="106"/>
      <c r="G305" s="10"/>
      <c r="H305" s="10"/>
      <c r="I305" s="56"/>
      <c r="J305" s="56"/>
      <c r="K305" s="56"/>
      <c r="L305" s="56"/>
      <c r="M305" s="56"/>
      <c r="N305" s="11"/>
      <c r="O305" s="100"/>
      <c r="Q305" s="100"/>
      <c r="T305" s="100"/>
    </row>
    <row r="306" spans="1:20" s="105" customFormat="1" x14ac:dyDescent="0.15">
      <c r="A306" s="11"/>
      <c r="B306" s="10"/>
      <c r="C306" s="106"/>
      <c r="D306" s="10"/>
      <c r="E306" s="10"/>
      <c r="F306" s="106"/>
      <c r="G306" s="10"/>
      <c r="H306" s="10"/>
      <c r="I306" s="56"/>
      <c r="J306" s="56"/>
      <c r="K306" s="56"/>
      <c r="L306" s="56"/>
      <c r="M306" s="56"/>
      <c r="N306" s="11"/>
      <c r="O306" s="100"/>
      <c r="Q306" s="100"/>
      <c r="T306" s="100"/>
    </row>
    <row r="307" spans="1:20" s="105" customFormat="1" x14ac:dyDescent="0.15">
      <c r="A307" s="11"/>
      <c r="B307" s="10"/>
      <c r="C307" s="106"/>
      <c r="D307" s="10"/>
      <c r="E307" s="10"/>
      <c r="F307" s="106"/>
      <c r="G307" s="10"/>
      <c r="H307" s="10"/>
      <c r="I307" s="56"/>
      <c r="J307" s="56"/>
      <c r="K307" s="56"/>
      <c r="L307" s="56"/>
      <c r="M307" s="56"/>
      <c r="N307" s="11"/>
      <c r="O307" s="100"/>
      <c r="Q307" s="100"/>
      <c r="T307" s="100"/>
    </row>
    <row r="308" spans="1:20" s="105" customFormat="1" x14ac:dyDescent="0.15">
      <c r="A308" s="11"/>
      <c r="B308" s="10"/>
      <c r="C308" s="106"/>
      <c r="D308" s="10"/>
      <c r="E308" s="10"/>
      <c r="F308" s="106"/>
      <c r="G308" s="10"/>
      <c r="H308" s="10"/>
      <c r="I308" s="56"/>
      <c r="J308" s="56"/>
      <c r="K308" s="56"/>
      <c r="L308" s="56"/>
      <c r="M308" s="56"/>
      <c r="N308" s="11"/>
      <c r="O308" s="100"/>
      <c r="Q308" s="100"/>
      <c r="T308" s="100"/>
    </row>
    <row r="309" spans="1:20" s="105" customFormat="1" x14ac:dyDescent="0.15">
      <c r="A309" s="11"/>
      <c r="B309" s="10"/>
      <c r="C309" s="106"/>
      <c r="D309" s="10"/>
      <c r="E309" s="10"/>
      <c r="F309" s="106"/>
      <c r="G309" s="10"/>
      <c r="H309" s="10"/>
      <c r="I309" s="56"/>
      <c r="J309" s="56"/>
      <c r="K309" s="56"/>
      <c r="L309" s="56"/>
      <c r="M309" s="56"/>
      <c r="N309" s="11"/>
      <c r="O309" s="100"/>
      <c r="Q309" s="100"/>
      <c r="T309" s="100"/>
    </row>
    <row r="310" spans="1:20" s="105" customFormat="1" x14ac:dyDescent="0.15">
      <c r="A310" s="11"/>
      <c r="B310" s="10"/>
      <c r="C310" s="106"/>
      <c r="D310" s="10"/>
      <c r="E310" s="10"/>
      <c r="F310" s="106"/>
      <c r="G310" s="10"/>
      <c r="H310" s="10"/>
      <c r="I310" s="56"/>
      <c r="J310" s="56"/>
      <c r="K310" s="56"/>
      <c r="L310" s="56"/>
      <c r="M310" s="56"/>
      <c r="N310" s="11"/>
      <c r="O310" s="100"/>
      <c r="Q310" s="100"/>
      <c r="T310" s="100"/>
    </row>
    <row r="311" spans="1:20" s="105" customFormat="1" x14ac:dyDescent="0.15">
      <c r="A311" s="11"/>
      <c r="B311" s="10"/>
      <c r="C311" s="106"/>
      <c r="D311" s="10"/>
      <c r="E311" s="10"/>
      <c r="F311" s="106"/>
      <c r="G311" s="10"/>
      <c r="H311" s="10"/>
      <c r="I311" s="56"/>
      <c r="J311" s="56"/>
      <c r="K311" s="56"/>
      <c r="L311" s="56"/>
      <c r="M311" s="56"/>
      <c r="N311" s="11"/>
      <c r="O311" s="100"/>
      <c r="Q311" s="100"/>
      <c r="T311" s="100"/>
    </row>
    <row r="312" spans="1:20" s="105" customFormat="1" x14ac:dyDescent="0.15">
      <c r="A312" s="11"/>
      <c r="B312" s="10"/>
      <c r="C312" s="106"/>
      <c r="D312" s="10"/>
      <c r="E312" s="10"/>
      <c r="F312" s="106"/>
      <c r="G312" s="10"/>
      <c r="H312" s="10"/>
      <c r="I312" s="56"/>
      <c r="J312" s="56"/>
      <c r="K312" s="56"/>
      <c r="L312" s="56"/>
      <c r="M312" s="56"/>
      <c r="N312" s="11"/>
      <c r="O312" s="100"/>
      <c r="Q312" s="100"/>
      <c r="T312" s="100"/>
    </row>
    <row r="313" spans="1:20" s="105" customFormat="1" x14ac:dyDescent="0.15">
      <c r="A313" s="11"/>
      <c r="B313" s="10"/>
      <c r="C313" s="106"/>
      <c r="D313" s="10"/>
      <c r="E313" s="10"/>
      <c r="F313" s="106"/>
      <c r="G313" s="10"/>
      <c r="H313" s="10"/>
      <c r="I313" s="56"/>
      <c r="J313" s="56"/>
      <c r="K313" s="56"/>
      <c r="L313" s="56"/>
      <c r="M313" s="56"/>
      <c r="N313" s="11"/>
      <c r="O313" s="100"/>
      <c r="Q313" s="100"/>
      <c r="T313" s="100"/>
    </row>
    <row r="314" spans="1:20" s="105" customFormat="1" x14ac:dyDescent="0.15">
      <c r="A314" s="11"/>
      <c r="B314" s="10"/>
      <c r="C314" s="106"/>
      <c r="D314" s="10"/>
      <c r="E314" s="10"/>
      <c r="F314" s="106"/>
      <c r="G314" s="10"/>
      <c r="H314" s="10"/>
      <c r="I314" s="56"/>
      <c r="J314" s="56"/>
      <c r="K314" s="56"/>
      <c r="L314" s="56"/>
      <c r="M314" s="56"/>
      <c r="N314" s="11"/>
      <c r="O314" s="100"/>
      <c r="Q314" s="100"/>
      <c r="T314" s="100"/>
    </row>
    <row r="315" spans="1:20" s="105" customFormat="1" x14ac:dyDescent="0.15">
      <c r="A315" s="11"/>
      <c r="B315" s="10"/>
      <c r="C315" s="106"/>
      <c r="D315" s="10"/>
      <c r="E315" s="10"/>
      <c r="F315" s="106"/>
      <c r="G315" s="10"/>
      <c r="H315" s="10"/>
      <c r="I315" s="56"/>
      <c r="J315" s="56"/>
      <c r="K315" s="56"/>
      <c r="L315" s="56"/>
      <c r="M315" s="56"/>
      <c r="N315" s="11"/>
      <c r="O315" s="100"/>
      <c r="Q315" s="100"/>
      <c r="T315" s="100"/>
    </row>
    <row r="316" spans="1:20" s="105" customFormat="1" x14ac:dyDescent="0.15">
      <c r="A316" s="11"/>
      <c r="B316" s="10"/>
      <c r="C316" s="106"/>
      <c r="D316" s="10"/>
      <c r="E316" s="10"/>
      <c r="F316" s="106"/>
      <c r="G316" s="10"/>
      <c r="H316" s="10"/>
      <c r="I316" s="56"/>
      <c r="J316" s="56"/>
      <c r="K316" s="56"/>
      <c r="L316" s="56"/>
      <c r="M316" s="56"/>
      <c r="N316" s="11"/>
      <c r="O316" s="100"/>
      <c r="Q316" s="100"/>
      <c r="T316" s="100"/>
    </row>
    <row r="317" spans="1:20" s="105" customFormat="1" x14ac:dyDescent="0.15">
      <c r="A317" s="11"/>
      <c r="B317" s="10"/>
      <c r="C317" s="106"/>
      <c r="D317" s="10"/>
      <c r="E317" s="10"/>
      <c r="F317" s="106"/>
      <c r="G317" s="10"/>
      <c r="H317" s="10"/>
      <c r="I317" s="56"/>
      <c r="J317" s="56"/>
      <c r="K317" s="56"/>
      <c r="L317" s="56"/>
      <c r="M317" s="56"/>
      <c r="N317" s="11"/>
      <c r="O317" s="100"/>
      <c r="Q317" s="100"/>
      <c r="T317" s="100"/>
    </row>
    <row r="318" spans="1:20" s="105" customFormat="1" x14ac:dyDescent="0.15">
      <c r="A318" s="11"/>
      <c r="B318" s="10"/>
      <c r="C318" s="106"/>
      <c r="D318" s="10"/>
      <c r="E318" s="10"/>
      <c r="F318" s="106"/>
      <c r="G318" s="10"/>
      <c r="H318" s="10"/>
      <c r="I318" s="56"/>
      <c r="J318" s="56"/>
      <c r="K318" s="56"/>
      <c r="L318" s="56"/>
      <c r="M318" s="56"/>
      <c r="N318" s="11"/>
      <c r="O318" s="100"/>
      <c r="Q318" s="100"/>
      <c r="T318" s="100"/>
    </row>
    <row r="319" spans="1:20" s="105" customFormat="1" x14ac:dyDescent="0.15">
      <c r="A319" s="11"/>
      <c r="B319" s="10"/>
      <c r="C319" s="106"/>
      <c r="D319" s="10"/>
      <c r="E319" s="10"/>
      <c r="F319" s="106"/>
      <c r="G319" s="10"/>
      <c r="H319" s="10"/>
      <c r="I319" s="56"/>
      <c r="J319" s="56"/>
      <c r="K319" s="56"/>
      <c r="L319" s="56"/>
      <c r="M319" s="56"/>
      <c r="N319" s="11"/>
      <c r="O319" s="100"/>
      <c r="Q319" s="100"/>
      <c r="T319" s="100"/>
    </row>
    <row r="320" spans="1:20" s="105" customFormat="1" x14ac:dyDescent="0.15">
      <c r="A320" s="11"/>
      <c r="B320" s="10"/>
      <c r="C320" s="106"/>
      <c r="D320" s="10"/>
      <c r="E320" s="10"/>
      <c r="F320" s="106"/>
      <c r="G320" s="10"/>
      <c r="H320" s="10"/>
      <c r="I320" s="56"/>
      <c r="J320" s="56"/>
      <c r="K320" s="56"/>
      <c r="L320" s="56"/>
      <c r="M320" s="56"/>
      <c r="N320" s="11"/>
      <c r="O320" s="100"/>
      <c r="Q320" s="100"/>
      <c r="T320" s="100"/>
    </row>
    <row r="321" spans="1:20" s="105" customFormat="1" x14ac:dyDescent="0.15">
      <c r="A321" s="11"/>
      <c r="B321" s="10"/>
      <c r="C321" s="106"/>
      <c r="D321" s="10"/>
      <c r="E321" s="10"/>
      <c r="F321" s="106"/>
      <c r="G321" s="10"/>
      <c r="H321" s="10"/>
      <c r="I321" s="56"/>
      <c r="J321" s="56"/>
      <c r="K321" s="56"/>
      <c r="L321" s="56"/>
      <c r="M321" s="56"/>
      <c r="N321" s="11"/>
      <c r="O321" s="100"/>
      <c r="Q321" s="100"/>
      <c r="T321" s="100"/>
    </row>
    <row r="322" spans="1:20" s="105" customFormat="1" x14ac:dyDescent="0.15">
      <c r="A322" s="11"/>
      <c r="B322" s="10"/>
      <c r="C322" s="106"/>
      <c r="D322" s="10"/>
      <c r="E322" s="10"/>
      <c r="F322" s="106"/>
      <c r="G322" s="10"/>
      <c r="H322" s="10"/>
      <c r="I322" s="56"/>
      <c r="J322" s="56"/>
      <c r="K322" s="56"/>
      <c r="L322" s="56"/>
      <c r="M322" s="56"/>
      <c r="N322" s="11"/>
      <c r="O322" s="100"/>
      <c r="Q322" s="100"/>
      <c r="T322" s="100"/>
    </row>
    <row r="323" spans="1:20" s="105" customFormat="1" x14ac:dyDescent="0.15">
      <c r="A323" s="11"/>
      <c r="B323" s="10"/>
      <c r="C323" s="106"/>
      <c r="D323" s="10"/>
      <c r="E323" s="10"/>
      <c r="F323" s="106"/>
      <c r="G323" s="10"/>
      <c r="H323" s="10"/>
      <c r="I323" s="56"/>
      <c r="J323" s="56"/>
      <c r="K323" s="56"/>
      <c r="L323" s="56"/>
      <c r="M323" s="56"/>
      <c r="N323" s="11"/>
      <c r="O323" s="100"/>
      <c r="Q323" s="100"/>
      <c r="T323" s="100"/>
    </row>
    <row r="324" spans="1:20" s="105" customFormat="1" x14ac:dyDescent="0.15">
      <c r="A324" s="11"/>
      <c r="B324" s="10"/>
      <c r="C324" s="106"/>
      <c r="D324" s="10"/>
      <c r="E324" s="10"/>
      <c r="F324" s="106"/>
      <c r="G324" s="10"/>
      <c r="H324" s="10"/>
      <c r="I324" s="56"/>
      <c r="J324" s="56"/>
      <c r="K324" s="56"/>
      <c r="L324" s="56"/>
      <c r="M324" s="56"/>
      <c r="N324" s="11"/>
      <c r="O324" s="100"/>
      <c r="Q324" s="100"/>
      <c r="T324" s="100"/>
    </row>
    <row r="325" spans="1:20" s="105" customFormat="1" x14ac:dyDescent="0.15">
      <c r="A325" s="11"/>
      <c r="B325" s="10"/>
      <c r="C325" s="106"/>
      <c r="D325" s="10"/>
      <c r="E325" s="10"/>
      <c r="F325" s="106"/>
      <c r="G325" s="10"/>
      <c r="H325" s="10"/>
      <c r="I325" s="56"/>
      <c r="J325" s="56"/>
      <c r="K325" s="56"/>
      <c r="L325" s="56"/>
      <c r="M325" s="56"/>
      <c r="N325" s="11"/>
      <c r="O325" s="100"/>
      <c r="Q325" s="100"/>
      <c r="T325" s="100"/>
    </row>
    <row r="326" spans="1:20" s="105" customFormat="1" x14ac:dyDescent="0.15">
      <c r="A326" s="11"/>
      <c r="B326" s="10"/>
      <c r="C326" s="106"/>
      <c r="D326" s="10"/>
      <c r="E326" s="10"/>
      <c r="F326" s="106"/>
      <c r="G326" s="10"/>
      <c r="H326" s="10"/>
      <c r="I326" s="56"/>
      <c r="J326" s="56"/>
      <c r="K326" s="56"/>
      <c r="L326" s="56"/>
      <c r="M326" s="56"/>
      <c r="N326" s="11"/>
      <c r="O326" s="100"/>
      <c r="Q326" s="100"/>
      <c r="T326" s="100"/>
    </row>
    <row r="327" spans="1:20" s="105" customFormat="1" x14ac:dyDescent="0.15">
      <c r="A327" s="11"/>
      <c r="B327" s="10"/>
      <c r="C327" s="106"/>
      <c r="D327" s="10"/>
      <c r="E327" s="10"/>
      <c r="F327" s="106"/>
      <c r="G327" s="10"/>
      <c r="H327" s="10"/>
      <c r="I327" s="56"/>
      <c r="J327" s="56"/>
      <c r="K327" s="56"/>
      <c r="L327" s="56"/>
      <c r="M327" s="56"/>
      <c r="N327" s="11"/>
      <c r="O327" s="100"/>
      <c r="Q327" s="100"/>
      <c r="T327" s="100"/>
    </row>
    <row r="328" spans="1:20" s="105" customFormat="1" x14ac:dyDescent="0.15">
      <c r="A328" s="11"/>
      <c r="B328" s="10"/>
      <c r="C328" s="106"/>
      <c r="D328" s="10"/>
      <c r="E328" s="10"/>
      <c r="F328" s="106"/>
      <c r="G328" s="10"/>
      <c r="H328" s="10"/>
      <c r="I328" s="56"/>
      <c r="J328" s="56"/>
      <c r="K328" s="56"/>
      <c r="L328" s="56"/>
      <c r="M328" s="56"/>
      <c r="N328" s="11"/>
      <c r="O328" s="100"/>
      <c r="Q328" s="100"/>
      <c r="T328" s="100"/>
    </row>
    <row r="329" spans="1:20" s="105" customFormat="1" x14ac:dyDescent="0.15">
      <c r="A329" s="11"/>
      <c r="B329" s="10"/>
      <c r="C329" s="106"/>
      <c r="D329" s="10"/>
      <c r="E329" s="10"/>
      <c r="F329" s="106"/>
      <c r="G329" s="10"/>
      <c r="H329" s="10"/>
      <c r="I329" s="56"/>
      <c r="J329" s="56"/>
      <c r="K329" s="56"/>
      <c r="L329" s="56"/>
      <c r="M329" s="56"/>
      <c r="N329" s="11"/>
      <c r="O329" s="100"/>
      <c r="Q329" s="100"/>
      <c r="T329" s="100"/>
    </row>
    <row r="330" spans="1:20" s="105" customFormat="1" x14ac:dyDescent="0.15">
      <c r="A330" s="11"/>
      <c r="B330" s="10"/>
      <c r="C330" s="106"/>
      <c r="D330" s="10"/>
      <c r="E330" s="10"/>
      <c r="F330" s="106"/>
      <c r="G330" s="10"/>
      <c r="H330" s="10"/>
      <c r="I330" s="56"/>
      <c r="J330" s="56"/>
      <c r="K330" s="56"/>
      <c r="L330" s="56"/>
      <c r="M330" s="56"/>
      <c r="N330" s="11"/>
      <c r="O330" s="100"/>
      <c r="Q330" s="100"/>
      <c r="T330" s="100"/>
    </row>
    <row r="331" spans="1:20" s="105" customFormat="1" x14ac:dyDescent="0.15">
      <c r="A331" s="11"/>
      <c r="B331" s="10"/>
      <c r="C331" s="106"/>
      <c r="D331" s="10"/>
      <c r="E331" s="10"/>
      <c r="F331" s="106"/>
      <c r="G331" s="10"/>
      <c r="H331" s="10"/>
      <c r="I331" s="56"/>
      <c r="J331" s="56"/>
      <c r="K331" s="56"/>
      <c r="L331" s="56"/>
      <c r="M331" s="56"/>
      <c r="N331" s="11"/>
      <c r="O331" s="100"/>
      <c r="Q331" s="100"/>
      <c r="T331" s="100"/>
    </row>
    <row r="332" spans="1:20" s="105" customFormat="1" x14ac:dyDescent="0.15">
      <c r="A332" s="11"/>
      <c r="B332" s="10"/>
      <c r="C332" s="106"/>
      <c r="D332" s="10"/>
      <c r="E332" s="10"/>
      <c r="F332" s="106"/>
      <c r="G332" s="10"/>
      <c r="H332" s="10"/>
      <c r="I332" s="56"/>
      <c r="J332" s="56"/>
      <c r="K332" s="56"/>
      <c r="L332" s="56"/>
      <c r="M332" s="56"/>
      <c r="N332" s="11"/>
      <c r="O332" s="100"/>
      <c r="Q332" s="100"/>
      <c r="T332" s="100"/>
    </row>
    <row r="333" spans="1:20" s="105" customFormat="1" x14ac:dyDescent="0.15">
      <c r="A333" s="11"/>
      <c r="B333" s="10"/>
      <c r="C333" s="106"/>
      <c r="D333" s="10"/>
      <c r="E333" s="10"/>
      <c r="F333" s="106"/>
      <c r="G333" s="10"/>
      <c r="H333" s="10"/>
      <c r="I333" s="56"/>
      <c r="J333" s="56"/>
      <c r="K333" s="56"/>
      <c r="L333" s="56"/>
      <c r="M333" s="56"/>
      <c r="N333" s="11"/>
      <c r="O333" s="100"/>
      <c r="Q333" s="100"/>
      <c r="T333" s="100"/>
    </row>
    <row r="334" spans="1:20" s="105" customFormat="1" x14ac:dyDescent="0.15">
      <c r="A334" s="11"/>
      <c r="B334" s="10"/>
      <c r="C334" s="106"/>
      <c r="D334" s="10"/>
      <c r="E334" s="10"/>
      <c r="F334" s="106"/>
      <c r="G334" s="10"/>
      <c r="H334" s="10"/>
      <c r="I334" s="56"/>
      <c r="J334" s="56"/>
      <c r="K334" s="56"/>
      <c r="L334" s="56"/>
      <c r="M334" s="56"/>
      <c r="N334" s="11"/>
      <c r="O334" s="100"/>
      <c r="Q334" s="100"/>
      <c r="T334" s="100"/>
    </row>
    <row r="335" spans="1:20" s="105" customFormat="1" x14ac:dyDescent="0.15">
      <c r="A335" s="11"/>
      <c r="B335" s="10"/>
      <c r="C335" s="106"/>
      <c r="D335" s="10"/>
      <c r="E335" s="10"/>
      <c r="F335" s="106"/>
      <c r="G335" s="10"/>
      <c r="H335" s="10"/>
      <c r="I335" s="56"/>
      <c r="J335" s="56"/>
      <c r="K335" s="56"/>
      <c r="L335" s="56"/>
      <c r="M335" s="56"/>
      <c r="N335" s="11"/>
      <c r="O335" s="100"/>
      <c r="Q335" s="100"/>
      <c r="T335" s="100"/>
    </row>
    <row r="336" spans="1:20" s="105" customFormat="1" x14ac:dyDescent="0.15">
      <c r="A336" s="11"/>
      <c r="B336" s="10"/>
      <c r="C336" s="106"/>
      <c r="D336" s="10"/>
      <c r="E336" s="10"/>
      <c r="F336" s="106"/>
      <c r="G336" s="10"/>
      <c r="H336" s="10"/>
      <c r="I336" s="56"/>
      <c r="J336" s="56"/>
      <c r="K336" s="56"/>
      <c r="L336" s="56"/>
      <c r="M336" s="56"/>
      <c r="N336" s="11"/>
      <c r="O336" s="100"/>
      <c r="Q336" s="100"/>
      <c r="T336" s="100"/>
    </row>
    <row r="337" spans="1:20" s="105" customFormat="1" x14ac:dyDescent="0.15">
      <c r="A337" s="11"/>
      <c r="B337" s="10"/>
      <c r="C337" s="106"/>
      <c r="D337" s="10"/>
      <c r="E337" s="10"/>
      <c r="F337" s="106"/>
      <c r="G337" s="10"/>
      <c r="H337" s="10"/>
      <c r="I337" s="56"/>
      <c r="J337" s="56"/>
      <c r="K337" s="56"/>
      <c r="L337" s="56"/>
      <c r="M337" s="56"/>
      <c r="N337" s="11"/>
      <c r="O337" s="100"/>
      <c r="Q337" s="100"/>
      <c r="T337" s="100"/>
    </row>
    <row r="338" spans="1:20" s="105" customFormat="1" x14ac:dyDescent="0.15">
      <c r="A338" s="11"/>
      <c r="B338" s="10"/>
      <c r="C338" s="106"/>
      <c r="D338" s="10"/>
      <c r="E338" s="10"/>
      <c r="F338" s="106"/>
      <c r="G338" s="10"/>
      <c r="H338" s="10"/>
      <c r="I338" s="56"/>
      <c r="J338" s="56"/>
      <c r="K338" s="56"/>
      <c r="L338" s="56"/>
      <c r="M338" s="56"/>
      <c r="N338" s="11"/>
      <c r="O338" s="100"/>
      <c r="Q338" s="100"/>
      <c r="T338" s="100"/>
    </row>
    <row r="339" spans="1:20" s="105" customFormat="1" x14ac:dyDescent="0.15">
      <c r="A339" s="11"/>
      <c r="B339" s="10"/>
      <c r="C339" s="106"/>
      <c r="D339" s="10"/>
      <c r="E339" s="10"/>
      <c r="F339" s="106"/>
      <c r="G339" s="10"/>
      <c r="H339" s="10"/>
      <c r="I339" s="56"/>
      <c r="J339" s="56"/>
      <c r="K339" s="56"/>
      <c r="L339" s="56"/>
      <c r="M339" s="56"/>
      <c r="N339" s="11"/>
      <c r="O339" s="100"/>
      <c r="Q339" s="100"/>
      <c r="T339" s="100"/>
    </row>
    <row r="340" spans="1:20" s="105" customFormat="1" x14ac:dyDescent="0.15">
      <c r="A340" s="11"/>
      <c r="B340" s="10"/>
      <c r="C340" s="106"/>
      <c r="D340" s="10"/>
      <c r="E340" s="10"/>
      <c r="F340" s="106"/>
      <c r="G340" s="10"/>
      <c r="H340" s="10"/>
      <c r="I340" s="56"/>
      <c r="J340" s="56"/>
      <c r="K340" s="56"/>
      <c r="L340" s="56"/>
      <c r="M340" s="56"/>
      <c r="N340" s="11"/>
      <c r="O340" s="100"/>
      <c r="Q340" s="100"/>
      <c r="T340" s="100"/>
    </row>
    <row r="341" spans="1:20" s="105" customFormat="1" x14ac:dyDescent="0.15">
      <c r="A341" s="11"/>
      <c r="B341" s="10"/>
      <c r="C341" s="106"/>
      <c r="D341" s="10"/>
      <c r="E341" s="10"/>
      <c r="F341" s="106"/>
      <c r="G341" s="10"/>
      <c r="H341" s="10"/>
      <c r="I341" s="56"/>
      <c r="J341" s="56"/>
      <c r="K341" s="56"/>
      <c r="L341" s="56"/>
      <c r="M341" s="56"/>
      <c r="N341" s="11"/>
      <c r="O341" s="100"/>
      <c r="Q341" s="100"/>
      <c r="T341" s="100"/>
    </row>
    <row r="342" spans="1:20" s="105" customFormat="1" x14ac:dyDescent="0.15">
      <c r="A342" s="11"/>
      <c r="B342" s="10"/>
      <c r="C342" s="106"/>
      <c r="D342" s="10"/>
      <c r="E342" s="10"/>
      <c r="F342" s="106"/>
      <c r="G342" s="10"/>
      <c r="H342" s="10"/>
      <c r="I342" s="56"/>
      <c r="J342" s="56"/>
      <c r="K342" s="56"/>
      <c r="L342" s="56"/>
      <c r="M342" s="56"/>
      <c r="N342" s="11"/>
      <c r="O342" s="100"/>
      <c r="Q342" s="100"/>
      <c r="T342" s="100"/>
    </row>
    <row r="343" spans="1:20" s="105" customFormat="1" x14ac:dyDescent="0.15">
      <c r="A343" s="11"/>
      <c r="B343" s="10"/>
      <c r="C343" s="106"/>
      <c r="D343" s="10"/>
      <c r="E343" s="10"/>
      <c r="F343" s="106"/>
      <c r="G343" s="10"/>
      <c r="H343" s="10"/>
      <c r="I343" s="56"/>
      <c r="J343" s="56"/>
      <c r="K343" s="56"/>
      <c r="L343" s="56"/>
      <c r="M343" s="56"/>
      <c r="N343" s="11"/>
      <c r="O343" s="100"/>
      <c r="Q343" s="100"/>
      <c r="T343" s="100"/>
    </row>
    <row r="344" spans="1:20" s="105" customFormat="1" x14ac:dyDescent="0.15">
      <c r="A344" s="11"/>
      <c r="B344" s="10"/>
      <c r="C344" s="106"/>
      <c r="D344" s="10"/>
      <c r="E344" s="10"/>
      <c r="F344" s="106"/>
      <c r="G344" s="10"/>
      <c r="H344" s="10"/>
      <c r="I344" s="56"/>
      <c r="J344" s="56"/>
      <c r="K344" s="56"/>
      <c r="L344" s="56"/>
      <c r="M344" s="56"/>
      <c r="N344" s="11"/>
      <c r="O344" s="100"/>
      <c r="Q344" s="100"/>
      <c r="T344" s="100"/>
    </row>
    <row r="345" spans="1:20" s="105" customFormat="1" x14ac:dyDescent="0.15">
      <c r="A345" s="11"/>
      <c r="B345" s="10"/>
      <c r="C345" s="106"/>
      <c r="D345" s="10"/>
      <c r="E345" s="10"/>
      <c r="F345" s="106"/>
      <c r="G345" s="10"/>
      <c r="H345" s="10"/>
      <c r="I345" s="56"/>
      <c r="J345" s="56"/>
      <c r="K345" s="56"/>
      <c r="L345" s="56"/>
      <c r="M345" s="56"/>
      <c r="N345" s="11"/>
      <c r="O345" s="100"/>
      <c r="Q345" s="100"/>
      <c r="T345" s="100"/>
    </row>
    <row r="346" spans="1:20" s="105" customFormat="1" x14ac:dyDescent="0.15">
      <c r="A346" s="11"/>
      <c r="B346" s="10"/>
      <c r="C346" s="106"/>
      <c r="D346" s="10"/>
      <c r="E346" s="10"/>
      <c r="F346" s="106"/>
      <c r="G346" s="10"/>
      <c r="H346" s="10"/>
      <c r="I346" s="56"/>
      <c r="J346" s="56"/>
      <c r="K346" s="56"/>
      <c r="L346" s="56"/>
      <c r="M346" s="56"/>
      <c r="N346" s="11"/>
      <c r="O346" s="100"/>
      <c r="Q346" s="100"/>
      <c r="T346" s="100"/>
    </row>
    <row r="347" spans="1:20" s="105" customFormat="1" x14ac:dyDescent="0.15">
      <c r="A347" s="11"/>
      <c r="B347" s="10"/>
      <c r="C347" s="106"/>
      <c r="D347" s="10"/>
      <c r="E347" s="10"/>
      <c r="F347" s="106"/>
      <c r="G347" s="10"/>
      <c r="H347" s="10"/>
      <c r="I347" s="56"/>
      <c r="J347" s="56"/>
      <c r="K347" s="56"/>
      <c r="L347" s="56"/>
      <c r="M347" s="56"/>
      <c r="N347" s="11"/>
      <c r="O347" s="100"/>
      <c r="Q347" s="100"/>
      <c r="T347" s="100"/>
    </row>
    <row r="348" spans="1:20" s="105" customFormat="1" x14ac:dyDescent="0.15">
      <c r="A348" s="11"/>
      <c r="B348" s="10"/>
      <c r="C348" s="106"/>
      <c r="D348" s="10"/>
      <c r="E348" s="10"/>
      <c r="F348" s="106"/>
      <c r="G348" s="10"/>
      <c r="H348" s="10"/>
      <c r="I348" s="56"/>
      <c r="J348" s="56"/>
      <c r="K348" s="56"/>
      <c r="L348" s="56"/>
      <c r="M348" s="56"/>
      <c r="N348" s="11"/>
      <c r="O348" s="100"/>
      <c r="Q348" s="100"/>
      <c r="T348" s="100"/>
    </row>
    <row r="349" spans="1:20" s="105" customFormat="1" x14ac:dyDescent="0.15">
      <c r="A349" s="11"/>
      <c r="B349" s="10"/>
      <c r="C349" s="106"/>
      <c r="D349" s="10"/>
      <c r="E349" s="10"/>
      <c r="F349" s="106"/>
      <c r="G349" s="10"/>
      <c r="H349" s="10"/>
      <c r="I349" s="56"/>
      <c r="J349" s="56"/>
      <c r="K349" s="56"/>
      <c r="L349" s="56"/>
      <c r="M349" s="56"/>
      <c r="N349" s="11"/>
      <c r="O349" s="100"/>
      <c r="Q349" s="100"/>
      <c r="T349" s="100"/>
    </row>
    <row r="350" spans="1:20" s="105" customFormat="1" x14ac:dyDescent="0.15">
      <c r="A350" s="11"/>
      <c r="B350" s="10"/>
      <c r="C350" s="106"/>
      <c r="D350" s="10"/>
      <c r="E350" s="10"/>
      <c r="F350" s="106"/>
      <c r="G350" s="10"/>
      <c r="H350" s="10"/>
      <c r="I350" s="56"/>
      <c r="J350" s="56"/>
      <c r="K350" s="56"/>
      <c r="L350" s="56"/>
      <c r="M350" s="56"/>
      <c r="N350" s="11"/>
      <c r="O350" s="100"/>
      <c r="Q350" s="100"/>
      <c r="T350" s="100"/>
    </row>
    <row r="351" spans="1:20" s="105" customFormat="1" x14ac:dyDescent="0.15">
      <c r="A351" s="11"/>
      <c r="B351" s="10"/>
      <c r="C351" s="106"/>
      <c r="D351" s="10"/>
      <c r="E351" s="10"/>
      <c r="F351" s="106"/>
      <c r="G351" s="10"/>
      <c r="H351" s="10"/>
      <c r="I351" s="56"/>
      <c r="J351" s="56"/>
      <c r="K351" s="56"/>
      <c r="L351" s="56"/>
      <c r="M351" s="56"/>
      <c r="N351" s="11"/>
      <c r="O351" s="100"/>
      <c r="Q351" s="100"/>
      <c r="T351" s="100"/>
    </row>
    <row r="352" spans="1:20" s="105" customFormat="1" x14ac:dyDescent="0.15">
      <c r="A352" s="11"/>
      <c r="B352" s="10"/>
      <c r="C352" s="106"/>
      <c r="D352" s="10"/>
      <c r="E352" s="10"/>
      <c r="F352" s="106"/>
      <c r="G352" s="10"/>
      <c r="H352" s="10"/>
      <c r="I352" s="56"/>
      <c r="J352" s="56"/>
      <c r="K352" s="56"/>
      <c r="L352" s="56"/>
      <c r="M352" s="56"/>
      <c r="N352" s="11"/>
      <c r="O352" s="100"/>
      <c r="Q352" s="100"/>
      <c r="T352" s="100"/>
    </row>
    <row r="353" spans="1:20" s="105" customFormat="1" x14ac:dyDescent="0.15">
      <c r="A353" s="11"/>
      <c r="B353" s="10"/>
      <c r="C353" s="106"/>
      <c r="D353" s="10"/>
      <c r="E353" s="10"/>
      <c r="F353" s="106"/>
      <c r="G353" s="10"/>
      <c r="H353" s="10"/>
      <c r="I353" s="56"/>
      <c r="J353" s="56"/>
      <c r="K353" s="56"/>
      <c r="L353" s="56"/>
      <c r="M353" s="56"/>
      <c r="N353" s="11"/>
      <c r="O353" s="100"/>
      <c r="Q353" s="100"/>
      <c r="T353" s="100"/>
    </row>
    <row r="354" spans="1:20" s="105" customFormat="1" x14ac:dyDescent="0.15">
      <c r="A354" s="11"/>
      <c r="B354" s="10"/>
      <c r="C354" s="106"/>
      <c r="D354" s="10"/>
      <c r="E354" s="10"/>
      <c r="F354" s="106"/>
      <c r="G354" s="10"/>
      <c r="H354" s="10"/>
      <c r="I354" s="56"/>
      <c r="J354" s="56"/>
      <c r="K354" s="56"/>
      <c r="L354" s="56"/>
      <c r="M354" s="56"/>
      <c r="N354" s="11"/>
      <c r="O354" s="100"/>
      <c r="Q354" s="100"/>
      <c r="T354" s="100"/>
    </row>
    <row r="355" spans="1:20" s="105" customFormat="1" x14ac:dyDescent="0.15">
      <c r="A355" s="11"/>
      <c r="B355" s="10"/>
      <c r="C355" s="106"/>
      <c r="D355" s="10"/>
      <c r="E355" s="10"/>
      <c r="F355" s="106"/>
      <c r="G355" s="10"/>
      <c r="H355" s="10"/>
      <c r="I355" s="56"/>
      <c r="J355" s="56"/>
      <c r="K355" s="56"/>
      <c r="L355" s="56"/>
      <c r="M355" s="56"/>
      <c r="N355" s="11"/>
      <c r="O355" s="100"/>
      <c r="Q355" s="100"/>
      <c r="T355" s="100"/>
    </row>
    <row r="356" spans="1:20" s="105" customFormat="1" x14ac:dyDescent="0.15">
      <c r="A356" s="11"/>
      <c r="B356" s="10"/>
      <c r="C356" s="106"/>
      <c r="D356" s="10"/>
      <c r="E356" s="10"/>
      <c r="F356" s="106"/>
      <c r="G356" s="10"/>
      <c r="H356" s="10"/>
      <c r="I356" s="56"/>
      <c r="J356" s="56"/>
      <c r="K356" s="56"/>
      <c r="L356" s="56"/>
      <c r="M356" s="56"/>
      <c r="N356" s="11"/>
      <c r="O356" s="100"/>
      <c r="Q356" s="100"/>
      <c r="T356" s="100"/>
    </row>
    <row r="357" spans="1:20" s="105" customFormat="1" x14ac:dyDescent="0.15">
      <c r="A357" s="11"/>
      <c r="B357" s="10"/>
      <c r="C357" s="106"/>
      <c r="D357" s="10"/>
      <c r="E357" s="10"/>
      <c r="F357" s="106"/>
      <c r="G357" s="10"/>
      <c r="H357" s="10"/>
      <c r="I357" s="56"/>
      <c r="J357" s="56"/>
      <c r="K357" s="56"/>
      <c r="L357" s="56"/>
      <c r="M357" s="56"/>
      <c r="N357" s="11"/>
      <c r="O357" s="100"/>
      <c r="Q357" s="100"/>
      <c r="T357" s="100"/>
    </row>
    <row r="358" spans="1:20" s="105" customFormat="1" x14ac:dyDescent="0.15">
      <c r="A358" s="11"/>
      <c r="B358" s="10"/>
      <c r="C358" s="106"/>
      <c r="D358" s="10"/>
      <c r="E358" s="10"/>
      <c r="F358" s="106"/>
      <c r="G358" s="10"/>
      <c r="H358" s="10"/>
      <c r="I358" s="56"/>
      <c r="J358" s="56"/>
      <c r="K358" s="56"/>
      <c r="L358" s="56"/>
      <c r="M358" s="56"/>
      <c r="N358" s="11"/>
      <c r="O358" s="100"/>
      <c r="Q358" s="100"/>
      <c r="T358" s="100"/>
    </row>
    <row r="359" spans="1:20" s="105" customFormat="1" x14ac:dyDescent="0.15">
      <c r="A359" s="11"/>
      <c r="B359" s="10"/>
      <c r="C359" s="106"/>
      <c r="D359" s="10"/>
      <c r="E359" s="10"/>
      <c r="F359" s="106"/>
      <c r="G359" s="10"/>
      <c r="H359" s="10"/>
      <c r="I359" s="56"/>
      <c r="J359" s="56"/>
      <c r="K359" s="56"/>
      <c r="L359" s="56"/>
      <c r="M359" s="56"/>
      <c r="N359" s="11"/>
      <c r="O359" s="100"/>
      <c r="Q359" s="100"/>
      <c r="T359" s="100"/>
    </row>
    <row r="360" spans="1:20" s="105" customFormat="1" x14ac:dyDescent="0.15">
      <c r="A360" s="11"/>
      <c r="B360" s="10"/>
      <c r="C360" s="106"/>
      <c r="D360" s="10"/>
      <c r="E360" s="10"/>
      <c r="F360" s="106"/>
      <c r="G360" s="10"/>
      <c r="H360" s="10"/>
      <c r="I360" s="56"/>
      <c r="J360" s="56"/>
      <c r="K360" s="56"/>
      <c r="L360" s="56"/>
      <c r="M360" s="56"/>
      <c r="N360" s="11"/>
      <c r="O360" s="100"/>
      <c r="Q360" s="100"/>
      <c r="T360" s="100"/>
    </row>
    <row r="361" spans="1:20" s="105" customFormat="1" x14ac:dyDescent="0.15">
      <c r="A361" s="11"/>
      <c r="B361" s="10"/>
      <c r="C361" s="106"/>
      <c r="D361" s="10"/>
      <c r="E361" s="10"/>
      <c r="F361" s="106"/>
      <c r="G361" s="10"/>
      <c r="H361" s="10"/>
      <c r="I361" s="56"/>
      <c r="J361" s="56"/>
      <c r="K361" s="56"/>
      <c r="L361" s="56"/>
      <c r="M361" s="56"/>
      <c r="N361" s="11"/>
      <c r="O361" s="100"/>
      <c r="Q361" s="100"/>
      <c r="T361" s="100"/>
    </row>
    <row r="362" spans="1:20" s="105" customFormat="1" x14ac:dyDescent="0.15">
      <c r="A362" s="11"/>
      <c r="B362" s="10"/>
      <c r="C362" s="106"/>
      <c r="D362" s="10"/>
      <c r="E362" s="10"/>
      <c r="F362" s="106"/>
      <c r="G362" s="10"/>
      <c r="H362" s="10"/>
      <c r="I362" s="56"/>
      <c r="J362" s="56"/>
      <c r="K362" s="56"/>
      <c r="L362" s="56"/>
      <c r="M362" s="56"/>
      <c r="N362" s="11"/>
      <c r="O362" s="100"/>
      <c r="Q362" s="100"/>
      <c r="T362" s="100"/>
    </row>
    <row r="363" spans="1:20" s="105" customFormat="1" x14ac:dyDescent="0.15">
      <c r="A363" s="11"/>
      <c r="B363" s="10"/>
      <c r="C363" s="106"/>
      <c r="D363" s="10"/>
      <c r="E363" s="10"/>
      <c r="F363" s="106"/>
      <c r="G363" s="10"/>
      <c r="H363" s="10"/>
      <c r="I363" s="56"/>
      <c r="J363" s="56"/>
      <c r="K363" s="56"/>
      <c r="L363" s="56"/>
      <c r="M363" s="56"/>
      <c r="N363" s="11"/>
      <c r="O363" s="100"/>
      <c r="Q363" s="100"/>
      <c r="T363" s="100"/>
    </row>
    <row r="364" spans="1:20" s="105" customFormat="1" x14ac:dyDescent="0.15">
      <c r="A364" s="11"/>
      <c r="B364" s="10"/>
      <c r="C364" s="106"/>
      <c r="D364" s="10"/>
      <c r="E364" s="10"/>
      <c r="F364" s="106"/>
      <c r="G364" s="10"/>
      <c r="H364" s="10"/>
      <c r="I364" s="56"/>
      <c r="J364" s="56"/>
      <c r="K364" s="56"/>
      <c r="L364" s="56"/>
      <c r="M364" s="56"/>
      <c r="N364" s="11"/>
      <c r="O364" s="100"/>
      <c r="Q364" s="100"/>
      <c r="T364" s="100"/>
    </row>
    <row r="365" spans="1:20" s="105" customFormat="1" x14ac:dyDescent="0.15">
      <c r="A365" s="11"/>
      <c r="B365" s="10"/>
      <c r="C365" s="106"/>
      <c r="D365" s="10"/>
      <c r="E365" s="10"/>
      <c r="F365" s="106"/>
      <c r="G365" s="10"/>
      <c r="H365" s="10"/>
      <c r="I365" s="56"/>
      <c r="J365" s="56"/>
      <c r="K365" s="56"/>
      <c r="L365" s="56"/>
      <c r="M365" s="56"/>
      <c r="N365" s="11"/>
      <c r="O365" s="100"/>
      <c r="Q365" s="100"/>
      <c r="T365" s="100"/>
    </row>
    <row r="366" spans="1:20" s="105" customFormat="1" x14ac:dyDescent="0.15">
      <c r="A366" s="11"/>
      <c r="B366" s="10"/>
      <c r="C366" s="106"/>
      <c r="D366" s="10"/>
      <c r="E366" s="10"/>
      <c r="F366" s="106"/>
      <c r="G366" s="10"/>
      <c r="H366" s="10"/>
      <c r="I366" s="56"/>
      <c r="J366" s="56"/>
      <c r="K366" s="56"/>
      <c r="L366" s="56"/>
      <c r="M366" s="56"/>
      <c r="N366" s="11"/>
      <c r="O366" s="100"/>
      <c r="Q366" s="100"/>
      <c r="T366" s="100"/>
    </row>
    <row r="367" spans="1:20" s="105" customFormat="1" x14ac:dyDescent="0.15">
      <c r="A367" s="11"/>
      <c r="B367" s="10"/>
      <c r="C367" s="106"/>
      <c r="D367" s="10"/>
      <c r="E367" s="10"/>
      <c r="F367" s="106"/>
      <c r="G367" s="10"/>
      <c r="H367" s="10"/>
      <c r="I367" s="56"/>
      <c r="J367" s="56"/>
      <c r="K367" s="56"/>
      <c r="L367" s="56"/>
      <c r="M367" s="56"/>
      <c r="N367" s="11"/>
      <c r="O367" s="100"/>
      <c r="Q367" s="100"/>
      <c r="T367" s="100"/>
    </row>
    <row r="368" spans="1:20" s="105" customFormat="1" x14ac:dyDescent="0.15">
      <c r="A368" s="11"/>
      <c r="B368" s="10"/>
      <c r="C368" s="106"/>
      <c r="D368" s="10"/>
      <c r="E368" s="10"/>
      <c r="F368" s="106"/>
      <c r="G368" s="10"/>
      <c r="H368" s="10"/>
      <c r="I368" s="56"/>
      <c r="J368" s="56"/>
      <c r="K368" s="56"/>
      <c r="L368" s="56"/>
      <c r="M368" s="56"/>
      <c r="N368" s="11"/>
      <c r="O368" s="100"/>
      <c r="Q368" s="100"/>
      <c r="T368" s="100"/>
    </row>
    <row r="369" spans="1:20" s="105" customFormat="1" x14ac:dyDescent="0.15">
      <c r="A369" s="11"/>
      <c r="B369" s="10"/>
      <c r="C369" s="106"/>
      <c r="D369" s="10"/>
      <c r="E369" s="10"/>
      <c r="F369" s="106"/>
      <c r="G369" s="10"/>
      <c r="H369" s="10"/>
      <c r="I369" s="56"/>
      <c r="J369" s="56"/>
      <c r="K369" s="56"/>
      <c r="L369" s="56"/>
      <c r="M369" s="56"/>
      <c r="N369" s="11"/>
      <c r="O369" s="100"/>
      <c r="Q369" s="100"/>
      <c r="T369" s="100"/>
    </row>
    <row r="370" spans="1:20" s="105" customFormat="1" x14ac:dyDescent="0.15">
      <c r="A370" s="11"/>
      <c r="B370" s="10"/>
      <c r="C370" s="106"/>
      <c r="D370" s="10"/>
      <c r="E370" s="10"/>
      <c r="F370" s="106"/>
      <c r="G370" s="10"/>
      <c r="H370" s="10"/>
      <c r="I370" s="56"/>
      <c r="J370" s="56"/>
      <c r="K370" s="56"/>
      <c r="L370" s="56"/>
      <c r="M370" s="56"/>
      <c r="N370" s="11"/>
      <c r="O370" s="100"/>
      <c r="Q370" s="100"/>
      <c r="T370" s="100"/>
    </row>
    <row r="371" spans="1:20" s="105" customFormat="1" x14ac:dyDescent="0.15">
      <c r="A371" s="11"/>
      <c r="B371" s="10"/>
      <c r="C371" s="106"/>
      <c r="D371" s="10"/>
      <c r="E371" s="10"/>
      <c r="F371" s="106"/>
      <c r="G371" s="10"/>
      <c r="H371" s="10"/>
      <c r="I371" s="56"/>
      <c r="J371" s="56"/>
      <c r="K371" s="56"/>
      <c r="L371" s="56"/>
      <c r="M371" s="56"/>
      <c r="N371" s="11"/>
      <c r="O371" s="100"/>
      <c r="Q371" s="100"/>
      <c r="T371" s="100"/>
    </row>
    <row r="372" spans="1:20" s="105" customFormat="1" x14ac:dyDescent="0.15">
      <c r="A372" s="11"/>
      <c r="B372" s="10"/>
      <c r="C372" s="106"/>
      <c r="D372" s="10"/>
      <c r="E372" s="10"/>
      <c r="F372" s="106"/>
      <c r="G372" s="10"/>
      <c r="H372" s="10"/>
      <c r="I372" s="56"/>
      <c r="J372" s="56"/>
      <c r="K372" s="56"/>
      <c r="L372" s="56"/>
      <c r="M372" s="56"/>
      <c r="N372" s="11"/>
      <c r="O372" s="100"/>
      <c r="Q372" s="100"/>
      <c r="T372" s="100"/>
    </row>
    <row r="373" spans="1:20" s="105" customFormat="1" x14ac:dyDescent="0.15">
      <c r="A373" s="11"/>
      <c r="B373" s="10"/>
      <c r="C373" s="106"/>
      <c r="D373" s="10"/>
      <c r="E373" s="10"/>
      <c r="F373" s="106"/>
      <c r="G373" s="10"/>
      <c r="H373" s="10"/>
      <c r="I373" s="56"/>
      <c r="J373" s="56"/>
      <c r="K373" s="56"/>
      <c r="L373" s="56"/>
      <c r="M373" s="56"/>
      <c r="N373" s="11"/>
      <c r="O373" s="100"/>
      <c r="Q373" s="100"/>
      <c r="T373" s="100"/>
    </row>
    <row r="374" spans="1:20" s="105" customFormat="1" x14ac:dyDescent="0.15">
      <c r="A374" s="11"/>
      <c r="B374" s="10"/>
      <c r="C374" s="106"/>
      <c r="D374" s="10"/>
      <c r="E374" s="10"/>
      <c r="F374" s="106"/>
      <c r="G374" s="10"/>
      <c r="H374" s="10"/>
      <c r="I374" s="56"/>
      <c r="J374" s="56"/>
      <c r="K374" s="56"/>
      <c r="L374" s="56"/>
      <c r="M374" s="56"/>
      <c r="N374" s="11"/>
      <c r="O374" s="100"/>
      <c r="Q374" s="100"/>
      <c r="T374" s="100"/>
    </row>
    <row r="375" spans="1:20" s="105" customFormat="1" x14ac:dyDescent="0.15">
      <c r="A375" s="11"/>
      <c r="B375" s="10"/>
      <c r="C375" s="106"/>
      <c r="D375" s="10"/>
      <c r="E375" s="10"/>
      <c r="F375" s="106"/>
      <c r="G375" s="10"/>
      <c r="H375" s="10"/>
      <c r="I375" s="56"/>
      <c r="J375" s="56"/>
      <c r="K375" s="56"/>
      <c r="L375" s="56"/>
      <c r="M375" s="56"/>
      <c r="N375" s="11"/>
      <c r="O375" s="100"/>
      <c r="Q375" s="100"/>
      <c r="T375" s="100"/>
    </row>
    <row r="376" spans="1:20" s="105" customFormat="1" x14ac:dyDescent="0.15">
      <c r="A376" s="11"/>
      <c r="B376" s="10"/>
      <c r="C376" s="106"/>
      <c r="D376" s="10"/>
      <c r="E376" s="10"/>
      <c r="F376" s="106"/>
      <c r="G376" s="10"/>
      <c r="H376" s="10"/>
      <c r="I376" s="56"/>
      <c r="J376" s="56"/>
      <c r="K376" s="56"/>
      <c r="L376" s="56"/>
      <c r="M376" s="56"/>
      <c r="N376" s="11"/>
      <c r="O376" s="100"/>
      <c r="Q376" s="100"/>
      <c r="T376" s="100"/>
    </row>
    <row r="377" spans="1:20" s="105" customFormat="1" x14ac:dyDescent="0.15">
      <c r="A377" s="11"/>
      <c r="B377" s="10"/>
      <c r="C377" s="106"/>
      <c r="D377" s="10"/>
      <c r="E377" s="10"/>
      <c r="F377" s="106"/>
      <c r="G377" s="10"/>
      <c r="H377" s="10"/>
      <c r="I377" s="56"/>
      <c r="J377" s="56"/>
      <c r="K377" s="56"/>
      <c r="L377" s="56"/>
      <c r="M377" s="56"/>
      <c r="N377" s="11"/>
      <c r="O377" s="100"/>
      <c r="Q377" s="100"/>
      <c r="T377" s="100"/>
    </row>
    <row r="378" spans="1:20" s="105" customFormat="1" x14ac:dyDescent="0.15">
      <c r="A378" s="11"/>
      <c r="B378" s="10"/>
      <c r="C378" s="106"/>
      <c r="D378" s="10"/>
      <c r="E378" s="10"/>
      <c r="F378" s="106"/>
      <c r="G378" s="10"/>
      <c r="H378" s="10"/>
      <c r="I378" s="56"/>
      <c r="J378" s="56"/>
      <c r="K378" s="56"/>
      <c r="L378" s="56"/>
      <c r="M378" s="56"/>
      <c r="N378" s="11"/>
      <c r="O378" s="100"/>
      <c r="Q378" s="100"/>
      <c r="T378" s="100"/>
    </row>
    <row r="379" spans="1:20" s="105" customFormat="1" x14ac:dyDescent="0.15">
      <c r="A379" s="11"/>
      <c r="B379" s="10"/>
      <c r="C379" s="106"/>
      <c r="D379" s="10"/>
      <c r="E379" s="10"/>
      <c r="F379" s="106"/>
      <c r="G379" s="10"/>
      <c r="H379" s="10"/>
      <c r="I379" s="56"/>
      <c r="J379" s="56"/>
      <c r="K379" s="56"/>
      <c r="L379" s="56"/>
      <c r="M379" s="56"/>
      <c r="N379" s="11"/>
      <c r="O379" s="100"/>
      <c r="Q379" s="100"/>
      <c r="T379" s="100"/>
    </row>
    <row r="380" spans="1:20" s="105" customFormat="1" x14ac:dyDescent="0.15">
      <c r="A380" s="11"/>
      <c r="B380" s="10"/>
      <c r="C380" s="106"/>
      <c r="D380" s="10"/>
      <c r="E380" s="10"/>
      <c r="F380" s="106"/>
      <c r="G380" s="10"/>
      <c r="H380" s="10"/>
      <c r="I380" s="56"/>
      <c r="J380" s="56"/>
      <c r="K380" s="56"/>
      <c r="L380" s="56"/>
      <c r="M380" s="56"/>
      <c r="N380" s="11"/>
      <c r="O380" s="100"/>
      <c r="Q380" s="100"/>
      <c r="T380" s="100"/>
    </row>
    <row r="381" spans="1:20" s="105" customFormat="1" x14ac:dyDescent="0.15">
      <c r="A381" s="11"/>
      <c r="B381" s="10"/>
      <c r="C381" s="106"/>
      <c r="D381" s="10"/>
      <c r="E381" s="10"/>
      <c r="F381" s="106"/>
      <c r="G381" s="10"/>
      <c r="H381" s="10"/>
      <c r="I381" s="56"/>
      <c r="J381" s="56"/>
      <c r="K381" s="56"/>
      <c r="L381" s="56"/>
      <c r="M381" s="56"/>
      <c r="N381" s="11"/>
      <c r="O381" s="100"/>
      <c r="Q381" s="100"/>
      <c r="T381" s="100"/>
    </row>
    <row r="382" spans="1:20" s="105" customFormat="1" x14ac:dyDescent="0.15">
      <c r="A382" s="11"/>
      <c r="B382" s="10"/>
      <c r="C382" s="106"/>
      <c r="D382" s="10"/>
      <c r="E382" s="10"/>
      <c r="F382" s="106"/>
      <c r="G382" s="10"/>
      <c r="H382" s="10"/>
      <c r="I382" s="56"/>
      <c r="J382" s="56"/>
      <c r="K382" s="56"/>
      <c r="L382" s="56"/>
      <c r="M382" s="56"/>
      <c r="N382" s="11"/>
      <c r="O382" s="100"/>
      <c r="Q382" s="100"/>
      <c r="T382" s="100"/>
    </row>
    <row r="383" spans="1:20" s="105" customFormat="1" x14ac:dyDescent="0.15">
      <c r="A383" s="11"/>
      <c r="B383" s="10"/>
      <c r="C383" s="106"/>
      <c r="D383" s="10"/>
      <c r="E383" s="10"/>
      <c r="F383" s="106"/>
      <c r="G383" s="10"/>
      <c r="H383" s="10"/>
      <c r="I383" s="56"/>
      <c r="J383" s="56"/>
      <c r="K383" s="56"/>
      <c r="L383" s="56"/>
      <c r="M383" s="56"/>
      <c r="N383" s="11"/>
      <c r="O383" s="100"/>
      <c r="Q383" s="100"/>
      <c r="T383" s="100"/>
    </row>
    <row r="384" spans="1:20" s="105" customFormat="1" x14ac:dyDescent="0.15">
      <c r="A384" s="11"/>
      <c r="B384" s="10"/>
      <c r="C384" s="106"/>
      <c r="D384" s="10"/>
      <c r="E384" s="10"/>
      <c r="F384" s="106"/>
      <c r="G384" s="10"/>
      <c r="H384" s="10"/>
      <c r="I384" s="56"/>
      <c r="J384" s="56"/>
      <c r="K384" s="56"/>
      <c r="L384" s="56"/>
      <c r="M384" s="56"/>
      <c r="N384" s="11"/>
      <c r="O384" s="100"/>
      <c r="Q384" s="100"/>
      <c r="T384" s="100"/>
    </row>
    <row r="385" spans="1:20" s="105" customFormat="1" x14ac:dyDescent="0.15">
      <c r="A385" s="11"/>
      <c r="B385" s="10"/>
      <c r="C385" s="106"/>
      <c r="D385" s="10"/>
      <c r="E385" s="10"/>
      <c r="F385" s="106"/>
      <c r="G385" s="10"/>
      <c r="H385" s="10"/>
      <c r="I385" s="56"/>
      <c r="J385" s="56"/>
      <c r="K385" s="56"/>
      <c r="L385" s="56"/>
      <c r="M385" s="56"/>
      <c r="N385" s="11"/>
      <c r="O385" s="100"/>
      <c r="Q385" s="100"/>
      <c r="T385" s="100"/>
    </row>
    <row r="386" spans="1:20" s="105" customFormat="1" x14ac:dyDescent="0.15">
      <c r="A386" s="11"/>
      <c r="B386" s="10"/>
      <c r="C386" s="106"/>
      <c r="D386" s="10"/>
      <c r="E386" s="10"/>
      <c r="F386" s="106"/>
      <c r="G386" s="10"/>
      <c r="H386" s="10"/>
      <c r="I386" s="56"/>
      <c r="J386" s="56"/>
      <c r="K386" s="56"/>
      <c r="L386" s="56"/>
      <c r="M386" s="56"/>
      <c r="N386" s="11"/>
      <c r="O386" s="100"/>
      <c r="Q386" s="100"/>
      <c r="T386" s="100"/>
    </row>
    <row r="387" spans="1:20" s="105" customFormat="1" x14ac:dyDescent="0.15">
      <c r="A387" s="11"/>
      <c r="B387" s="10"/>
      <c r="C387" s="106"/>
      <c r="D387" s="10"/>
      <c r="E387" s="10"/>
      <c r="F387" s="106"/>
      <c r="G387" s="10"/>
      <c r="H387" s="10"/>
      <c r="I387" s="56"/>
      <c r="J387" s="56"/>
      <c r="K387" s="56"/>
      <c r="L387" s="56"/>
      <c r="M387" s="56"/>
      <c r="N387" s="11"/>
      <c r="O387" s="100"/>
      <c r="Q387" s="100"/>
      <c r="T387" s="100"/>
    </row>
    <row r="388" spans="1:20" s="105" customFormat="1" x14ac:dyDescent="0.15">
      <c r="A388" s="11"/>
      <c r="B388" s="10"/>
      <c r="C388" s="106"/>
      <c r="D388" s="10"/>
      <c r="E388" s="10"/>
      <c r="F388" s="106"/>
      <c r="G388" s="10"/>
      <c r="H388" s="10"/>
      <c r="I388" s="56"/>
      <c r="J388" s="56"/>
      <c r="K388" s="56"/>
      <c r="L388" s="56"/>
      <c r="M388" s="56"/>
      <c r="N388" s="11"/>
      <c r="O388" s="100"/>
      <c r="Q388" s="100"/>
      <c r="T388" s="100"/>
    </row>
    <row r="389" spans="1:20" s="105" customFormat="1" x14ac:dyDescent="0.15">
      <c r="A389" s="11"/>
      <c r="B389" s="10"/>
      <c r="C389" s="106"/>
      <c r="D389" s="10"/>
      <c r="E389" s="10"/>
      <c r="F389" s="106"/>
      <c r="G389" s="10"/>
      <c r="H389" s="10"/>
      <c r="I389" s="56"/>
      <c r="J389" s="56"/>
      <c r="K389" s="56"/>
      <c r="L389" s="56"/>
      <c r="M389" s="56"/>
      <c r="N389" s="11"/>
      <c r="O389" s="100"/>
      <c r="Q389" s="100"/>
      <c r="T389" s="100"/>
    </row>
    <row r="390" spans="1:20" s="105" customFormat="1" x14ac:dyDescent="0.15">
      <c r="A390" s="11"/>
      <c r="B390" s="10"/>
      <c r="C390" s="106"/>
      <c r="D390" s="10"/>
      <c r="E390" s="10"/>
      <c r="F390" s="106"/>
      <c r="G390" s="10"/>
      <c r="H390" s="10"/>
      <c r="I390" s="56"/>
      <c r="J390" s="56"/>
      <c r="K390" s="56"/>
      <c r="L390" s="56"/>
      <c r="M390" s="56"/>
      <c r="N390" s="11"/>
      <c r="O390" s="100"/>
      <c r="Q390" s="100"/>
      <c r="T390" s="100"/>
    </row>
    <row r="391" spans="1:20" s="105" customFormat="1" x14ac:dyDescent="0.15">
      <c r="A391" s="11"/>
      <c r="B391" s="10"/>
      <c r="C391" s="106"/>
      <c r="D391" s="10"/>
      <c r="E391" s="10"/>
      <c r="F391" s="106"/>
      <c r="G391" s="10"/>
      <c r="H391" s="10"/>
      <c r="I391" s="56"/>
      <c r="J391" s="56"/>
      <c r="K391" s="56"/>
      <c r="L391" s="56"/>
      <c r="M391" s="56"/>
      <c r="N391" s="11"/>
      <c r="O391" s="100"/>
      <c r="Q391" s="100"/>
      <c r="T391" s="100"/>
    </row>
    <row r="392" spans="1:20" s="105" customFormat="1" x14ac:dyDescent="0.15">
      <c r="A392" s="11"/>
      <c r="B392" s="10"/>
      <c r="C392" s="106"/>
      <c r="D392" s="10"/>
      <c r="E392" s="10"/>
      <c r="F392" s="106"/>
      <c r="G392" s="10"/>
      <c r="H392" s="10"/>
      <c r="I392" s="56"/>
      <c r="J392" s="56"/>
      <c r="K392" s="56"/>
      <c r="L392" s="56"/>
      <c r="M392" s="56"/>
      <c r="N392" s="11"/>
      <c r="O392" s="100"/>
      <c r="Q392" s="100"/>
      <c r="T392" s="100"/>
    </row>
    <row r="393" spans="1:20" s="105" customFormat="1" x14ac:dyDescent="0.15">
      <c r="A393" s="11"/>
      <c r="B393" s="10"/>
      <c r="C393" s="106"/>
      <c r="D393" s="10"/>
      <c r="E393" s="10"/>
      <c r="F393" s="106"/>
      <c r="G393" s="10"/>
      <c r="H393" s="10"/>
      <c r="I393" s="56"/>
      <c r="J393" s="56"/>
      <c r="K393" s="56"/>
      <c r="L393" s="56"/>
      <c r="M393" s="56"/>
      <c r="N393" s="11"/>
      <c r="O393" s="100"/>
      <c r="Q393" s="100"/>
      <c r="T393" s="100"/>
    </row>
    <row r="394" spans="1:20" s="105" customFormat="1" x14ac:dyDescent="0.15">
      <c r="A394" s="11"/>
      <c r="B394" s="10"/>
      <c r="C394" s="106"/>
      <c r="D394" s="10"/>
      <c r="E394" s="10"/>
      <c r="F394" s="106"/>
      <c r="G394" s="10"/>
      <c r="H394" s="10"/>
      <c r="I394" s="56"/>
      <c r="J394" s="56"/>
      <c r="K394" s="56"/>
      <c r="L394" s="56"/>
      <c r="M394" s="56"/>
      <c r="N394" s="11"/>
      <c r="O394" s="100"/>
      <c r="Q394" s="100"/>
      <c r="T394" s="100"/>
    </row>
    <row r="395" spans="1:20" s="105" customFormat="1" x14ac:dyDescent="0.15">
      <c r="A395" s="11"/>
      <c r="B395" s="10"/>
      <c r="C395" s="106"/>
      <c r="D395" s="10"/>
      <c r="E395" s="10"/>
      <c r="F395" s="106"/>
      <c r="G395" s="10"/>
      <c r="H395" s="10"/>
      <c r="I395" s="56"/>
      <c r="J395" s="56"/>
      <c r="K395" s="56"/>
      <c r="L395" s="56"/>
      <c r="M395" s="56"/>
      <c r="N395" s="11"/>
      <c r="O395" s="100"/>
      <c r="Q395" s="100"/>
      <c r="T395" s="100"/>
    </row>
    <row r="396" spans="1:20" s="105" customFormat="1" x14ac:dyDescent="0.15">
      <c r="A396" s="11"/>
      <c r="B396" s="10"/>
      <c r="C396" s="106"/>
      <c r="D396" s="10"/>
      <c r="E396" s="10"/>
      <c r="F396" s="106"/>
      <c r="G396" s="10"/>
      <c r="H396" s="10"/>
      <c r="I396" s="56"/>
      <c r="J396" s="56"/>
      <c r="K396" s="56"/>
      <c r="L396" s="56"/>
      <c r="M396" s="56"/>
      <c r="N396" s="11"/>
      <c r="O396" s="100"/>
      <c r="Q396" s="100"/>
      <c r="T396" s="100"/>
    </row>
    <row r="397" spans="1:20" s="105" customFormat="1" x14ac:dyDescent="0.15">
      <c r="A397" s="11"/>
      <c r="B397" s="10"/>
      <c r="C397" s="106"/>
      <c r="D397" s="10"/>
      <c r="E397" s="10"/>
      <c r="F397" s="106"/>
      <c r="G397" s="10"/>
      <c r="H397" s="10"/>
      <c r="I397" s="56"/>
      <c r="J397" s="56"/>
      <c r="K397" s="56"/>
      <c r="L397" s="56"/>
      <c r="M397" s="56"/>
      <c r="N397" s="11"/>
      <c r="O397" s="100"/>
      <c r="Q397" s="100"/>
      <c r="T397" s="100"/>
    </row>
    <row r="398" spans="1:20" s="105" customFormat="1" x14ac:dyDescent="0.15">
      <c r="A398" s="11"/>
      <c r="B398" s="10"/>
      <c r="C398" s="106"/>
      <c r="D398" s="10"/>
      <c r="E398" s="10"/>
      <c r="F398" s="106"/>
      <c r="G398" s="10"/>
      <c r="H398" s="10"/>
      <c r="I398" s="56"/>
      <c r="J398" s="56"/>
      <c r="K398" s="56"/>
      <c r="L398" s="56"/>
      <c r="M398" s="56"/>
      <c r="N398" s="11"/>
      <c r="O398" s="100"/>
      <c r="Q398" s="100"/>
      <c r="T398" s="100"/>
    </row>
    <row r="399" spans="1:20" s="105" customFormat="1" x14ac:dyDescent="0.15">
      <c r="A399" s="11"/>
      <c r="B399" s="10"/>
      <c r="C399" s="106"/>
      <c r="D399" s="10"/>
      <c r="E399" s="10"/>
      <c r="F399" s="106"/>
      <c r="G399" s="10"/>
      <c r="H399" s="10"/>
      <c r="I399" s="56"/>
      <c r="J399" s="56"/>
      <c r="K399" s="56"/>
      <c r="L399" s="56"/>
      <c r="M399" s="56"/>
      <c r="N399" s="11"/>
      <c r="O399" s="100"/>
      <c r="Q399" s="100"/>
      <c r="T399" s="100"/>
    </row>
    <row r="400" spans="1:20" s="105" customFormat="1" x14ac:dyDescent="0.15">
      <c r="A400" s="11"/>
      <c r="B400" s="10"/>
      <c r="C400" s="106"/>
      <c r="D400" s="10"/>
      <c r="E400" s="10"/>
      <c r="F400" s="106"/>
      <c r="G400" s="10"/>
      <c r="H400" s="10"/>
      <c r="I400" s="56"/>
      <c r="J400" s="56"/>
      <c r="K400" s="56"/>
      <c r="L400" s="56"/>
      <c r="M400" s="56"/>
      <c r="N400" s="11"/>
      <c r="O400" s="100"/>
      <c r="Q400" s="100"/>
      <c r="T400" s="100"/>
    </row>
    <row r="401" spans="1:20" s="105" customFormat="1" x14ac:dyDescent="0.15">
      <c r="A401" s="11"/>
      <c r="B401" s="10"/>
      <c r="C401" s="106"/>
      <c r="D401" s="10"/>
      <c r="E401" s="10"/>
      <c r="F401" s="106"/>
      <c r="G401" s="10"/>
      <c r="H401" s="10"/>
      <c r="I401" s="56"/>
      <c r="J401" s="56"/>
      <c r="K401" s="56"/>
      <c r="L401" s="56"/>
      <c r="M401" s="56"/>
      <c r="N401" s="11"/>
      <c r="O401" s="100"/>
      <c r="Q401" s="100"/>
      <c r="T401" s="100"/>
    </row>
    <row r="402" spans="1:20" s="105" customFormat="1" x14ac:dyDescent="0.15">
      <c r="A402" s="11"/>
      <c r="B402" s="10"/>
      <c r="C402" s="106"/>
      <c r="D402" s="10"/>
      <c r="E402" s="10"/>
      <c r="F402" s="106"/>
      <c r="G402" s="10"/>
      <c r="H402" s="10"/>
      <c r="I402" s="56"/>
      <c r="J402" s="56"/>
      <c r="K402" s="56"/>
      <c r="L402" s="56"/>
      <c r="M402" s="56"/>
      <c r="N402" s="11"/>
      <c r="O402" s="100"/>
      <c r="Q402" s="100"/>
      <c r="T402" s="100"/>
    </row>
    <row r="403" spans="1:20" s="105" customFormat="1" x14ac:dyDescent="0.15">
      <c r="A403" s="11"/>
      <c r="B403" s="10"/>
      <c r="C403" s="106"/>
      <c r="D403" s="10"/>
      <c r="E403" s="10"/>
      <c r="F403" s="106"/>
      <c r="G403" s="10"/>
      <c r="H403" s="10"/>
      <c r="I403" s="56"/>
      <c r="J403" s="56"/>
      <c r="K403" s="56"/>
      <c r="L403" s="56"/>
      <c r="M403" s="56"/>
      <c r="N403" s="11"/>
      <c r="O403" s="100"/>
      <c r="Q403" s="100"/>
      <c r="T403" s="100"/>
    </row>
    <row r="404" spans="1:20" s="105" customFormat="1" x14ac:dyDescent="0.15">
      <c r="A404" s="11"/>
      <c r="B404" s="10"/>
      <c r="C404" s="106"/>
      <c r="D404" s="10"/>
      <c r="E404" s="10"/>
      <c r="F404" s="106"/>
      <c r="G404" s="10"/>
      <c r="H404" s="10"/>
      <c r="I404" s="56"/>
      <c r="J404" s="56"/>
      <c r="K404" s="56"/>
      <c r="L404" s="56"/>
      <c r="M404" s="56"/>
      <c r="N404" s="11"/>
      <c r="O404" s="100"/>
      <c r="Q404" s="100"/>
      <c r="T404" s="100"/>
    </row>
    <row r="405" spans="1:20" s="105" customFormat="1" x14ac:dyDescent="0.15">
      <c r="A405" s="11"/>
      <c r="B405" s="10"/>
      <c r="C405" s="106"/>
      <c r="D405" s="10"/>
      <c r="E405" s="10"/>
      <c r="F405" s="106"/>
      <c r="G405" s="10"/>
      <c r="H405" s="10"/>
      <c r="I405" s="56"/>
      <c r="J405" s="56"/>
      <c r="K405" s="56"/>
      <c r="L405" s="56"/>
      <c r="M405" s="56"/>
      <c r="N405" s="11"/>
      <c r="O405" s="100"/>
      <c r="Q405" s="100"/>
      <c r="T405" s="100"/>
    </row>
    <row r="406" spans="1:20" s="105" customFormat="1" x14ac:dyDescent="0.15">
      <c r="A406" s="11"/>
      <c r="B406" s="10"/>
      <c r="C406" s="106"/>
      <c r="D406" s="10"/>
      <c r="E406" s="10"/>
      <c r="F406" s="106"/>
      <c r="G406" s="10"/>
      <c r="H406" s="10"/>
      <c r="I406" s="56"/>
      <c r="J406" s="56"/>
      <c r="K406" s="56"/>
      <c r="L406" s="56"/>
      <c r="M406" s="56"/>
      <c r="N406" s="11"/>
      <c r="O406" s="100"/>
      <c r="Q406" s="100"/>
      <c r="T406" s="100"/>
    </row>
    <row r="407" spans="1:20" s="105" customFormat="1" x14ac:dyDescent="0.15">
      <c r="A407" s="11"/>
      <c r="B407" s="10"/>
      <c r="C407" s="106"/>
      <c r="D407" s="10"/>
      <c r="E407" s="10"/>
      <c r="F407" s="106"/>
      <c r="G407" s="10"/>
      <c r="H407" s="10"/>
      <c r="I407" s="56"/>
      <c r="J407" s="56"/>
      <c r="K407" s="56"/>
      <c r="L407" s="56"/>
      <c r="M407" s="56"/>
      <c r="N407" s="11"/>
      <c r="O407" s="100"/>
      <c r="Q407" s="100"/>
      <c r="T407" s="100"/>
    </row>
    <row r="408" spans="1:20" s="105" customFormat="1" x14ac:dyDescent="0.15">
      <c r="A408" s="11"/>
      <c r="B408" s="10"/>
      <c r="C408" s="106"/>
      <c r="D408" s="10"/>
      <c r="E408" s="10"/>
      <c r="F408" s="106"/>
      <c r="G408" s="10"/>
      <c r="H408" s="10"/>
      <c r="I408" s="56"/>
      <c r="J408" s="56"/>
      <c r="K408" s="56"/>
      <c r="L408" s="56"/>
      <c r="M408" s="56"/>
      <c r="N408" s="11"/>
      <c r="O408" s="100"/>
      <c r="Q408" s="100"/>
      <c r="T408" s="100"/>
    </row>
    <row r="409" spans="1:20" s="105" customFormat="1" x14ac:dyDescent="0.15">
      <c r="A409" s="11"/>
      <c r="B409" s="10"/>
      <c r="C409" s="106"/>
      <c r="D409" s="10"/>
      <c r="E409" s="10"/>
      <c r="F409" s="106"/>
      <c r="G409" s="10"/>
      <c r="H409" s="10"/>
      <c r="I409" s="56"/>
      <c r="J409" s="56"/>
      <c r="K409" s="56"/>
      <c r="L409" s="56"/>
      <c r="M409" s="56"/>
      <c r="N409" s="11"/>
      <c r="O409" s="100"/>
      <c r="Q409" s="100"/>
      <c r="T409" s="100"/>
    </row>
    <row r="410" spans="1:20" s="105" customFormat="1" x14ac:dyDescent="0.15">
      <c r="A410" s="11"/>
      <c r="B410" s="10"/>
      <c r="C410" s="106"/>
      <c r="D410" s="10"/>
      <c r="E410" s="10"/>
      <c r="F410" s="106"/>
      <c r="G410" s="10"/>
      <c r="H410" s="10"/>
      <c r="I410" s="56"/>
      <c r="J410" s="56"/>
      <c r="K410" s="56"/>
      <c r="L410" s="56"/>
      <c r="M410" s="56"/>
      <c r="N410" s="11"/>
      <c r="O410" s="100"/>
      <c r="Q410" s="100"/>
      <c r="T410" s="100"/>
    </row>
    <row r="411" spans="1:20" s="105" customFormat="1" x14ac:dyDescent="0.15">
      <c r="A411" s="11"/>
      <c r="B411" s="10"/>
      <c r="C411" s="106"/>
      <c r="D411" s="10"/>
      <c r="E411" s="10"/>
      <c r="F411" s="106"/>
      <c r="G411" s="10"/>
      <c r="H411" s="10"/>
      <c r="I411" s="56"/>
      <c r="J411" s="56"/>
      <c r="K411" s="56"/>
      <c r="L411" s="56"/>
      <c r="M411" s="56"/>
      <c r="N411" s="11"/>
      <c r="O411" s="100"/>
      <c r="Q411" s="100"/>
      <c r="T411" s="100"/>
    </row>
    <row r="412" spans="1:20" s="105" customFormat="1" x14ac:dyDescent="0.15">
      <c r="A412" s="11"/>
      <c r="B412" s="10"/>
      <c r="C412" s="106"/>
      <c r="D412" s="10"/>
      <c r="E412" s="10"/>
      <c r="F412" s="106"/>
      <c r="G412" s="10"/>
      <c r="H412" s="10"/>
      <c r="I412" s="56"/>
      <c r="J412" s="56"/>
      <c r="K412" s="56"/>
      <c r="L412" s="56"/>
      <c r="M412" s="56"/>
      <c r="N412" s="11"/>
      <c r="O412" s="100"/>
      <c r="Q412" s="100"/>
      <c r="T412" s="100"/>
    </row>
    <row r="413" spans="1:20" s="105" customFormat="1" x14ac:dyDescent="0.15">
      <c r="A413" s="11"/>
      <c r="B413" s="10"/>
      <c r="C413" s="106"/>
      <c r="D413" s="10"/>
      <c r="E413" s="10"/>
      <c r="F413" s="106"/>
      <c r="G413" s="10"/>
      <c r="H413" s="10"/>
      <c r="I413" s="56"/>
      <c r="J413" s="56"/>
      <c r="K413" s="56"/>
      <c r="L413" s="56"/>
      <c r="M413" s="56"/>
      <c r="N413" s="11"/>
      <c r="O413" s="100"/>
      <c r="Q413" s="100"/>
      <c r="T413" s="100"/>
    </row>
    <row r="414" spans="1:20" s="105" customFormat="1" x14ac:dyDescent="0.15">
      <c r="A414" s="11"/>
      <c r="B414" s="10"/>
      <c r="C414" s="106"/>
      <c r="D414" s="10"/>
      <c r="E414" s="10"/>
      <c r="F414" s="106"/>
      <c r="G414" s="10"/>
      <c r="H414" s="10"/>
      <c r="I414" s="56"/>
      <c r="J414" s="56"/>
      <c r="K414" s="56"/>
      <c r="L414" s="56"/>
      <c r="M414" s="56"/>
      <c r="N414" s="11"/>
      <c r="O414" s="100"/>
      <c r="Q414" s="100"/>
      <c r="T414" s="100"/>
    </row>
    <row r="415" spans="1:20" s="105" customFormat="1" x14ac:dyDescent="0.15">
      <c r="A415" s="11"/>
      <c r="B415" s="10"/>
      <c r="C415" s="106"/>
      <c r="D415" s="10"/>
      <c r="E415" s="10"/>
      <c r="F415" s="106"/>
      <c r="G415" s="10"/>
      <c r="H415" s="10"/>
      <c r="I415" s="56"/>
      <c r="J415" s="56"/>
      <c r="K415" s="56"/>
      <c r="L415" s="56"/>
      <c r="M415" s="56"/>
      <c r="N415" s="11"/>
      <c r="O415" s="100"/>
      <c r="Q415" s="100"/>
      <c r="T415" s="100"/>
    </row>
    <row r="416" spans="1:20" s="105" customFormat="1" x14ac:dyDescent="0.15">
      <c r="A416" s="11"/>
      <c r="B416" s="10"/>
      <c r="C416" s="106"/>
      <c r="D416" s="10"/>
      <c r="E416" s="10"/>
      <c r="F416" s="106"/>
      <c r="G416" s="10"/>
      <c r="H416" s="10"/>
      <c r="I416" s="56"/>
      <c r="J416" s="56"/>
      <c r="K416" s="56"/>
      <c r="L416" s="56"/>
      <c r="M416" s="56"/>
      <c r="N416" s="11"/>
      <c r="O416" s="100"/>
      <c r="Q416" s="100"/>
      <c r="T416" s="100"/>
    </row>
    <row r="417" spans="1:20" s="105" customFormat="1" x14ac:dyDescent="0.15">
      <c r="A417" s="11"/>
      <c r="B417" s="10"/>
      <c r="C417" s="106"/>
      <c r="D417" s="10"/>
      <c r="E417" s="10"/>
      <c r="F417" s="106"/>
      <c r="G417" s="10"/>
      <c r="H417" s="10"/>
      <c r="I417" s="56"/>
      <c r="J417" s="56"/>
      <c r="K417" s="56"/>
      <c r="L417" s="56"/>
      <c r="M417" s="56"/>
      <c r="N417" s="11"/>
      <c r="O417" s="100"/>
      <c r="Q417" s="100"/>
      <c r="T417" s="100"/>
    </row>
    <row r="418" spans="1:20" s="105" customFormat="1" x14ac:dyDescent="0.15">
      <c r="A418" s="11"/>
      <c r="B418" s="10"/>
      <c r="C418" s="106"/>
      <c r="D418" s="10"/>
      <c r="E418" s="10"/>
      <c r="F418" s="106"/>
      <c r="G418" s="10"/>
      <c r="H418" s="10"/>
      <c r="I418" s="56"/>
      <c r="J418" s="56"/>
      <c r="K418" s="56"/>
      <c r="L418" s="56"/>
      <c r="M418" s="56"/>
      <c r="N418" s="11"/>
      <c r="O418" s="100"/>
      <c r="Q418" s="100"/>
      <c r="T418" s="100"/>
    </row>
    <row r="419" spans="1:20" s="105" customFormat="1" x14ac:dyDescent="0.15">
      <c r="A419" s="11"/>
      <c r="B419" s="10"/>
      <c r="C419" s="106"/>
      <c r="D419" s="10"/>
      <c r="E419" s="10"/>
      <c r="F419" s="106"/>
      <c r="G419" s="10"/>
      <c r="H419" s="10"/>
      <c r="I419" s="56"/>
      <c r="J419" s="56"/>
      <c r="K419" s="56"/>
      <c r="L419" s="56"/>
      <c r="M419" s="56"/>
      <c r="N419" s="11"/>
      <c r="O419" s="100"/>
      <c r="Q419" s="100"/>
      <c r="T419" s="100"/>
    </row>
    <row r="420" spans="1:20" s="105" customFormat="1" x14ac:dyDescent="0.15">
      <c r="A420" s="11"/>
      <c r="B420" s="10"/>
      <c r="C420" s="106"/>
      <c r="D420" s="10"/>
      <c r="E420" s="10"/>
      <c r="F420" s="106"/>
      <c r="G420" s="10"/>
      <c r="H420" s="10"/>
      <c r="I420" s="56"/>
      <c r="J420" s="56"/>
      <c r="K420" s="56"/>
      <c r="L420" s="56"/>
      <c r="M420" s="56"/>
      <c r="N420" s="11"/>
      <c r="O420" s="100"/>
      <c r="Q420" s="100"/>
      <c r="T420" s="100"/>
    </row>
    <row r="421" spans="1:20" s="105" customFormat="1" x14ac:dyDescent="0.15">
      <c r="A421" s="11"/>
      <c r="B421" s="10"/>
      <c r="C421" s="106"/>
      <c r="D421" s="10"/>
      <c r="E421" s="10"/>
      <c r="F421" s="106"/>
      <c r="G421" s="10"/>
      <c r="H421" s="10"/>
      <c r="I421" s="56"/>
      <c r="J421" s="56"/>
      <c r="K421" s="56"/>
      <c r="L421" s="56"/>
      <c r="M421" s="56"/>
      <c r="N421" s="11"/>
      <c r="O421" s="100"/>
      <c r="Q421" s="100"/>
      <c r="T421" s="100"/>
    </row>
    <row r="422" spans="1:20" s="105" customFormat="1" x14ac:dyDescent="0.15">
      <c r="A422" s="11"/>
      <c r="B422" s="10"/>
      <c r="C422" s="106"/>
      <c r="D422" s="10"/>
      <c r="E422" s="10"/>
      <c r="F422" s="106"/>
      <c r="G422" s="10"/>
      <c r="H422" s="10"/>
      <c r="I422" s="56"/>
      <c r="J422" s="56"/>
      <c r="K422" s="56"/>
      <c r="L422" s="56"/>
      <c r="M422" s="56"/>
      <c r="N422" s="11"/>
      <c r="O422" s="100"/>
      <c r="Q422" s="100"/>
      <c r="T422" s="100"/>
    </row>
    <row r="423" spans="1:20" s="105" customFormat="1" x14ac:dyDescent="0.15">
      <c r="A423" s="11"/>
      <c r="B423" s="10"/>
      <c r="C423" s="106"/>
      <c r="D423" s="10"/>
      <c r="E423" s="10"/>
      <c r="F423" s="106"/>
      <c r="G423" s="10"/>
      <c r="H423" s="10"/>
      <c r="I423" s="56"/>
      <c r="J423" s="56"/>
      <c r="K423" s="56"/>
      <c r="L423" s="56"/>
      <c r="M423" s="56"/>
      <c r="N423" s="11"/>
      <c r="O423" s="100"/>
      <c r="Q423" s="100"/>
      <c r="T423" s="100"/>
    </row>
    <row r="424" spans="1:20" s="105" customFormat="1" x14ac:dyDescent="0.15">
      <c r="A424" s="11"/>
      <c r="B424" s="10"/>
      <c r="C424" s="106"/>
      <c r="D424" s="10"/>
      <c r="E424" s="10"/>
      <c r="F424" s="106"/>
      <c r="G424" s="10"/>
      <c r="H424" s="10"/>
      <c r="I424" s="56"/>
      <c r="J424" s="56"/>
      <c r="K424" s="56"/>
      <c r="L424" s="56"/>
      <c r="M424" s="56"/>
      <c r="N424" s="11"/>
      <c r="O424" s="100"/>
      <c r="Q424" s="100"/>
      <c r="T424" s="100"/>
    </row>
    <row r="425" spans="1:20" s="105" customFormat="1" x14ac:dyDescent="0.15">
      <c r="A425" s="11"/>
      <c r="B425" s="10"/>
      <c r="C425" s="106"/>
      <c r="D425" s="10"/>
      <c r="E425" s="10"/>
      <c r="F425" s="106"/>
      <c r="G425" s="10"/>
      <c r="H425" s="10"/>
      <c r="I425" s="56"/>
      <c r="J425" s="56"/>
      <c r="K425" s="56"/>
      <c r="L425" s="56"/>
      <c r="M425" s="56"/>
      <c r="N425" s="11"/>
      <c r="O425" s="100"/>
      <c r="Q425" s="100"/>
      <c r="T425" s="100"/>
    </row>
    <row r="426" spans="1:20" s="105" customFormat="1" x14ac:dyDescent="0.15">
      <c r="A426" s="11"/>
      <c r="B426" s="10"/>
      <c r="C426" s="106"/>
      <c r="D426" s="10"/>
      <c r="E426" s="10"/>
      <c r="F426" s="106"/>
      <c r="G426" s="10"/>
      <c r="H426" s="10"/>
      <c r="I426" s="56"/>
      <c r="J426" s="56"/>
      <c r="K426" s="56"/>
      <c r="L426" s="56"/>
      <c r="M426" s="56"/>
      <c r="N426" s="11"/>
      <c r="O426" s="100"/>
      <c r="Q426" s="100"/>
      <c r="T426" s="100"/>
    </row>
    <row r="427" spans="1:20" s="105" customFormat="1" x14ac:dyDescent="0.15">
      <c r="A427" s="11"/>
      <c r="B427" s="10"/>
      <c r="C427" s="106"/>
      <c r="D427" s="10"/>
      <c r="E427" s="10"/>
      <c r="F427" s="106"/>
      <c r="G427" s="10"/>
      <c r="H427" s="10"/>
      <c r="I427" s="56"/>
      <c r="J427" s="56"/>
      <c r="K427" s="56"/>
      <c r="L427" s="56"/>
      <c r="M427" s="56"/>
      <c r="N427" s="11"/>
      <c r="O427" s="100"/>
      <c r="Q427" s="100"/>
      <c r="T427" s="100"/>
    </row>
    <row r="428" spans="1:20" s="105" customFormat="1" x14ac:dyDescent="0.15">
      <c r="A428" s="11"/>
      <c r="B428" s="10"/>
      <c r="C428" s="106"/>
      <c r="D428" s="10"/>
      <c r="E428" s="10"/>
      <c r="F428" s="106"/>
      <c r="G428" s="10"/>
      <c r="H428" s="10"/>
      <c r="I428" s="56"/>
      <c r="J428" s="56"/>
      <c r="K428" s="56"/>
      <c r="L428" s="56"/>
      <c r="M428" s="56"/>
      <c r="N428" s="11"/>
      <c r="O428" s="100"/>
      <c r="Q428" s="100"/>
      <c r="T428" s="100"/>
    </row>
    <row r="429" spans="1:20" s="105" customFormat="1" x14ac:dyDescent="0.15">
      <c r="A429" s="11"/>
      <c r="B429" s="10"/>
      <c r="C429" s="106"/>
      <c r="D429" s="10"/>
      <c r="E429" s="10"/>
      <c r="F429" s="106"/>
      <c r="G429" s="10"/>
      <c r="H429" s="10"/>
      <c r="I429" s="56"/>
      <c r="J429" s="56"/>
      <c r="K429" s="56"/>
      <c r="L429" s="56"/>
      <c r="M429" s="56"/>
      <c r="N429" s="11"/>
      <c r="O429" s="100"/>
      <c r="Q429" s="100"/>
      <c r="T429" s="100"/>
    </row>
    <row r="430" spans="1:20" s="105" customFormat="1" x14ac:dyDescent="0.15">
      <c r="A430" s="11"/>
      <c r="B430" s="10"/>
      <c r="C430" s="106"/>
      <c r="D430" s="10"/>
      <c r="E430" s="10"/>
      <c r="F430" s="106"/>
      <c r="G430" s="10"/>
      <c r="H430" s="10"/>
      <c r="I430" s="56"/>
      <c r="J430" s="56"/>
      <c r="K430" s="56"/>
      <c r="L430" s="56"/>
      <c r="M430" s="56"/>
      <c r="N430" s="11"/>
      <c r="O430" s="100"/>
      <c r="Q430" s="100"/>
      <c r="T430" s="100"/>
    </row>
    <row r="431" spans="1:20" s="105" customFormat="1" x14ac:dyDescent="0.15">
      <c r="A431" s="11"/>
      <c r="B431" s="10"/>
      <c r="C431" s="106"/>
      <c r="D431" s="10"/>
      <c r="E431" s="10"/>
      <c r="F431" s="106"/>
      <c r="G431" s="10"/>
      <c r="H431" s="10"/>
      <c r="I431" s="56"/>
      <c r="J431" s="56"/>
      <c r="K431" s="56"/>
      <c r="L431" s="56"/>
      <c r="M431" s="56"/>
      <c r="N431" s="11"/>
      <c r="O431" s="100"/>
      <c r="Q431" s="100"/>
      <c r="T431" s="100"/>
    </row>
    <row r="432" spans="1:20" s="105" customFormat="1" x14ac:dyDescent="0.15">
      <c r="A432" s="11"/>
      <c r="B432" s="10"/>
      <c r="C432" s="106"/>
      <c r="D432" s="10"/>
      <c r="E432" s="10"/>
      <c r="F432" s="106"/>
      <c r="G432" s="10"/>
      <c r="H432" s="10"/>
      <c r="I432" s="56"/>
      <c r="J432" s="56"/>
      <c r="K432" s="56"/>
      <c r="L432" s="56"/>
      <c r="M432" s="56"/>
      <c r="N432" s="11"/>
      <c r="O432" s="100"/>
      <c r="Q432" s="100"/>
      <c r="T432" s="100"/>
    </row>
    <row r="433" spans="1:20" s="105" customFormat="1" x14ac:dyDescent="0.15">
      <c r="A433" s="11"/>
      <c r="B433" s="10"/>
      <c r="C433" s="106"/>
      <c r="D433" s="10"/>
      <c r="E433" s="10"/>
      <c r="F433" s="106"/>
      <c r="G433" s="10"/>
      <c r="H433" s="10"/>
      <c r="I433" s="56"/>
      <c r="J433" s="56"/>
      <c r="K433" s="56"/>
      <c r="L433" s="56"/>
      <c r="M433" s="56"/>
      <c r="N433" s="11"/>
      <c r="O433" s="100"/>
      <c r="Q433" s="100"/>
      <c r="T433" s="100"/>
    </row>
    <row r="434" spans="1:20" s="105" customFormat="1" x14ac:dyDescent="0.15">
      <c r="A434" s="11"/>
      <c r="B434" s="10"/>
      <c r="C434" s="106"/>
      <c r="D434" s="10"/>
      <c r="E434" s="10"/>
      <c r="F434" s="106"/>
      <c r="G434" s="10"/>
      <c r="H434" s="10"/>
      <c r="I434" s="56"/>
      <c r="J434" s="56"/>
      <c r="K434" s="56"/>
      <c r="L434" s="56"/>
      <c r="M434" s="56"/>
      <c r="N434" s="11"/>
      <c r="O434" s="100"/>
      <c r="Q434" s="100"/>
      <c r="T434" s="100"/>
    </row>
    <row r="435" spans="1:20" s="105" customFormat="1" x14ac:dyDescent="0.15">
      <c r="A435" s="11"/>
      <c r="B435" s="10"/>
      <c r="C435" s="106"/>
      <c r="D435" s="10"/>
      <c r="E435" s="10"/>
      <c r="F435" s="106"/>
      <c r="G435" s="10"/>
      <c r="H435" s="10"/>
      <c r="I435" s="56"/>
      <c r="J435" s="56"/>
      <c r="K435" s="56"/>
      <c r="L435" s="56"/>
      <c r="M435" s="56"/>
      <c r="N435" s="11"/>
      <c r="O435" s="100"/>
      <c r="Q435" s="100"/>
      <c r="T435" s="100"/>
    </row>
    <row r="436" spans="1:20" s="105" customFormat="1" x14ac:dyDescent="0.15">
      <c r="A436" s="11"/>
      <c r="B436" s="10"/>
      <c r="C436" s="106"/>
      <c r="D436" s="10"/>
      <c r="E436" s="10"/>
      <c r="F436" s="106"/>
      <c r="G436" s="10"/>
      <c r="H436" s="10"/>
      <c r="I436" s="56"/>
      <c r="J436" s="56"/>
      <c r="K436" s="56"/>
      <c r="L436" s="56"/>
      <c r="M436" s="56"/>
      <c r="N436" s="11"/>
      <c r="O436" s="100"/>
      <c r="Q436" s="100"/>
      <c r="T436" s="100"/>
    </row>
    <row r="437" spans="1:20" s="105" customFormat="1" x14ac:dyDescent="0.15">
      <c r="A437" s="11"/>
      <c r="B437" s="10"/>
      <c r="C437" s="106"/>
      <c r="D437" s="10"/>
      <c r="E437" s="10"/>
      <c r="F437" s="106"/>
      <c r="G437" s="10"/>
      <c r="H437" s="10"/>
      <c r="I437" s="56"/>
      <c r="J437" s="56"/>
      <c r="K437" s="56"/>
      <c r="L437" s="56"/>
      <c r="M437" s="56"/>
      <c r="N437" s="11"/>
      <c r="O437" s="100"/>
      <c r="Q437" s="100"/>
      <c r="T437" s="100"/>
    </row>
    <row r="438" spans="1:20" s="105" customFormat="1" x14ac:dyDescent="0.15">
      <c r="A438" s="11"/>
      <c r="B438" s="10"/>
      <c r="C438" s="106"/>
      <c r="D438" s="10"/>
      <c r="E438" s="10"/>
      <c r="F438" s="106"/>
      <c r="G438" s="10"/>
      <c r="H438" s="10"/>
      <c r="I438" s="56"/>
      <c r="J438" s="56"/>
      <c r="K438" s="56"/>
      <c r="L438" s="56"/>
      <c r="M438" s="56"/>
      <c r="N438" s="11"/>
      <c r="O438" s="100"/>
      <c r="Q438" s="100"/>
      <c r="T438" s="100"/>
    </row>
    <row r="439" spans="1:20" s="105" customFormat="1" x14ac:dyDescent="0.15">
      <c r="A439" s="11"/>
      <c r="B439" s="10"/>
      <c r="C439" s="106"/>
      <c r="D439" s="10"/>
      <c r="E439" s="10"/>
      <c r="F439" s="106"/>
      <c r="G439" s="10"/>
      <c r="H439" s="10"/>
      <c r="I439" s="56"/>
      <c r="J439" s="56"/>
      <c r="K439" s="56"/>
      <c r="L439" s="56"/>
      <c r="M439" s="56"/>
      <c r="N439" s="11"/>
      <c r="O439" s="100"/>
      <c r="Q439" s="100"/>
      <c r="T439" s="100"/>
    </row>
    <row r="440" spans="1:20" s="105" customFormat="1" x14ac:dyDescent="0.15">
      <c r="A440" s="11"/>
      <c r="B440" s="10"/>
      <c r="C440" s="106"/>
      <c r="D440" s="10"/>
      <c r="E440" s="10"/>
      <c r="F440" s="106"/>
      <c r="G440" s="10"/>
      <c r="H440" s="10"/>
      <c r="I440" s="56"/>
      <c r="J440" s="56"/>
      <c r="K440" s="56"/>
      <c r="L440" s="56"/>
      <c r="M440" s="56"/>
      <c r="N440" s="11"/>
      <c r="O440" s="100"/>
      <c r="Q440" s="100"/>
      <c r="T440" s="100"/>
    </row>
    <row r="441" spans="1:20" s="105" customFormat="1" x14ac:dyDescent="0.15">
      <c r="A441" s="11"/>
      <c r="B441" s="10"/>
      <c r="C441" s="106"/>
      <c r="D441" s="10"/>
      <c r="E441" s="10"/>
      <c r="F441" s="106"/>
      <c r="G441" s="10"/>
      <c r="H441" s="10"/>
      <c r="I441" s="56"/>
      <c r="J441" s="56"/>
      <c r="K441" s="56"/>
      <c r="L441" s="56"/>
      <c r="M441" s="56"/>
      <c r="N441" s="11"/>
      <c r="O441" s="100"/>
      <c r="Q441" s="100"/>
      <c r="T441" s="100"/>
    </row>
    <row r="442" spans="1:20" s="105" customFormat="1" x14ac:dyDescent="0.15">
      <c r="A442" s="11"/>
      <c r="B442" s="10"/>
      <c r="C442" s="106"/>
      <c r="D442" s="10"/>
      <c r="E442" s="10"/>
      <c r="F442" s="106"/>
      <c r="G442" s="10"/>
      <c r="H442" s="10"/>
      <c r="I442" s="56"/>
      <c r="J442" s="56"/>
      <c r="K442" s="56"/>
      <c r="L442" s="56"/>
      <c r="M442" s="56"/>
      <c r="N442" s="11"/>
      <c r="O442" s="100"/>
      <c r="Q442" s="100"/>
      <c r="T442" s="100"/>
    </row>
    <row r="443" spans="1:20" s="105" customFormat="1" x14ac:dyDescent="0.15">
      <c r="A443" s="11"/>
      <c r="B443" s="10"/>
      <c r="C443" s="106"/>
      <c r="D443" s="10"/>
      <c r="E443" s="10"/>
      <c r="F443" s="106"/>
      <c r="G443" s="10"/>
      <c r="H443" s="10"/>
      <c r="I443" s="56"/>
      <c r="J443" s="56"/>
      <c r="K443" s="56"/>
      <c r="L443" s="56"/>
      <c r="M443" s="56"/>
      <c r="N443" s="11"/>
      <c r="O443" s="100"/>
      <c r="Q443" s="100"/>
      <c r="T443" s="100"/>
    </row>
    <row r="444" spans="1:20" s="105" customFormat="1" x14ac:dyDescent="0.15">
      <c r="A444" s="11"/>
      <c r="B444" s="10"/>
      <c r="C444" s="106"/>
      <c r="D444" s="10"/>
      <c r="E444" s="10"/>
      <c r="F444" s="106"/>
      <c r="G444" s="10"/>
      <c r="H444" s="10"/>
      <c r="I444" s="56"/>
      <c r="J444" s="56"/>
      <c r="K444" s="56"/>
      <c r="L444" s="56"/>
      <c r="M444" s="56"/>
      <c r="N444" s="11"/>
      <c r="O444" s="100"/>
      <c r="Q444" s="100"/>
      <c r="T444" s="100"/>
    </row>
    <row r="445" spans="1:20" s="105" customFormat="1" x14ac:dyDescent="0.15">
      <c r="A445" s="11"/>
      <c r="B445" s="10"/>
      <c r="C445" s="106"/>
      <c r="D445" s="10"/>
      <c r="E445" s="10"/>
      <c r="F445" s="106"/>
      <c r="G445" s="10"/>
      <c r="H445" s="10"/>
      <c r="I445" s="56"/>
      <c r="J445" s="56"/>
      <c r="K445" s="56"/>
      <c r="L445" s="56"/>
      <c r="M445" s="56"/>
      <c r="N445" s="11"/>
      <c r="O445" s="100"/>
      <c r="Q445" s="100"/>
      <c r="T445" s="100"/>
    </row>
    <row r="446" spans="1:20" s="105" customFormat="1" x14ac:dyDescent="0.15">
      <c r="A446" s="11"/>
      <c r="B446" s="10"/>
      <c r="C446" s="106"/>
      <c r="D446" s="10"/>
      <c r="E446" s="10"/>
      <c r="F446" s="106"/>
      <c r="G446" s="10"/>
      <c r="H446" s="10"/>
      <c r="I446" s="56"/>
      <c r="J446" s="56"/>
      <c r="K446" s="56"/>
      <c r="L446" s="56"/>
      <c r="M446" s="56"/>
      <c r="N446" s="11"/>
      <c r="O446" s="100"/>
      <c r="Q446" s="100"/>
      <c r="T446" s="100"/>
    </row>
    <row r="447" spans="1:20" s="105" customFormat="1" x14ac:dyDescent="0.15">
      <c r="A447" s="11"/>
      <c r="B447" s="10"/>
      <c r="C447" s="106"/>
      <c r="D447" s="10"/>
      <c r="E447" s="10"/>
      <c r="F447" s="106"/>
      <c r="G447" s="10"/>
      <c r="H447" s="10"/>
      <c r="I447" s="56"/>
      <c r="J447" s="56"/>
      <c r="K447" s="56"/>
      <c r="L447" s="56"/>
      <c r="M447" s="56"/>
      <c r="N447" s="11"/>
      <c r="O447" s="100"/>
      <c r="Q447" s="100"/>
      <c r="T447" s="100"/>
    </row>
    <row r="448" spans="1:20" s="105" customFormat="1" x14ac:dyDescent="0.15">
      <c r="A448" s="11"/>
      <c r="B448" s="10"/>
      <c r="C448" s="106"/>
      <c r="D448" s="10"/>
      <c r="E448" s="10"/>
      <c r="F448" s="106"/>
      <c r="G448" s="10"/>
      <c r="H448" s="10"/>
      <c r="I448" s="56"/>
      <c r="J448" s="56"/>
      <c r="K448" s="56"/>
      <c r="L448" s="56"/>
      <c r="M448" s="56"/>
      <c r="N448" s="11"/>
      <c r="O448" s="100"/>
      <c r="Q448" s="100"/>
      <c r="T448" s="100"/>
    </row>
    <row r="449" spans="1:20" s="105" customFormat="1" x14ac:dyDescent="0.15">
      <c r="A449" s="11"/>
      <c r="B449" s="10"/>
      <c r="C449" s="106"/>
      <c r="D449" s="10"/>
      <c r="E449" s="10"/>
      <c r="F449" s="106"/>
      <c r="G449" s="10"/>
      <c r="H449" s="10"/>
      <c r="I449" s="56"/>
      <c r="J449" s="56"/>
      <c r="K449" s="56"/>
      <c r="L449" s="56"/>
      <c r="M449" s="56"/>
      <c r="N449" s="11"/>
      <c r="O449" s="100"/>
      <c r="Q449" s="100"/>
      <c r="T449" s="100"/>
    </row>
    <row r="450" spans="1:20" s="105" customFormat="1" x14ac:dyDescent="0.15">
      <c r="A450" s="11"/>
      <c r="B450" s="10"/>
      <c r="C450" s="106"/>
      <c r="D450" s="10"/>
      <c r="E450" s="10"/>
      <c r="F450" s="106"/>
      <c r="G450" s="10"/>
      <c r="H450" s="10"/>
      <c r="I450" s="56"/>
      <c r="J450" s="56"/>
      <c r="K450" s="56"/>
      <c r="L450" s="56"/>
      <c r="M450" s="56"/>
      <c r="N450" s="11"/>
      <c r="O450" s="100"/>
      <c r="Q450" s="100"/>
      <c r="T450" s="100"/>
    </row>
    <row r="451" spans="1:20" s="105" customFormat="1" x14ac:dyDescent="0.15">
      <c r="A451" s="11"/>
      <c r="B451" s="10"/>
      <c r="C451" s="106"/>
      <c r="D451" s="10"/>
      <c r="E451" s="10"/>
      <c r="F451" s="106"/>
      <c r="G451" s="10"/>
      <c r="H451" s="10"/>
      <c r="I451" s="56"/>
      <c r="J451" s="56"/>
      <c r="K451" s="56"/>
      <c r="L451" s="56"/>
      <c r="M451" s="56"/>
      <c r="N451" s="11"/>
      <c r="O451" s="100"/>
      <c r="Q451" s="100"/>
      <c r="T451" s="100"/>
    </row>
    <row r="452" spans="1:20" s="105" customFormat="1" x14ac:dyDescent="0.15">
      <c r="A452" s="11"/>
      <c r="B452" s="10"/>
      <c r="C452" s="106"/>
      <c r="D452" s="10"/>
      <c r="E452" s="10"/>
      <c r="F452" s="106"/>
      <c r="G452" s="10"/>
      <c r="H452" s="10"/>
      <c r="I452" s="56"/>
      <c r="J452" s="56"/>
      <c r="K452" s="56"/>
      <c r="L452" s="56"/>
      <c r="M452" s="56"/>
      <c r="N452" s="11"/>
      <c r="O452" s="100"/>
      <c r="Q452" s="100"/>
      <c r="T452" s="100"/>
    </row>
    <row r="453" spans="1:20" s="105" customFormat="1" x14ac:dyDescent="0.15">
      <c r="A453" s="11"/>
      <c r="B453" s="10"/>
      <c r="C453" s="106"/>
      <c r="D453" s="10"/>
      <c r="E453" s="10"/>
      <c r="F453" s="106"/>
      <c r="G453" s="10"/>
      <c r="H453" s="10"/>
      <c r="I453" s="56"/>
      <c r="J453" s="56"/>
      <c r="K453" s="56"/>
      <c r="L453" s="56"/>
      <c r="M453" s="56"/>
      <c r="N453" s="11"/>
      <c r="O453" s="100"/>
      <c r="Q453" s="100"/>
      <c r="T453" s="100"/>
    </row>
    <row r="454" spans="1:20" s="105" customFormat="1" x14ac:dyDescent="0.15">
      <c r="A454" s="11"/>
      <c r="B454" s="10"/>
      <c r="C454" s="106"/>
      <c r="D454" s="10"/>
      <c r="E454" s="10"/>
      <c r="F454" s="106"/>
      <c r="G454" s="10"/>
      <c r="H454" s="10"/>
      <c r="I454" s="56"/>
      <c r="J454" s="56"/>
      <c r="K454" s="56"/>
      <c r="L454" s="56"/>
      <c r="M454" s="56"/>
      <c r="N454" s="11"/>
      <c r="O454" s="100"/>
      <c r="Q454" s="100"/>
      <c r="T454" s="100"/>
    </row>
    <row r="455" spans="1:20" s="105" customFormat="1" x14ac:dyDescent="0.15">
      <c r="A455" s="11"/>
      <c r="B455" s="10"/>
      <c r="C455" s="106"/>
      <c r="D455" s="10"/>
      <c r="E455" s="10"/>
      <c r="F455" s="106"/>
      <c r="G455" s="10"/>
      <c r="H455" s="10"/>
      <c r="I455" s="56"/>
      <c r="J455" s="56"/>
      <c r="K455" s="56"/>
      <c r="L455" s="56"/>
      <c r="M455" s="56"/>
      <c r="N455" s="11"/>
      <c r="O455" s="100"/>
      <c r="Q455" s="100"/>
      <c r="T455" s="100"/>
    </row>
    <row r="456" spans="1:20" s="105" customFormat="1" x14ac:dyDescent="0.15">
      <c r="A456" s="11"/>
      <c r="B456" s="10"/>
      <c r="C456" s="106"/>
      <c r="D456" s="10"/>
      <c r="E456" s="10"/>
      <c r="F456" s="106"/>
      <c r="G456" s="10"/>
      <c r="H456" s="10"/>
      <c r="I456" s="56"/>
      <c r="J456" s="56"/>
      <c r="K456" s="56"/>
      <c r="L456" s="56"/>
      <c r="M456" s="56"/>
      <c r="N456" s="11"/>
      <c r="O456" s="100"/>
      <c r="Q456" s="100"/>
      <c r="T456" s="100"/>
    </row>
    <row r="457" spans="1:20" s="105" customFormat="1" x14ac:dyDescent="0.15">
      <c r="A457" s="11"/>
      <c r="B457" s="10"/>
      <c r="C457" s="106"/>
      <c r="D457" s="10"/>
      <c r="E457" s="10"/>
      <c r="F457" s="106"/>
      <c r="G457" s="10"/>
      <c r="H457" s="10"/>
      <c r="I457" s="56"/>
      <c r="J457" s="56"/>
      <c r="K457" s="56"/>
      <c r="L457" s="56"/>
      <c r="M457" s="56"/>
      <c r="N457" s="11"/>
      <c r="O457" s="100"/>
      <c r="Q457" s="100"/>
      <c r="T457" s="100"/>
    </row>
    <row r="458" spans="1:20" s="105" customFormat="1" x14ac:dyDescent="0.15">
      <c r="A458" s="11"/>
      <c r="B458" s="10"/>
      <c r="C458" s="106"/>
      <c r="D458" s="10"/>
      <c r="E458" s="10"/>
      <c r="F458" s="106"/>
      <c r="G458" s="10"/>
      <c r="H458" s="10"/>
      <c r="I458" s="56"/>
      <c r="J458" s="56"/>
      <c r="K458" s="56"/>
      <c r="L458" s="56"/>
      <c r="M458" s="56"/>
      <c r="N458" s="11"/>
      <c r="O458" s="100"/>
      <c r="Q458" s="100"/>
      <c r="T458" s="100"/>
    </row>
    <row r="459" spans="1:20" s="105" customFormat="1" x14ac:dyDescent="0.15">
      <c r="A459" s="11"/>
      <c r="B459" s="10"/>
      <c r="C459" s="106"/>
      <c r="D459" s="10"/>
      <c r="E459" s="10"/>
      <c r="F459" s="106"/>
      <c r="G459" s="10"/>
      <c r="H459" s="10"/>
      <c r="I459" s="56"/>
      <c r="J459" s="56"/>
      <c r="K459" s="56"/>
      <c r="L459" s="56"/>
      <c r="M459" s="56"/>
      <c r="N459" s="11"/>
      <c r="O459" s="100"/>
      <c r="Q459" s="100"/>
      <c r="T459" s="100"/>
    </row>
    <row r="460" spans="1:20" s="105" customFormat="1" x14ac:dyDescent="0.15">
      <c r="A460" s="11"/>
      <c r="B460" s="10"/>
      <c r="C460" s="106"/>
      <c r="D460" s="10"/>
      <c r="E460" s="10"/>
      <c r="F460" s="106"/>
      <c r="G460" s="10"/>
      <c r="H460" s="10"/>
      <c r="I460" s="56"/>
      <c r="J460" s="56"/>
      <c r="K460" s="56"/>
      <c r="L460" s="56"/>
      <c r="M460" s="56"/>
      <c r="N460" s="11"/>
      <c r="O460" s="100"/>
      <c r="Q460" s="100"/>
      <c r="T460" s="100"/>
    </row>
    <row r="461" spans="1:20" s="105" customFormat="1" x14ac:dyDescent="0.15">
      <c r="A461" s="11"/>
      <c r="B461" s="10"/>
      <c r="C461" s="106"/>
      <c r="D461" s="10"/>
      <c r="E461" s="10"/>
      <c r="F461" s="106"/>
      <c r="G461" s="10"/>
      <c r="H461" s="10"/>
      <c r="I461" s="56"/>
      <c r="J461" s="56"/>
      <c r="K461" s="56"/>
      <c r="L461" s="56"/>
      <c r="M461" s="56"/>
      <c r="N461" s="11"/>
      <c r="O461" s="100"/>
      <c r="Q461" s="100"/>
      <c r="T461" s="100"/>
    </row>
    <row r="462" spans="1:20" s="105" customFormat="1" x14ac:dyDescent="0.15">
      <c r="A462" s="11"/>
      <c r="B462" s="10"/>
      <c r="C462" s="106"/>
      <c r="D462" s="10"/>
      <c r="E462" s="10"/>
      <c r="F462" s="106"/>
      <c r="G462" s="10"/>
      <c r="H462" s="10"/>
      <c r="I462" s="56"/>
      <c r="J462" s="56"/>
      <c r="K462" s="56"/>
      <c r="L462" s="56"/>
      <c r="M462" s="56"/>
      <c r="N462" s="11"/>
      <c r="O462" s="100"/>
      <c r="Q462" s="100"/>
      <c r="T462" s="100"/>
    </row>
    <row r="463" spans="1:20" s="105" customFormat="1" x14ac:dyDescent="0.15">
      <c r="A463" s="11"/>
      <c r="B463" s="10"/>
      <c r="C463" s="106"/>
      <c r="D463" s="10"/>
      <c r="E463" s="10"/>
      <c r="F463" s="106"/>
      <c r="G463" s="10"/>
      <c r="H463" s="10"/>
      <c r="I463" s="56"/>
      <c r="J463" s="56"/>
      <c r="K463" s="56"/>
      <c r="L463" s="56"/>
      <c r="M463" s="56"/>
      <c r="N463" s="11"/>
      <c r="O463" s="100"/>
      <c r="Q463" s="100"/>
      <c r="T463" s="100"/>
    </row>
    <row r="464" spans="1:20" s="105" customFormat="1" x14ac:dyDescent="0.15">
      <c r="A464" s="11"/>
      <c r="B464" s="10"/>
      <c r="C464" s="106"/>
      <c r="D464" s="10"/>
      <c r="E464" s="10"/>
      <c r="F464" s="106"/>
      <c r="G464" s="10"/>
      <c r="H464" s="10"/>
      <c r="I464" s="56"/>
      <c r="J464" s="56"/>
      <c r="K464" s="56"/>
      <c r="L464" s="56"/>
      <c r="M464" s="56"/>
      <c r="N464" s="11"/>
      <c r="O464" s="100"/>
      <c r="Q464" s="100"/>
      <c r="T464" s="100"/>
    </row>
    <row r="465" spans="1:20" s="105" customFormat="1" x14ac:dyDescent="0.15">
      <c r="A465" s="11"/>
      <c r="B465" s="10"/>
      <c r="C465" s="106"/>
      <c r="D465" s="10"/>
      <c r="E465" s="10"/>
      <c r="F465" s="106"/>
      <c r="G465" s="10"/>
      <c r="H465" s="10"/>
      <c r="I465" s="56"/>
      <c r="J465" s="56"/>
      <c r="K465" s="56"/>
      <c r="L465" s="56"/>
      <c r="M465" s="56"/>
      <c r="N465" s="11"/>
      <c r="O465" s="100"/>
      <c r="Q465" s="100"/>
      <c r="T465" s="100"/>
    </row>
    <row r="466" spans="1:20" s="105" customFormat="1" x14ac:dyDescent="0.15">
      <c r="A466" s="11"/>
      <c r="B466" s="10"/>
      <c r="C466" s="106"/>
      <c r="D466" s="10"/>
      <c r="E466" s="10"/>
      <c r="F466" s="106"/>
      <c r="G466" s="10"/>
      <c r="H466" s="10"/>
      <c r="I466" s="56"/>
      <c r="J466" s="56"/>
      <c r="K466" s="56"/>
      <c r="L466" s="56"/>
      <c r="M466" s="56"/>
      <c r="N466" s="11"/>
      <c r="O466" s="100"/>
      <c r="Q466" s="100"/>
      <c r="T466" s="100"/>
    </row>
    <row r="467" spans="1:20" s="105" customFormat="1" x14ac:dyDescent="0.15">
      <c r="A467" s="11"/>
      <c r="B467" s="10"/>
      <c r="C467" s="106"/>
      <c r="D467" s="10"/>
      <c r="E467" s="10"/>
      <c r="F467" s="106"/>
      <c r="G467" s="10"/>
      <c r="H467" s="10"/>
      <c r="I467" s="56"/>
      <c r="J467" s="56"/>
      <c r="K467" s="56"/>
      <c r="L467" s="56"/>
      <c r="M467" s="56"/>
      <c r="N467" s="11"/>
      <c r="O467" s="100"/>
      <c r="Q467" s="100"/>
      <c r="T467" s="100"/>
    </row>
    <row r="468" spans="1:20" s="105" customFormat="1" x14ac:dyDescent="0.15">
      <c r="A468" s="11"/>
      <c r="B468" s="10"/>
      <c r="C468" s="106"/>
      <c r="D468" s="10"/>
      <c r="E468" s="10"/>
      <c r="F468" s="106"/>
      <c r="G468" s="10"/>
      <c r="H468" s="10"/>
      <c r="I468" s="56"/>
      <c r="J468" s="56"/>
      <c r="K468" s="56"/>
      <c r="L468" s="56"/>
      <c r="M468" s="56"/>
      <c r="N468" s="11"/>
      <c r="O468" s="100"/>
      <c r="Q468" s="100"/>
      <c r="T468" s="100"/>
    </row>
    <row r="469" spans="1:20" s="105" customFormat="1" x14ac:dyDescent="0.15">
      <c r="A469" s="11"/>
      <c r="B469" s="10"/>
      <c r="C469" s="106"/>
      <c r="D469" s="10"/>
      <c r="E469" s="10"/>
      <c r="F469" s="106"/>
      <c r="G469" s="10"/>
      <c r="H469" s="10"/>
      <c r="I469" s="56"/>
      <c r="J469" s="56"/>
      <c r="K469" s="56"/>
      <c r="L469" s="56"/>
      <c r="M469" s="56"/>
      <c r="N469" s="11"/>
      <c r="O469" s="100"/>
      <c r="Q469" s="100"/>
      <c r="T469" s="100"/>
    </row>
    <row r="470" spans="1:20" s="105" customFormat="1" x14ac:dyDescent="0.15">
      <c r="A470" s="11"/>
      <c r="B470" s="10"/>
      <c r="C470" s="106"/>
      <c r="D470" s="10"/>
      <c r="E470" s="10"/>
      <c r="F470" s="106"/>
      <c r="G470" s="10"/>
      <c r="H470" s="10"/>
      <c r="I470" s="56"/>
      <c r="J470" s="56"/>
      <c r="K470" s="56"/>
      <c r="L470" s="56"/>
      <c r="M470" s="56"/>
      <c r="N470" s="11"/>
      <c r="O470" s="100"/>
      <c r="Q470" s="100"/>
      <c r="T470" s="100"/>
    </row>
    <row r="471" spans="1:20" s="105" customFormat="1" x14ac:dyDescent="0.15">
      <c r="A471" s="11"/>
      <c r="B471" s="10"/>
      <c r="C471" s="106"/>
      <c r="D471" s="10"/>
      <c r="E471" s="10"/>
      <c r="F471" s="106"/>
      <c r="G471" s="10"/>
      <c r="H471" s="10"/>
      <c r="I471" s="56"/>
      <c r="J471" s="56"/>
      <c r="K471" s="56"/>
      <c r="L471" s="56"/>
      <c r="M471" s="56"/>
      <c r="N471" s="11"/>
      <c r="O471" s="100"/>
      <c r="Q471" s="100"/>
      <c r="T471" s="100"/>
    </row>
    <row r="472" spans="1:20" s="105" customFormat="1" x14ac:dyDescent="0.15">
      <c r="A472" s="11"/>
      <c r="B472" s="10"/>
      <c r="C472" s="106"/>
      <c r="D472" s="10"/>
      <c r="E472" s="10"/>
      <c r="F472" s="106"/>
      <c r="G472" s="10"/>
      <c r="H472" s="10"/>
      <c r="I472" s="56"/>
      <c r="J472" s="56"/>
      <c r="K472" s="56"/>
      <c r="L472" s="56"/>
      <c r="M472" s="56"/>
      <c r="N472" s="11"/>
      <c r="O472" s="100"/>
      <c r="Q472" s="100"/>
      <c r="T472" s="100"/>
    </row>
    <row r="473" spans="1:20" s="105" customFormat="1" x14ac:dyDescent="0.15">
      <c r="A473" s="11"/>
      <c r="B473" s="10"/>
      <c r="C473" s="106"/>
      <c r="D473" s="10"/>
      <c r="E473" s="10"/>
      <c r="F473" s="106"/>
      <c r="G473" s="10"/>
      <c r="H473" s="10"/>
      <c r="I473" s="56"/>
      <c r="J473" s="56"/>
      <c r="K473" s="56"/>
      <c r="L473" s="56"/>
      <c r="M473" s="56"/>
      <c r="N473" s="11"/>
      <c r="O473" s="100"/>
      <c r="Q473" s="100"/>
      <c r="T473" s="100"/>
    </row>
    <row r="474" spans="1:20" s="105" customFormat="1" x14ac:dyDescent="0.15">
      <c r="A474" s="11"/>
      <c r="B474" s="10"/>
      <c r="C474" s="106"/>
      <c r="D474" s="10"/>
      <c r="E474" s="10"/>
      <c r="F474" s="106"/>
      <c r="G474" s="10"/>
      <c r="H474" s="10"/>
      <c r="I474" s="56"/>
      <c r="J474" s="56"/>
      <c r="K474" s="56"/>
      <c r="L474" s="56"/>
      <c r="M474" s="56"/>
      <c r="N474" s="11"/>
      <c r="O474" s="100"/>
      <c r="Q474" s="100"/>
      <c r="T474" s="100"/>
    </row>
    <row r="475" spans="1:20" s="105" customFormat="1" x14ac:dyDescent="0.15">
      <c r="A475" s="11"/>
      <c r="B475" s="10"/>
      <c r="C475" s="106"/>
      <c r="D475" s="10"/>
      <c r="E475" s="10"/>
      <c r="F475" s="106"/>
      <c r="G475" s="10"/>
      <c r="H475" s="10"/>
      <c r="I475" s="56"/>
      <c r="J475" s="56"/>
      <c r="K475" s="56"/>
      <c r="L475" s="56"/>
      <c r="M475" s="56"/>
      <c r="N475" s="11"/>
      <c r="O475" s="100"/>
      <c r="Q475" s="100"/>
      <c r="T475" s="100"/>
    </row>
    <row r="476" spans="1:20" s="105" customFormat="1" x14ac:dyDescent="0.15">
      <c r="A476" s="11"/>
      <c r="B476" s="10"/>
      <c r="C476" s="106"/>
      <c r="D476" s="10"/>
      <c r="E476" s="10"/>
      <c r="F476" s="106"/>
      <c r="G476" s="10"/>
      <c r="H476" s="10"/>
      <c r="I476" s="56"/>
      <c r="J476" s="56"/>
      <c r="K476" s="56"/>
      <c r="L476" s="56"/>
      <c r="M476" s="56"/>
      <c r="N476" s="11"/>
      <c r="O476" s="100"/>
      <c r="Q476" s="100"/>
      <c r="T476" s="100"/>
    </row>
    <row r="477" spans="1:20" s="105" customFormat="1" x14ac:dyDescent="0.15">
      <c r="A477" s="11"/>
      <c r="B477" s="10"/>
      <c r="C477" s="106"/>
      <c r="D477" s="10"/>
      <c r="E477" s="10"/>
      <c r="F477" s="106"/>
      <c r="G477" s="10"/>
      <c r="H477" s="10"/>
      <c r="I477" s="56"/>
      <c r="J477" s="56"/>
      <c r="K477" s="56"/>
      <c r="L477" s="56"/>
      <c r="M477" s="56"/>
      <c r="N477" s="11"/>
      <c r="O477" s="100"/>
      <c r="Q477" s="100"/>
      <c r="T477" s="100"/>
    </row>
    <row r="478" spans="1:20" s="105" customFormat="1" x14ac:dyDescent="0.15">
      <c r="A478" s="11"/>
      <c r="B478" s="10"/>
      <c r="C478" s="106"/>
      <c r="D478" s="10"/>
      <c r="E478" s="10"/>
      <c r="F478" s="106"/>
      <c r="G478" s="10"/>
      <c r="H478" s="10"/>
      <c r="I478" s="56"/>
      <c r="J478" s="56"/>
      <c r="K478" s="56"/>
      <c r="L478" s="56"/>
      <c r="M478" s="56"/>
      <c r="N478" s="11"/>
      <c r="O478" s="100"/>
      <c r="Q478" s="100"/>
      <c r="T478" s="100"/>
    </row>
    <row r="479" spans="1:20" s="105" customFormat="1" x14ac:dyDescent="0.15">
      <c r="A479" s="11"/>
      <c r="B479" s="10"/>
      <c r="C479" s="106"/>
      <c r="D479" s="10"/>
      <c r="E479" s="10"/>
      <c r="F479" s="106"/>
      <c r="G479" s="10"/>
      <c r="H479" s="10"/>
      <c r="I479" s="56"/>
      <c r="J479" s="56"/>
      <c r="K479" s="56"/>
      <c r="L479" s="56"/>
      <c r="M479" s="56"/>
      <c r="N479" s="11"/>
      <c r="O479" s="100"/>
      <c r="Q479" s="100"/>
      <c r="T479" s="100"/>
    </row>
    <row r="480" spans="1:20" s="105" customFormat="1" x14ac:dyDescent="0.15">
      <c r="A480" s="11"/>
      <c r="B480" s="10"/>
      <c r="C480" s="106"/>
      <c r="D480" s="10"/>
      <c r="E480" s="10"/>
      <c r="F480" s="106"/>
      <c r="G480" s="10"/>
      <c r="H480" s="10"/>
      <c r="I480" s="56"/>
      <c r="J480" s="56"/>
      <c r="K480" s="56"/>
      <c r="L480" s="56"/>
      <c r="M480" s="56"/>
      <c r="N480" s="11"/>
      <c r="O480" s="100"/>
      <c r="Q480" s="100"/>
      <c r="T480" s="100"/>
    </row>
    <row r="481" spans="1:20" s="105" customFormat="1" x14ac:dyDescent="0.15">
      <c r="A481" s="11"/>
      <c r="B481" s="10"/>
      <c r="C481" s="106"/>
      <c r="D481" s="10"/>
      <c r="E481" s="10"/>
      <c r="F481" s="106"/>
      <c r="G481" s="10"/>
      <c r="H481" s="10"/>
      <c r="I481" s="56"/>
      <c r="J481" s="56"/>
      <c r="K481" s="56"/>
      <c r="L481" s="56"/>
      <c r="M481" s="56"/>
      <c r="N481" s="11"/>
      <c r="O481" s="100"/>
      <c r="Q481" s="100"/>
      <c r="T481" s="100"/>
    </row>
    <row r="482" spans="1:20" s="105" customFormat="1" x14ac:dyDescent="0.15">
      <c r="A482" s="11"/>
      <c r="B482" s="10"/>
      <c r="C482" s="106"/>
      <c r="D482" s="10"/>
      <c r="E482" s="10"/>
      <c r="F482" s="106"/>
      <c r="G482" s="10"/>
      <c r="H482" s="10"/>
      <c r="I482" s="56"/>
      <c r="J482" s="56"/>
      <c r="K482" s="56"/>
      <c r="L482" s="56"/>
      <c r="M482" s="56"/>
      <c r="N482" s="11"/>
      <c r="O482" s="100"/>
      <c r="Q482" s="100"/>
      <c r="T482" s="100"/>
    </row>
    <row r="483" spans="1:20" s="105" customFormat="1" x14ac:dyDescent="0.15">
      <c r="A483" s="11"/>
      <c r="B483" s="10"/>
      <c r="C483" s="106"/>
      <c r="D483" s="10"/>
      <c r="E483" s="10"/>
      <c r="F483" s="106"/>
      <c r="G483" s="10"/>
      <c r="H483" s="10"/>
      <c r="I483" s="56"/>
      <c r="J483" s="56"/>
      <c r="K483" s="56"/>
      <c r="L483" s="56"/>
      <c r="M483" s="56"/>
      <c r="N483" s="11"/>
      <c r="O483" s="100"/>
      <c r="Q483" s="100"/>
      <c r="T483" s="100"/>
    </row>
    <row r="484" spans="1:20" s="105" customFormat="1" x14ac:dyDescent="0.15">
      <c r="A484" s="11"/>
      <c r="B484" s="10"/>
      <c r="C484" s="106"/>
      <c r="D484" s="10"/>
      <c r="E484" s="10"/>
      <c r="F484" s="106"/>
      <c r="G484" s="10"/>
      <c r="H484" s="10"/>
      <c r="I484" s="56"/>
      <c r="J484" s="56"/>
      <c r="K484" s="56"/>
      <c r="L484" s="56"/>
      <c r="M484" s="56"/>
      <c r="N484" s="11"/>
      <c r="O484" s="100"/>
      <c r="Q484" s="100"/>
      <c r="T484" s="100"/>
    </row>
    <row r="485" spans="1:20" s="105" customFormat="1" x14ac:dyDescent="0.15">
      <c r="A485" s="11"/>
      <c r="B485" s="10"/>
      <c r="C485" s="106"/>
      <c r="D485" s="10"/>
      <c r="E485" s="10"/>
      <c r="F485" s="106"/>
      <c r="G485" s="10"/>
      <c r="H485" s="10"/>
      <c r="I485" s="56"/>
      <c r="J485" s="56"/>
      <c r="K485" s="56"/>
      <c r="L485" s="56"/>
      <c r="M485" s="56"/>
      <c r="N485" s="11"/>
      <c r="O485" s="100"/>
      <c r="Q485" s="100"/>
      <c r="T485" s="100"/>
    </row>
    <row r="486" spans="1:20" s="105" customFormat="1" x14ac:dyDescent="0.15">
      <c r="A486" s="11"/>
      <c r="B486" s="10"/>
      <c r="C486" s="106"/>
      <c r="D486" s="10"/>
      <c r="E486" s="10"/>
      <c r="F486" s="106"/>
      <c r="G486" s="10"/>
      <c r="H486" s="10"/>
      <c r="I486" s="56"/>
      <c r="J486" s="56"/>
      <c r="K486" s="56"/>
      <c r="L486" s="56"/>
      <c r="M486" s="56"/>
      <c r="N486" s="11"/>
      <c r="O486" s="100"/>
      <c r="Q486" s="100"/>
      <c r="T486" s="100"/>
    </row>
    <row r="487" spans="1:20" s="105" customFormat="1" x14ac:dyDescent="0.15">
      <c r="A487" s="11"/>
      <c r="B487" s="10"/>
      <c r="C487" s="106"/>
      <c r="D487" s="10"/>
      <c r="E487" s="10"/>
      <c r="F487" s="106"/>
      <c r="G487" s="10"/>
      <c r="H487" s="10"/>
      <c r="I487" s="56"/>
      <c r="J487" s="56"/>
      <c r="K487" s="56"/>
      <c r="L487" s="56"/>
      <c r="M487" s="56"/>
      <c r="N487" s="11"/>
      <c r="O487" s="100"/>
      <c r="Q487" s="100"/>
      <c r="T487" s="100"/>
    </row>
    <row r="488" spans="1:20" s="105" customFormat="1" x14ac:dyDescent="0.15">
      <c r="A488" s="11"/>
      <c r="B488" s="10"/>
      <c r="C488" s="106"/>
      <c r="D488" s="10"/>
      <c r="E488" s="10"/>
      <c r="F488" s="106"/>
      <c r="G488" s="10"/>
      <c r="H488" s="10"/>
      <c r="I488" s="56"/>
      <c r="J488" s="56"/>
      <c r="K488" s="56"/>
      <c r="L488" s="56"/>
      <c r="M488" s="56"/>
      <c r="N488" s="11"/>
      <c r="O488" s="100"/>
      <c r="Q488" s="100"/>
      <c r="T488" s="100"/>
    </row>
    <row r="489" spans="1:20" s="105" customFormat="1" x14ac:dyDescent="0.15">
      <c r="A489" s="11"/>
      <c r="B489" s="10"/>
      <c r="C489" s="106"/>
      <c r="D489" s="10"/>
      <c r="E489" s="10"/>
      <c r="F489" s="106"/>
      <c r="G489" s="10"/>
      <c r="H489" s="10"/>
      <c r="I489" s="56"/>
      <c r="J489" s="56"/>
      <c r="K489" s="56"/>
      <c r="L489" s="56"/>
      <c r="M489" s="56"/>
      <c r="N489" s="11"/>
      <c r="O489" s="100"/>
      <c r="Q489" s="100"/>
      <c r="T489" s="100"/>
    </row>
    <row r="490" spans="1:20" s="105" customFormat="1" x14ac:dyDescent="0.15">
      <c r="A490" s="11"/>
      <c r="B490" s="10"/>
      <c r="C490" s="106"/>
      <c r="D490" s="10"/>
      <c r="E490" s="10"/>
      <c r="F490" s="106"/>
      <c r="G490" s="10"/>
      <c r="H490" s="10"/>
      <c r="I490" s="56"/>
      <c r="J490" s="56"/>
      <c r="K490" s="56"/>
      <c r="L490" s="56"/>
      <c r="M490" s="56"/>
      <c r="N490" s="11"/>
      <c r="O490" s="100"/>
      <c r="Q490" s="100"/>
      <c r="T490" s="100"/>
    </row>
    <row r="491" spans="1:20" s="105" customFormat="1" x14ac:dyDescent="0.15">
      <c r="A491" s="11"/>
      <c r="B491" s="10"/>
      <c r="C491" s="106"/>
      <c r="D491" s="10"/>
      <c r="E491" s="10"/>
      <c r="F491" s="106"/>
      <c r="G491" s="10"/>
      <c r="H491" s="10"/>
      <c r="I491" s="56"/>
      <c r="J491" s="56"/>
      <c r="K491" s="56"/>
      <c r="L491" s="56"/>
      <c r="M491" s="56"/>
      <c r="N491" s="11"/>
      <c r="O491" s="100"/>
      <c r="Q491" s="100"/>
      <c r="T491" s="100"/>
    </row>
    <row r="492" spans="1:20" s="105" customFormat="1" x14ac:dyDescent="0.15">
      <c r="A492" s="11"/>
      <c r="B492" s="10"/>
      <c r="C492" s="106"/>
      <c r="D492" s="10"/>
      <c r="E492" s="10"/>
      <c r="F492" s="106"/>
      <c r="G492" s="10"/>
      <c r="H492" s="10"/>
      <c r="I492" s="56"/>
      <c r="J492" s="56"/>
      <c r="K492" s="56"/>
      <c r="L492" s="56"/>
      <c r="M492" s="56"/>
      <c r="N492" s="11"/>
      <c r="O492" s="100"/>
      <c r="Q492" s="100"/>
      <c r="T492" s="100"/>
    </row>
    <row r="493" spans="1:20" s="105" customFormat="1" x14ac:dyDescent="0.15">
      <c r="A493" s="11"/>
      <c r="B493" s="10"/>
      <c r="C493" s="106"/>
      <c r="D493" s="10"/>
      <c r="E493" s="10"/>
      <c r="F493" s="106"/>
      <c r="G493" s="10"/>
      <c r="H493" s="10"/>
      <c r="I493" s="56"/>
      <c r="J493" s="56"/>
      <c r="K493" s="56"/>
      <c r="L493" s="56"/>
      <c r="M493" s="56"/>
      <c r="N493" s="11"/>
      <c r="O493" s="100"/>
      <c r="Q493" s="100"/>
      <c r="T493" s="100"/>
    </row>
    <row r="494" spans="1:20" s="105" customFormat="1" x14ac:dyDescent="0.15">
      <c r="A494" s="11"/>
      <c r="B494" s="10"/>
      <c r="C494" s="106"/>
      <c r="D494" s="10"/>
      <c r="E494" s="10"/>
      <c r="F494" s="106"/>
      <c r="G494" s="10"/>
      <c r="H494" s="10"/>
      <c r="I494" s="56"/>
      <c r="J494" s="56"/>
      <c r="K494" s="56"/>
      <c r="L494" s="56"/>
      <c r="M494" s="56"/>
      <c r="N494" s="11"/>
      <c r="O494" s="100"/>
      <c r="Q494" s="100"/>
      <c r="T494" s="100"/>
    </row>
    <row r="495" spans="1:20" s="105" customFormat="1" x14ac:dyDescent="0.15">
      <c r="A495" s="11"/>
      <c r="B495" s="10"/>
      <c r="C495" s="106"/>
      <c r="D495" s="10"/>
      <c r="E495" s="10"/>
      <c r="F495" s="106"/>
      <c r="G495" s="10"/>
      <c r="H495" s="10"/>
      <c r="I495" s="56"/>
      <c r="J495" s="56"/>
      <c r="K495" s="56"/>
      <c r="L495" s="56"/>
      <c r="M495" s="56"/>
      <c r="N495" s="11"/>
      <c r="O495" s="100"/>
      <c r="Q495" s="100"/>
      <c r="T495" s="100"/>
    </row>
    <row r="496" spans="1:20" s="105" customFormat="1" x14ac:dyDescent="0.15">
      <c r="A496" s="11"/>
      <c r="B496" s="10"/>
      <c r="C496" s="106"/>
      <c r="D496" s="10"/>
      <c r="E496" s="10"/>
      <c r="F496" s="106"/>
      <c r="G496" s="10"/>
      <c r="H496" s="10"/>
      <c r="I496" s="56"/>
      <c r="J496" s="56"/>
      <c r="K496" s="56"/>
      <c r="L496" s="56"/>
      <c r="M496" s="56"/>
      <c r="N496" s="11"/>
      <c r="O496" s="100"/>
      <c r="Q496" s="100"/>
      <c r="T496" s="100"/>
    </row>
    <row r="497" spans="1:20" s="105" customFormat="1" x14ac:dyDescent="0.15">
      <c r="A497" s="11"/>
      <c r="B497" s="10"/>
      <c r="C497" s="106"/>
      <c r="D497" s="10"/>
      <c r="E497" s="10"/>
      <c r="F497" s="106"/>
      <c r="G497" s="10"/>
      <c r="H497" s="10"/>
      <c r="I497" s="56"/>
      <c r="J497" s="56"/>
      <c r="K497" s="56"/>
      <c r="L497" s="56"/>
      <c r="M497" s="56"/>
      <c r="N497" s="11"/>
      <c r="O497" s="100"/>
      <c r="Q497" s="100"/>
      <c r="T497" s="100"/>
    </row>
    <row r="498" spans="1:20" s="105" customFormat="1" x14ac:dyDescent="0.15">
      <c r="A498" s="11"/>
      <c r="B498" s="10"/>
      <c r="C498" s="106"/>
      <c r="D498" s="10"/>
      <c r="E498" s="10"/>
      <c r="F498" s="106"/>
      <c r="G498" s="10"/>
      <c r="H498" s="10"/>
      <c r="I498" s="56"/>
      <c r="J498" s="56"/>
      <c r="K498" s="56"/>
      <c r="L498" s="56"/>
      <c r="M498" s="56"/>
      <c r="N498" s="11"/>
      <c r="O498" s="100"/>
      <c r="Q498" s="100"/>
      <c r="T498" s="100"/>
    </row>
    <row r="499" spans="1:20" s="105" customFormat="1" x14ac:dyDescent="0.15">
      <c r="A499" s="11"/>
      <c r="B499" s="10"/>
      <c r="C499" s="106"/>
      <c r="D499" s="10"/>
      <c r="E499" s="10"/>
      <c r="F499" s="106"/>
      <c r="G499" s="10"/>
      <c r="H499" s="10"/>
      <c r="I499" s="56"/>
      <c r="J499" s="56"/>
      <c r="K499" s="56"/>
      <c r="L499" s="56"/>
      <c r="M499" s="56"/>
      <c r="N499" s="11"/>
      <c r="O499" s="100"/>
      <c r="Q499" s="100"/>
      <c r="T499" s="100"/>
    </row>
    <row r="500" spans="1:20" s="105" customFormat="1" x14ac:dyDescent="0.15">
      <c r="A500" s="11"/>
      <c r="B500" s="10"/>
      <c r="C500" s="106"/>
      <c r="D500" s="10"/>
      <c r="E500" s="10"/>
      <c r="F500" s="106"/>
      <c r="G500" s="10"/>
      <c r="H500" s="10"/>
      <c r="I500" s="56"/>
      <c r="J500" s="56"/>
      <c r="K500" s="56"/>
      <c r="L500" s="56"/>
      <c r="M500" s="56"/>
      <c r="N500" s="11"/>
      <c r="O500" s="100"/>
      <c r="Q500" s="100"/>
      <c r="T500" s="100"/>
    </row>
    <row r="501" spans="1:20" s="105" customFormat="1" x14ac:dyDescent="0.15">
      <c r="A501" s="11"/>
      <c r="B501" s="10"/>
      <c r="C501" s="106"/>
      <c r="D501" s="10"/>
      <c r="E501" s="10"/>
      <c r="F501" s="106"/>
      <c r="G501" s="10"/>
      <c r="H501" s="10"/>
      <c r="I501" s="56"/>
      <c r="J501" s="56"/>
      <c r="K501" s="56"/>
      <c r="L501" s="56"/>
      <c r="M501" s="56"/>
      <c r="N501" s="11"/>
      <c r="O501" s="100"/>
      <c r="Q501" s="100"/>
      <c r="T501" s="100"/>
    </row>
    <row r="502" spans="1:20" s="105" customFormat="1" x14ac:dyDescent="0.15">
      <c r="A502" s="11"/>
      <c r="B502" s="10"/>
      <c r="C502" s="106"/>
      <c r="D502" s="10"/>
      <c r="E502" s="10"/>
      <c r="F502" s="106"/>
      <c r="G502" s="10"/>
      <c r="H502" s="10"/>
      <c r="I502" s="56"/>
      <c r="J502" s="56"/>
      <c r="K502" s="56"/>
      <c r="L502" s="56"/>
      <c r="M502" s="56"/>
      <c r="N502" s="11"/>
      <c r="O502" s="100"/>
      <c r="Q502" s="100"/>
      <c r="T502" s="100"/>
    </row>
    <row r="503" spans="1:20" s="105" customFormat="1" x14ac:dyDescent="0.15">
      <c r="A503" s="11"/>
      <c r="B503" s="10"/>
      <c r="C503" s="106"/>
      <c r="D503" s="10"/>
      <c r="E503" s="10"/>
      <c r="F503" s="106"/>
      <c r="G503" s="10"/>
      <c r="H503" s="10"/>
      <c r="I503" s="56"/>
      <c r="J503" s="56"/>
      <c r="K503" s="56"/>
      <c r="L503" s="56"/>
      <c r="M503" s="56"/>
      <c r="N503" s="11"/>
      <c r="O503" s="100"/>
      <c r="Q503" s="100"/>
      <c r="T503" s="100"/>
    </row>
    <row r="504" spans="1:20" s="105" customFormat="1" x14ac:dyDescent="0.15">
      <c r="A504" s="11"/>
      <c r="B504" s="10"/>
      <c r="C504" s="106"/>
      <c r="D504" s="10"/>
      <c r="E504" s="10"/>
      <c r="F504" s="106"/>
      <c r="G504" s="10"/>
      <c r="H504" s="10"/>
      <c r="I504" s="56"/>
      <c r="J504" s="56"/>
      <c r="K504" s="56"/>
      <c r="L504" s="56"/>
      <c r="M504" s="56"/>
      <c r="N504" s="11"/>
      <c r="O504" s="100"/>
      <c r="Q504" s="100"/>
      <c r="T504" s="100"/>
    </row>
    <row r="505" spans="1:20" s="105" customFormat="1" x14ac:dyDescent="0.15">
      <c r="A505" s="11"/>
      <c r="B505" s="10"/>
      <c r="C505" s="106"/>
      <c r="D505" s="10"/>
      <c r="E505" s="10"/>
      <c r="F505" s="106"/>
      <c r="G505" s="10"/>
      <c r="H505" s="10"/>
      <c r="I505" s="56"/>
      <c r="J505" s="56"/>
      <c r="K505" s="56"/>
      <c r="L505" s="56"/>
      <c r="M505" s="56"/>
      <c r="N505" s="11"/>
      <c r="O505" s="100"/>
      <c r="Q505" s="100"/>
      <c r="T505" s="100"/>
    </row>
    <row r="506" spans="1:20" s="105" customFormat="1" x14ac:dyDescent="0.15">
      <c r="A506" s="11"/>
      <c r="B506" s="10"/>
      <c r="C506" s="106"/>
      <c r="D506" s="10"/>
      <c r="E506" s="10"/>
      <c r="F506" s="106"/>
      <c r="G506" s="10"/>
      <c r="H506" s="10"/>
      <c r="I506" s="56"/>
      <c r="J506" s="56"/>
      <c r="K506" s="56"/>
      <c r="L506" s="56"/>
      <c r="M506" s="56"/>
      <c r="N506" s="11"/>
      <c r="O506" s="100"/>
      <c r="Q506" s="100"/>
      <c r="T506" s="100"/>
    </row>
    <row r="507" spans="1:20" s="105" customFormat="1" x14ac:dyDescent="0.15">
      <c r="A507" s="11"/>
      <c r="B507" s="10"/>
      <c r="C507" s="106"/>
      <c r="D507" s="10"/>
      <c r="E507" s="10"/>
      <c r="F507" s="106"/>
      <c r="G507" s="10"/>
      <c r="H507" s="10"/>
      <c r="I507" s="56"/>
      <c r="J507" s="56"/>
      <c r="K507" s="56"/>
      <c r="L507" s="56"/>
      <c r="M507" s="56"/>
      <c r="N507" s="11"/>
      <c r="O507" s="100"/>
      <c r="Q507" s="100"/>
      <c r="T507" s="100"/>
    </row>
    <row r="508" spans="1:20" s="105" customFormat="1" x14ac:dyDescent="0.15">
      <c r="A508" s="11"/>
      <c r="B508" s="10"/>
      <c r="C508" s="106"/>
      <c r="D508" s="10"/>
      <c r="E508" s="10"/>
      <c r="F508" s="106"/>
      <c r="G508" s="10"/>
      <c r="H508" s="10"/>
      <c r="I508" s="56"/>
      <c r="J508" s="56"/>
      <c r="K508" s="56"/>
      <c r="L508" s="56"/>
      <c r="M508" s="56"/>
      <c r="N508" s="11"/>
      <c r="O508" s="100"/>
      <c r="Q508" s="100"/>
      <c r="T508" s="100"/>
    </row>
    <row r="509" spans="1:20" s="105" customFormat="1" x14ac:dyDescent="0.15">
      <c r="A509" s="11"/>
      <c r="B509" s="10"/>
      <c r="C509" s="106"/>
      <c r="D509" s="10"/>
      <c r="E509" s="10"/>
      <c r="F509" s="106"/>
      <c r="G509" s="10"/>
      <c r="H509" s="10"/>
      <c r="I509" s="56"/>
      <c r="J509" s="56"/>
      <c r="K509" s="56"/>
      <c r="L509" s="56"/>
      <c r="M509" s="56"/>
      <c r="N509" s="11"/>
      <c r="O509" s="100"/>
      <c r="Q509" s="100"/>
      <c r="T509" s="100"/>
    </row>
    <row r="510" spans="1:20" s="105" customFormat="1" x14ac:dyDescent="0.15">
      <c r="A510" s="11"/>
      <c r="B510" s="10"/>
      <c r="C510" s="106"/>
      <c r="D510" s="10"/>
      <c r="E510" s="10"/>
      <c r="F510" s="106"/>
      <c r="G510" s="10"/>
      <c r="H510" s="10"/>
      <c r="I510" s="56"/>
      <c r="J510" s="56"/>
      <c r="K510" s="56"/>
      <c r="L510" s="56"/>
      <c r="M510" s="56"/>
      <c r="N510" s="11"/>
      <c r="O510" s="100"/>
      <c r="Q510" s="100"/>
      <c r="T510" s="100"/>
    </row>
    <row r="511" spans="1:20" s="105" customFormat="1" x14ac:dyDescent="0.15">
      <c r="A511" s="11"/>
      <c r="B511" s="10"/>
      <c r="C511" s="106"/>
      <c r="D511" s="10"/>
      <c r="E511" s="10"/>
      <c r="F511" s="106"/>
      <c r="G511" s="10"/>
      <c r="H511" s="10"/>
      <c r="I511" s="56"/>
      <c r="J511" s="56"/>
      <c r="K511" s="56"/>
      <c r="L511" s="56"/>
      <c r="M511" s="56"/>
      <c r="N511" s="11"/>
      <c r="O511" s="100"/>
      <c r="Q511" s="100"/>
      <c r="T511" s="100"/>
    </row>
    <row r="512" spans="1:20" s="105" customFormat="1" x14ac:dyDescent="0.15">
      <c r="A512" s="11"/>
      <c r="B512" s="10"/>
      <c r="C512" s="106"/>
      <c r="D512" s="10"/>
      <c r="E512" s="10"/>
      <c r="F512" s="106"/>
      <c r="G512" s="10"/>
      <c r="H512" s="10"/>
      <c r="I512" s="56"/>
      <c r="J512" s="56"/>
      <c r="K512" s="56"/>
      <c r="L512" s="56"/>
      <c r="M512" s="56"/>
      <c r="N512" s="11"/>
      <c r="O512" s="100"/>
      <c r="Q512" s="100"/>
      <c r="T512" s="100"/>
    </row>
    <row r="513" spans="1:20" s="105" customFormat="1" x14ac:dyDescent="0.15">
      <c r="A513" s="11"/>
      <c r="B513" s="10"/>
      <c r="C513" s="106"/>
      <c r="D513" s="10"/>
      <c r="E513" s="10"/>
      <c r="F513" s="106"/>
      <c r="G513" s="10"/>
      <c r="H513" s="10"/>
      <c r="I513" s="56"/>
      <c r="J513" s="56"/>
      <c r="K513" s="56"/>
      <c r="L513" s="56"/>
      <c r="M513" s="56"/>
      <c r="N513" s="11"/>
      <c r="O513" s="100"/>
      <c r="Q513" s="100"/>
      <c r="T513" s="100"/>
    </row>
    <row r="514" spans="1:20" s="105" customFormat="1" x14ac:dyDescent="0.15">
      <c r="A514" s="11"/>
      <c r="B514" s="10"/>
      <c r="C514" s="106"/>
      <c r="D514" s="10"/>
      <c r="E514" s="10"/>
      <c r="F514" s="106"/>
      <c r="G514" s="10"/>
      <c r="H514" s="10"/>
      <c r="I514" s="56"/>
      <c r="J514" s="56"/>
      <c r="K514" s="56"/>
      <c r="L514" s="56"/>
      <c r="M514" s="56"/>
      <c r="N514" s="11"/>
      <c r="O514" s="100"/>
      <c r="Q514" s="100"/>
      <c r="T514" s="100"/>
    </row>
    <row r="515" spans="1:20" s="105" customFormat="1" x14ac:dyDescent="0.15">
      <c r="A515" s="11"/>
      <c r="B515" s="10"/>
      <c r="C515" s="106"/>
      <c r="D515" s="10"/>
      <c r="E515" s="10"/>
      <c r="F515" s="106"/>
      <c r="G515" s="10"/>
      <c r="H515" s="10"/>
      <c r="I515" s="56"/>
      <c r="J515" s="56"/>
      <c r="K515" s="56"/>
      <c r="L515" s="56"/>
      <c r="M515" s="56"/>
      <c r="N515" s="11"/>
      <c r="O515" s="100"/>
      <c r="Q515" s="100"/>
      <c r="T515" s="100"/>
    </row>
    <row r="516" spans="1:20" s="105" customFormat="1" x14ac:dyDescent="0.15">
      <c r="A516" s="11"/>
      <c r="B516" s="10"/>
      <c r="C516" s="106"/>
      <c r="D516" s="10"/>
      <c r="E516" s="10"/>
      <c r="F516" s="106"/>
      <c r="G516" s="10"/>
      <c r="H516" s="10"/>
      <c r="I516" s="56"/>
      <c r="J516" s="56"/>
      <c r="K516" s="56"/>
      <c r="L516" s="56"/>
      <c r="M516" s="56"/>
      <c r="N516" s="11"/>
      <c r="O516" s="100"/>
      <c r="Q516" s="100"/>
      <c r="T516" s="100"/>
    </row>
    <row r="517" spans="1:20" s="105" customFormat="1" x14ac:dyDescent="0.15">
      <c r="A517" s="11"/>
      <c r="B517" s="10"/>
      <c r="C517" s="106"/>
      <c r="D517" s="10"/>
      <c r="E517" s="10"/>
      <c r="F517" s="106"/>
      <c r="G517" s="10"/>
      <c r="H517" s="10"/>
      <c r="I517" s="56"/>
      <c r="J517" s="56"/>
      <c r="K517" s="56"/>
      <c r="L517" s="56"/>
      <c r="M517" s="56"/>
      <c r="N517" s="11"/>
      <c r="O517" s="100"/>
      <c r="Q517" s="100"/>
      <c r="T517" s="100"/>
    </row>
    <row r="518" spans="1:20" s="105" customFormat="1" x14ac:dyDescent="0.15">
      <c r="A518" s="11"/>
      <c r="B518" s="10"/>
      <c r="C518" s="106"/>
      <c r="D518" s="10"/>
      <c r="E518" s="10"/>
      <c r="F518" s="106"/>
      <c r="G518" s="10"/>
      <c r="H518" s="10"/>
      <c r="I518" s="56"/>
      <c r="J518" s="56"/>
      <c r="K518" s="56"/>
      <c r="L518" s="56"/>
      <c r="M518" s="56"/>
      <c r="N518" s="11"/>
      <c r="O518" s="100"/>
      <c r="Q518" s="100"/>
      <c r="T518" s="100"/>
    </row>
    <row r="519" spans="1:20" s="105" customFormat="1" x14ac:dyDescent="0.15">
      <c r="A519" s="11"/>
      <c r="B519" s="10"/>
      <c r="C519" s="106"/>
      <c r="D519" s="10"/>
      <c r="E519" s="10"/>
      <c r="F519" s="106"/>
      <c r="G519" s="10"/>
      <c r="H519" s="10"/>
      <c r="I519" s="56"/>
      <c r="J519" s="56"/>
      <c r="K519" s="56"/>
      <c r="L519" s="56"/>
      <c r="M519" s="56"/>
      <c r="N519" s="11"/>
      <c r="O519" s="100"/>
      <c r="Q519" s="100"/>
      <c r="T519" s="100"/>
    </row>
    <row r="520" spans="1:20" s="105" customFormat="1" x14ac:dyDescent="0.15">
      <c r="A520" s="11"/>
      <c r="B520" s="10"/>
      <c r="C520" s="106"/>
      <c r="D520" s="10"/>
      <c r="E520" s="10"/>
      <c r="F520" s="106"/>
      <c r="G520" s="10"/>
      <c r="H520" s="10"/>
      <c r="I520" s="56"/>
      <c r="J520" s="56"/>
      <c r="K520" s="56"/>
      <c r="L520" s="56"/>
      <c r="M520" s="56"/>
      <c r="N520" s="11"/>
      <c r="O520" s="100"/>
      <c r="Q520" s="100"/>
      <c r="T520" s="100"/>
    </row>
    <row r="521" spans="1:20" s="105" customFormat="1" x14ac:dyDescent="0.15">
      <c r="A521" s="11"/>
      <c r="B521" s="10"/>
      <c r="C521" s="106"/>
      <c r="D521" s="10"/>
      <c r="E521" s="10"/>
      <c r="F521" s="106"/>
      <c r="G521" s="10"/>
      <c r="H521" s="10"/>
      <c r="I521" s="56"/>
      <c r="J521" s="56"/>
      <c r="K521" s="56"/>
      <c r="L521" s="56"/>
      <c r="M521" s="56"/>
      <c r="N521" s="11"/>
      <c r="O521" s="100"/>
      <c r="Q521" s="100"/>
      <c r="T521" s="100"/>
    </row>
    <row r="522" spans="1:20" s="105" customFormat="1" x14ac:dyDescent="0.15">
      <c r="A522" s="11"/>
      <c r="B522" s="10"/>
      <c r="C522" s="106"/>
      <c r="D522" s="10"/>
      <c r="E522" s="10"/>
      <c r="F522" s="106"/>
      <c r="G522" s="10"/>
      <c r="H522" s="10"/>
      <c r="I522" s="56"/>
      <c r="J522" s="56"/>
      <c r="K522" s="56"/>
      <c r="L522" s="56"/>
      <c r="M522" s="56"/>
      <c r="N522" s="11"/>
      <c r="O522" s="100"/>
      <c r="Q522" s="100"/>
      <c r="T522" s="100"/>
    </row>
    <row r="523" spans="1:20" s="105" customFormat="1" x14ac:dyDescent="0.15">
      <c r="A523" s="11"/>
      <c r="B523" s="10"/>
      <c r="C523" s="106"/>
      <c r="D523" s="10"/>
      <c r="E523" s="10"/>
      <c r="F523" s="106"/>
      <c r="G523" s="10"/>
      <c r="H523" s="10"/>
      <c r="I523" s="56"/>
      <c r="J523" s="56"/>
      <c r="K523" s="56"/>
      <c r="L523" s="56"/>
      <c r="M523" s="56"/>
      <c r="N523" s="11"/>
      <c r="O523" s="100"/>
      <c r="Q523" s="100"/>
      <c r="T523" s="100"/>
    </row>
    <row r="524" spans="1:20" s="105" customFormat="1" x14ac:dyDescent="0.15">
      <c r="A524" s="11"/>
      <c r="B524" s="10"/>
      <c r="C524" s="106"/>
      <c r="D524" s="10"/>
      <c r="E524" s="10"/>
      <c r="F524" s="106"/>
      <c r="G524" s="10"/>
      <c r="H524" s="10"/>
      <c r="I524" s="56"/>
      <c r="J524" s="56"/>
      <c r="K524" s="56"/>
      <c r="L524" s="56"/>
      <c r="M524" s="56"/>
      <c r="N524" s="11"/>
      <c r="O524" s="100"/>
      <c r="Q524" s="100"/>
      <c r="T524" s="100"/>
    </row>
    <row r="525" spans="1:20" s="105" customFormat="1" x14ac:dyDescent="0.15">
      <c r="A525" s="11"/>
      <c r="B525" s="10"/>
      <c r="C525" s="106"/>
      <c r="D525" s="10"/>
      <c r="E525" s="10"/>
      <c r="F525" s="106"/>
      <c r="G525" s="10"/>
      <c r="H525" s="10"/>
      <c r="I525" s="56"/>
      <c r="J525" s="56"/>
      <c r="K525" s="56"/>
      <c r="L525" s="56"/>
      <c r="M525" s="56"/>
      <c r="N525" s="11"/>
      <c r="O525" s="100"/>
      <c r="Q525" s="100"/>
      <c r="T525" s="100"/>
    </row>
    <row r="526" spans="1:20" s="105" customFormat="1" x14ac:dyDescent="0.15">
      <c r="A526" s="11"/>
      <c r="B526" s="10"/>
      <c r="C526" s="106"/>
      <c r="D526" s="10"/>
      <c r="E526" s="10"/>
      <c r="F526" s="106"/>
      <c r="G526" s="10"/>
      <c r="H526" s="10"/>
      <c r="I526" s="56"/>
      <c r="J526" s="56"/>
      <c r="K526" s="56"/>
      <c r="L526" s="56"/>
      <c r="M526" s="56"/>
      <c r="N526" s="11"/>
      <c r="O526" s="100"/>
      <c r="Q526" s="100"/>
      <c r="T526" s="100"/>
    </row>
    <row r="527" spans="1:20" s="105" customFormat="1" x14ac:dyDescent="0.15">
      <c r="A527" s="11"/>
      <c r="B527" s="10"/>
      <c r="C527" s="106"/>
      <c r="D527" s="10"/>
      <c r="E527" s="10"/>
      <c r="F527" s="106"/>
      <c r="G527" s="10"/>
      <c r="H527" s="10"/>
      <c r="I527" s="56"/>
      <c r="J527" s="56"/>
      <c r="K527" s="56"/>
      <c r="L527" s="56"/>
      <c r="M527" s="56"/>
      <c r="N527" s="11"/>
      <c r="O527" s="100"/>
      <c r="Q527" s="100"/>
      <c r="T527" s="100"/>
    </row>
    <row r="528" spans="1:20" s="105" customFormat="1" x14ac:dyDescent="0.15">
      <c r="A528" s="11"/>
      <c r="B528" s="10"/>
      <c r="C528" s="106"/>
      <c r="D528" s="10"/>
      <c r="E528" s="10"/>
      <c r="F528" s="106"/>
      <c r="G528" s="10"/>
      <c r="H528" s="10"/>
      <c r="I528" s="56"/>
      <c r="J528" s="56"/>
      <c r="K528" s="56"/>
      <c r="L528" s="56"/>
      <c r="M528" s="56"/>
      <c r="N528" s="11"/>
      <c r="O528" s="100"/>
      <c r="Q528" s="100"/>
      <c r="T528" s="100"/>
    </row>
    <row r="529" spans="1:20" s="105" customFormat="1" x14ac:dyDescent="0.15">
      <c r="A529" s="11"/>
      <c r="B529" s="10"/>
      <c r="C529" s="106"/>
      <c r="D529" s="10"/>
      <c r="E529" s="10"/>
      <c r="F529" s="106"/>
      <c r="G529" s="10"/>
      <c r="H529" s="10"/>
      <c r="I529" s="56"/>
      <c r="J529" s="56"/>
      <c r="K529" s="56"/>
      <c r="L529" s="56"/>
      <c r="M529" s="56"/>
      <c r="N529" s="11"/>
      <c r="O529" s="100"/>
      <c r="Q529" s="100"/>
      <c r="T529" s="100"/>
    </row>
    <row r="530" spans="1:20" s="105" customFormat="1" x14ac:dyDescent="0.15">
      <c r="A530" s="11"/>
      <c r="B530" s="10"/>
      <c r="C530" s="106"/>
      <c r="D530" s="10"/>
      <c r="E530" s="10"/>
      <c r="F530" s="106"/>
      <c r="G530" s="10"/>
      <c r="H530" s="10"/>
      <c r="I530" s="56"/>
      <c r="J530" s="56"/>
      <c r="K530" s="56"/>
      <c r="L530" s="56"/>
      <c r="M530" s="56"/>
      <c r="N530" s="11"/>
      <c r="O530" s="100"/>
      <c r="Q530" s="100"/>
      <c r="T530" s="100"/>
    </row>
    <row r="531" spans="1:20" s="105" customFormat="1" x14ac:dyDescent="0.15">
      <c r="A531" s="11"/>
      <c r="B531" s="10"/>
      <c r="C531" s="106"/>
      <c r="D531" s="10"/>
      <c r="E531" s="10"/>
      <c r="F531" s="106"/>
      <c r="G531" s="10"/>
      <c r="H531" s="10"/>
      <c r="I531" s="56"/>
      <c r="J531" s="56"/>
      <c r="K531" s="56"/>
      <c r="L531" s="56"/>
      <c r="M531" s="56"/>
      <c r="N531" s="11"/>
      <c r="O531" s="100"/>
      <c r="Q531" s="100"/>
      <c r="T531" s="100"/>
    </row>
    <row r="532" spans="1:20" s="105" customFormat="1" x14ac:dyDescent="0.15">
      <c r="A532" s="11"/>
      <c r="B532" s="10"/>
      <c r="C532" s="106"/>
      <c r="D532" s="10"/>
      <c r="E532" s="10"/>
      <c r="F532" s="106"/>
      <c r="G532" s="10"/>
      <c r="H532" s="10"/>
      <c r="I532" s="56"/>
      <c r="J532" s="56"/>
      <c r="K532" s="56"/>
      <c r="L532" s="56"/>
      <c r="M532" s="56"/>
      <c r="N532" s="11"/>
      <c r="O532" s="100"/>
      <c r="Q532" s="100"/>
      <c r="T532" s="100"/>
    </row>
    <row r="533" spans="1:20" s="105" customFormat="1" x14ac:dyDescent="0.15">
      <c r="A533" s="11"/>
      <c r="B533" s="10"/>
      <c r="C533" s="106"/>
      <c r="D533" s="10"/>
      <c r="E533" s="10"/>
      <c r="F533" s="106"/>
      <c r="G533" s="10"/>
      <c r="H533" s="10"/>
      <c r="I533" s="56"/>
      <c r="J533" s="56"/>
      <c r="K533" s="56"/>
      <c r="L533" s="56"/>
      <c r="M533" s="56"/>
      <c r="N533" s="11"/>
      <c r="O533" s="100"/>
      <c r="Q533" s="100"/>
      <c r="T533" s="100"/>
    </row>
    <row r="534" spans="1:20" s="105" customFormat="1" x14ac:dyDescent="0.15">
      <c r="A534" s="11"/>
      <c r="B534" s="10"/>
      <c r="C534" s="106"/>
      <c r="D534" s="10"/>
      <c r="E534" s="10"/>
      <c r="F534" s="106"/>
      <c r="G534" s="10"/>
      <c r="H534" s="10"/>
      <c r="I534" s="56"/>
      <c r="J534" s="56"/>
      <c r="K534" s="56"/>
      <c r="L534" s="56"/>
      <c r="M534" s="56"/>
      <c r="N534" s="11"/>
      <c r="O534" s="100"/>
      <c r="Q534" s="100"/>
      <c r="T534" s="100"/>
    </row>
    <row r="535" spans="1:20" s="105" customFormat="1" x14ac:dyDescent="0.15">
      <c r="A535" s="11"/>
      <c r="B535" s="10"/>
      <c r="C535" s="106"/>
      <c r="D535" s="10"/>
      <c r="E535" s="10"/>
      <c r="F535" s="106"/>
      <c r="G535" s="10"/>
      <c r="H535" s="10"/>
      <c r="I535" s="56"/>
      <c r="J535" s="56"/>
      <c r="K535" s="56"/>
      <c r="L535" s="56"/>
      <c r="M535" s="56"/>
      <c r="N535" s="11"/>
      <c r="O535" s="100"/>
      <c r="Q535" s="100"/>
      <c r="T535" s="100"/>
    </row>
    <row r="536" spans="1:20" s="105" customFormat="1" x14ac:dyDescent="0.15">
      <c r="A536" s="11"/>
      <c r="B536" s="10"/>
      <c r="C536" s="106"/>
      <c r="D536" s="10"/>
      <c r="E536" s="10"/>
      <c r="F536" s="106"/>
      <c r="G536" s="10"/>
      <c r="H536" s="10"/>
      <c r="I536" s="56"/>
      <c r="J536" s="56"/>
      <c r="K536" s="56"/>
      <c r="L536" s="56"/>
      <c r="M536" s="56"/>
      <c r="N536" s="11"/>
      <c r="O536" s="100"/>
      <c r="Q536" s="100"/>
      <c r="T536" s="100"/>
    </row>
    <row r="537" spans="1:20" s="105" customFormat="1" x14ac:dyDescent="0.15">
      <c r="A537" s="11"/>
      <c r="B537" s="10"/>
      <c r="C537" s="106"/>
      <c r="D537" s="10"/>
      <c r="E537" s="10"/>
      <c r="F537" s="106"/>
      <c r="G537" s="10"/>
      <c r="H537" s="10"/>
      <c r="I537" s="56"/>
      <c r="J537" s="56"/>
      <c r="K537" s="56"/>
      <c r="L537" s="56"/>
      <c r="M537" s="56"/>
      <c r="N537" s="11"/>
      <c r="O537" s="100"/>
      <c r="Q537" s="100"/>
      <c r="T537" s="100"/>
    </row>
    <row r="538" spans="1:20" s="105" customFormat="1" x14ac:dyDescent="0.15">
      <c r="A538" s="11"/>
      <c r="B538" s="10"/>
      <c r="C538" s="106"/>
      <c r="D538" s="10"/>
      <c r="E538" s="10"/>
      <c r="F538" s="106"/>
      <c r="G538" s="10"/>
      <c r="H538" s="10"/>
      <c r="I538" s="56"/>
      <c r="J538" s="56"/>
      <c r="K538" s="56"/>
      <c r="L538" s="56"/>
      <c r="M538" s="56"/>
      <c r="N538" s="11"/>
      <c r="O538" s="100"/>
      <c r="Q538" s="100"/>
      <c r="T538" s="100"/>
    </row>
    <row r="539" spans="1:20" s="105" customFormat="1" x14ac:dyDescent="0.15">
      <c r="A539" s="11"/>
      <c r="B539" s="10"/>
      <c r="C539" s="106"/>
      <c r="D539" s="10"/>
      <c r="E539" s="10"/>
      <c r="F539" s="106"/>
      <c r="G539" s="10"/>
      <c r="H539" s="10"/>
      <c r="I539" s="56"/>
      <c r="J539" s="56"/>
      <c r="K539" s="56"/>
      <c r="L539" s="56"/>
      <c r="M539" s="56"/>
      <c r="N539" s="11"/>
      <c r="O539" s="100"/>
      <c r="Q539" s="100"/>
      <c r="T539" s="100"/>
    </row>
    <row r="540" spans="1:20" s="105" customFormat="1" x14ac:dyDescent="0.15">
      <c r="A540" s="11"/>
      <c r="B540" s="10"/>
      <c r="C540" s="106"/>
      <c r="D540" s="10"/>
      <c r="E540" s="10"/>
      <c r="F540" s="106"/>
      <c r="G540" s="10"/>
      <c r="H540" s="10"/>
      <c r="I540" s="56"/>
      <c r="J540" s="56"/>
      <c r="K540" s="56"/>
      <c r="L540" s="56"/>
      <c r="M540" s="56"/>
      <c r="N540" s="11"/>
      <c r="O540" s="100"/>
      <c r="Q540" s="100"/>
      <c r="T540" s="100"/>
    </row>
    <row r="541" spans="1:20" s="105" customFormat="1" x14ac:dyDescent="0.15">
      <c r="A541" s="11"/>
      <c r="B541" s="10"/>
      <c r="C541" s="106"/>
      <c r="D541" s="10"/>
      <c r="E541" s="10"/>
      <c r="F541" s="106"/>
      <c r="G541" s="10"/>
      <c r="H541" s="10"/>
      <c r="I541" s="56"/>
      <c r="J541" s="56"/>
      <c r="K541" s="56"/>
      <c r="L541" s="56"/>
      <c r="M541" s="56"/>
      <c r="N541" s="11"/>
      <c r="O541" s="100"/>
      <c r="Q541" s="100"/>
      <c r="T541" s="100"/>
    </row>
    <row r="542" spans="1:20" s="105" customFormat="1" x14ac:dyDescent="0.15">
      <c r="A542" s="11"/>
      <c r="B542" s="10"/>
      <c r="C542" s="106"/>
      <c r="D542" s="10"/>
      <c r="E542" s="10"/>
      <c r="F542" s="106"/>
      <c r="G542" s="10"/>
      <c r="H542" s="10"/>
      <c r="I542" s="56"/>
      <c r="J542" s="56"/>
      <c r="K542" s="56"/>
      <c r="L542" s="56"/>
      <c r="M542" s="56"/>
      <c r="N542" s="11"/>
      <c r="O542" s="100"/>
      <c r="Q542" s="100"/>
      <c r="T542" s="100"/>
    </row>
    <row r="543" spans="1:20" s="105" customFormat="1" x14ac:dyDescent="0.15">
      <c r="A543" s="11"/>
      <c r="B543" s="10"/>
      <c r="C543" s="106"/>
      <c r="D543" s="10"/>
      <c r="E543" s="10"/>
      <c r="F543" s="106"/>
      <c r="G543" s="10"/>
      <c r="H543" s="10"/>
      <c r="I543" s="56"/>
      <c r="J543" s="56"/>
      <c r="K543" s="56"/>
      <c r="L543" s="56"/>
      <c r="M543" s="56"/>
      <c r="N543" s="11"/>
      <c r="O543" s="100"/>
      <c r="Q543" s="100"/>
      <c r="T543" s="100"/>
    </row>
    <row r="544" spans="1:20" s="105" customFormat="1" x14ac:dyDescent="0.15">
      <c r="A544" s="11"/>
      <c r="B544" s="10"/>
      <c r="C544" s="106"/>
      <c r="D544" s="10"/>
      <c r="E544" s="10"/>
      <c r="F544" s="106"/>
      <c r="G544" s="10"/>
      <c r="H544" s="10"/>
      <c r="I544" s="56"/>
      <c r="J544" s="56"/>
      <c r="K544" s="56"/>
      <c r="L544" s="56"/>
      <c r="M544" s="56"/>
      <c r="N544" s="11"/>
      <c r="O544" s="100"/>
      <c r="Q544" s="100"/>
      <c r="T544" s="100"/>
    </row>
    <row r="545" spans="1:20" s="105" customFormat="1" x14ac:dyDescent="0.15">
      <c r="A545" s="11"/>
      <c r="B545" s="10"/>
      <c r="C545" s="106"/>
      <c r="D545" s="10"/>
      <c r="E545" s="10"/>
      <c r="F545" s="106"/>
      <c r="G545" s="10"/>
      <c r="H545" s="10"/>
      <c r="I545" s="56"/>
      <c r="J545" s="56"/>
      <c r="K545" s="56"/>
      <c r="L545" s="56"/>
      <c r="M545" s="56"/>
      <c r="N545" s="11"/>
      <c r="O545" s="100"/>
      <c r="Q545" s="100"/>
      <c r="T545" s="100"/>
    </row>
    <row r="546" spans="1:20" s="105" customFormat="1" x14ac:dyDescent="0.15">
      <c r="A546" s="11"/>
      <c r="B546" s="10"/>
      <c r="C546" s="106"/>
      <c r="D546" s="10"/>
      <c r="E546" s="10"/>
      <c r="F546" s="106"/>
      <c r="G546" s="10"/>
      <c r="H546" s="10"/>
      <c r="I546" s="56"/>
      <c r="J546" s="56"/>
      <c r="K546" s="56"/>
      <c r="L546" s="56"/>
      <c r="M546" s="56"/>
      <c r="N546" s="11"/>
      <c r="O546" s="100"/>
      <c r="Q546" s="100"/>
      <c r="T546" s="100"/>
    </row>
    <row r="547" spans="1:20" s="105" customFormat="1" x14ac:dyDescent="0.15">
      <c r="A547" s="11"/>
      <c r="B547" s="10"/>
      <c r="C547" s="106"/>
      <c r="D547" s="10"/>
      <c r="E547" s="10"/>
      <c r="F547" s="106"/>
      <c r="G547" s="10"/>
      <c r="H547" s="10"/>
      <c r="I547" s="56"/>
      <c r="J547" s="56"/>
      <c r="K547" s="56"/>
      <c r="L547" s="56"/>
      <c r="M547" s="56"/>
      <c r="N547" s="11"/>
      <c r="O547" s="100"/>
      <c r="Q547" s="100"/>
      <c r="T547" s="100"/>
    </row>
    <row r="548" spans="1:20" s="105" customFormat="1" x14ac:dyDescent="0.15">
      <c r="A548" s="11"/>
      <c r="B548" s="10"/>
      <c r="C548" s="106"/>
      <c r="D548" s="10"/>
      <c r="E548" s="10"/>
      <c r="F548" s="106"/>
      <c r="G548" s="10"/>
      <c r="H548" s="10"/>
      <c r="I548" s="56"/>
      <c r="J548" s="56"/>
      <c r="K548" s="56"/>
      <c r="L548" s="56"/>
      <c r="M548" s="56"/>
      <c r="N548" s="11"/>
      <c r="O548" s="100"/>
      <c r="Q548" s="100"/>
      <c r="T548" s="100"/>
    </row>
    <row r="549" spans="1:20" s="105" customFormat="1" x14ac:dyDescent="0.15">
      <c r="A549" s="11"/>
      <c r="B549" s="10"/>
      <c r="C549" s="106"/>
      <c r="D549" s="10"/>
      <c r="E549" s="10"/>
      <c r="F549" s="106"/>
      <c r="G549" s="10"/>
      <c r="H549" s="10"/>
      <c r="I549" s="56"/>
      <c r="J549" s="56"/>
      <c r="K549" s="56"/>
      <c r="L549" s="56"/>
      <c r="M549" s="56"/>
      <c r="N549" s="11"/>
      <c r="O549" s="100"/>
      <c r="Q549" s="100"/>
      <c r="T549" s="100"/>
    </row>
    <row r="550" spans="1:20" s="105" customFormat="1" x14ac:dyDescent="0.15">
      <c r="A550" s="11"/>
      <c r="B550" s="10"/>
      <c r="C550" s="106"/>
      <c r="D550" s="10"/>
      <c r="E550" s="10"/>
      <c r="F550" s="106"/>
      <c r="G550" s="10"/>
      <c r="H550" s="10"/>
      <c r="I550" s="56"/>
      <c r="J550" s="56"/>
      <c r="K550" s="56"/>
      <c r="L550" s="56"/>
      <c r="M550" s="56"/>
      <c r="N550" s="11"/>
      <c r="O550" s="100"/>
      <c r="Q550" s="100"/>
      <c r="T550" s="100"/>
    </row>
    <row r="551" spans="1:20" s="105" customFormat="1" x14ac:dyDescent="0.15">
      <c r="A551" s="11"/>
      <c r="B551" s="10"/>
      <c r="C551" s="106"/>
      <c r="D551" s="10"/>
      <c r="E551" s="10"/>
      <c r="F551" s="106"/>
      <c r="G551" s="10"/>
      <c r="H551" s="10"/>
      <c r="I551" s="56"/>
      <c r="J551" s="56"/>
      <c r="K551" s="56"/>
      <c r="L551" s="56"/>
      <c r="M551" s="56"/>
      <c r="N551" s="11"/>
      <c r="O551" s="100"/>
      <c r="Q551" s="100"/>
      <c r="T551" s="100"/>
    </row>
    <row r="552" spans="1:20" s="105" customFormat="1" x14ac:dyDescent="0.15">
      <c r="A552" s="11"/>
      <c r="B552" s="10"/>
      <c r="C552" s="106"/>
      <c r="D552" s="10"/>
      <c r="E552" s="10"/>
      <c r="F552" s="106"/>
      <c r="G552" s="10"/>
      <c r="H552" s="10"/>
      <c r="I552" s="56"/>
      <c r="J552" s="56"/>
      <c r="K552" s="56"/>
      <c r="L552" s="56"/>
      <c r="M552" s="56"/>
      <c r="N552" s="11"/>
      <c r="O552" s="100"/>
      <c r="Q552" s="100"/>
      <c r="T552" s="100"/>
    </row>
    <row r="553" spans="1:20" s="105" customFormat="1" x14ac:dyDescent="0.15">
      <c r="A553" s="11"/>
      <c r="B553" s="10"/>
      <c r="C553" s="106"/>
      <c r="D553" s="10"/>
      <c r="E553" s="10"/>
      <c r="F553" s="106"/>
      <c r="G553" s="10"/>
      <c r="H553" s="10"/>
      <c r="I553" s="56"/>
      <c r="J553" s="56"/>
      <c r="K553" s="56"/>
      <c r="L553" s="56"/>
      <c r="M553" s="56"/>
      <c r="N553" s="11"/>
      <c r="O553" s="100"/>
      <c r="Q553" s="100"/>
      <c r="T553" s="100"/>
    </row>
    <row r="554" spans="1:20" s="105" customFormat="1" x14ac:dyDescent="0.15">
      <c r="A554" s="11"/>
      <c r="B554" s="10"/>
      <c r="C554" s="106"/>
      <c r="D554" s="10"/>
      <c r="E554" s="10"/>
      <c r="F554" s="106"/>
      <c r="G554" s="10"/>
      <c r="H554" s="10"/>
      <c r="I554" s="56"/>
      <c r="J554" s="56"/>
      <c r="K554" s="56"/>
      <c r="L554" s="56"/>
      <c r="M554" s="56"/>
      <c r="N554" s="11"/>
      <c r="O554" s="100"/>
      <c r="Q554" s="100"/>
      <c r="T554" s="100"/>
    </row>
    <row r="555" spans="1:20" s="105" customFormat="1" x14ac:dyDescent="0.15">
      <c r="A555" s="11"/>
      <c r="B555" s="10"/>
      <c r="C555" s="106"/>
      <c r="D555" s="10"/>
      <c r="E555" s="10"/>
      <c r="F555" s="106"/>
      <c r="G555" s="10"/>
      <c r="H555" s="10"/>
      <c r="I555" s="56"/>
      <c r="J555" s="56"/>
      <c r="K555" s="56"/>
      <c r="L555" s="56"/>
      <c r="M555" s="56"/>
      <c r="N555" s="11"/>
      <c r="O555" s="100"/>
      <c r="Q555" s="100"/>
      <c r="T555" s="100"/>
    </row>
    <row r="556" spans="1:20" s="105" customFormat="1" x14ac:dyDescent="0.15">
      <c r="A556" s="11"/>
      <c r="B556" s="10"/>
      <c r="C556" s="106"/>
      <c r="D556" s="10"/>
      <c r="E556" s="10"/>
      <c r="F556" s="106"/>
      <c r="G556" s="10"/>
      <c r="H556" s="10"/>
      <c r="I556" s="56"/>
      <c r="J556" s="56"/>
      <c r="K556" s="56"/>
      <c r="L556" s="56"/>
      <c r="M556" s="56"/>
      <c r="N556" s="11"/>
      <c r="O556" s="100"/>
      <c r="Q556" s="100"/>
      <c r="T556" s="100"/>
    </row>
    <row r="557" spans="1:20" s="105" customFormat="1" x14ac:dyDescent="0.15">
      <c r="A557" s="11"/>
      <c r="B557" s="10"/>
      <c r="C557" s="106"/>
      <c r="D557" s="10"/>
      <c r="E557" s="10"/>
      <c r="F557" s="106"/>
      <c r="G557" s="10"/>
      <c r="H557" s="10"/>
      <c r="I557" s="56"/>
      <c r="J557" s="56"/>
      <c r="K557" s="56"/>
      <c r="L557" s="56"/>
      <c r="M557" s="56"/>
      <c r="N557" s="11"/>
      <c r="O557" s="100"/>
      <c r="Q557" s="100"/>
      <c r="T557" s="100"/>
    </row>
    <row r="558" spans="1:20" s="105" customFormat="1" x14ac:dyDescent="0.15">
      <c r="A558" s="11"/>
      <c r="B558" s="10"/>
      <c r="C558" s="106"/>
      <c r="D558" s="10"/>
      <c r="E558" s="10"/>
      <c r="F558" s="106"/>
      <c r="G558" s="10"/>
      <c r="H558" s="10"/>
      <c r="I558" s="56"/>
      <c r="J558" s="56"/>
      <c r="K558" s="56"/>
      <c r="L558" s="56"/>
      <c r="M558" s="56"/>
      <c r="N558" s="11"/>
      <c r="O558" s="100"/>
      <c r="Q558" s="100"/>
      <c r="T558" s="100"/>
    </row>
    <row r="559" spans="1:20" s="105" customFormat="1" x14ac:dyDescent="0.15">
      <c r="A559" s="11"/>
      <c r="B559" s="10"/>
      <c r="C559" s="106"/>
      <c r="D559" s="10"/>
      <c r="E559" s="10"/>
      <c r="F559" s="106"/>
      <c r="G559" s="10"/>
      <c r="H559" s="10"/>
      <c r="I559" s="56"/>
      <c r="J559" s="56"/>
      <c r="K559" s="56"/>
      <c r="L559" s="56"/>
      <c r="M559" s="56"/>
      <c r="N559" s="11"/>
      <c r="O559" s="100"/>
      <c r="Q559" s="100"/>
      <c r="T559" s="100"/>
    </row>
    <row r="560" spans="1:20" s="105" customFormat="1" x14ac:dyDescent="0.15">
      <c r="A560" s="11"/>
      <c r="B560" s="10"/>
      <c r="C560" s="106"/>
      <c r="D560" s="10"/>
      <c r="E560" s="10"/>
      <c r="F560" s="106"/>
      <c r="G560" s="10"/>
      <c r="H560" s="10"/>
      <c r="I560" s="56"/>
      <c r="J560" s="56"/>
      <c r="K560" s="56"/>
      <c r="L560" s="56"/>
      <c r="M560" s="56"/>
      <c r="N560" s="11"/>
      <c r="O560" s="100"/>
      <c r="Q560" s="100"/>
      <c r="T560" s="100"/>
    </row>
    <row r="561" spans="1:20" s="105" customFormat="1" x14ac:dyDescent="0.15">
      <c r="A561" s="11"/>
      <c r="B561" s="10"/>
      <c r="C561" s="106"/>
      <c r="D561" s="10"/>
      <c r="E561" s="10"/>
      <c r="F561" s="106"/>
      <c r="G561" s="10"/>
      <c r="H561" s="10"/>
      <c r="I561" s="56"/>
      <c r="J561" s="56"/>
      <c r="K561" s="56"/>
      <c r="L561" s="56"/>
      <c r="M561" s="56"/>
      <c r="N561" s="11"/>
      <c r="O561" s="100"/>
      <c r="Q561" s="100"/>
      <c r="T561" s="100"/>
    </row>
    <row r="562" spans="1:20" s="105" customFormat="1" x14ac:dyDescent="0.15">
      <c r="A562" s="11"/>
      <c r="B562" s="10"/>
      <c r="C562" s="106"/>
      <c r="D562" s="10"/>
      <c r="E562" s="10"/>
      <c r="F562" s="106"/>
      <c r="G562" s="10"/>
      <c r="H562" s="10"/>
      <c r="I562" s="56"/>
      <c r="J562" s="56"/>
      <c r="K562" s="56"/>
      <c r="L562" s="56"/>
      <c r="M562" s="56"/>
      <c r="N562" s="11"/>
      <c r="O562" s="100"/>
      <c r="Q562" s="100"/>
      <c r="T562" s="100"/>
    </row>
    <row r="563" spans="1:20" s="105" customFormat="1" x14ac:dyDescent="0.15">
      <c r="A563" s="11"/>
      <c r="B563" s="10"/>
      <c r="C563" s="106"/>
      <c r="D563" s="10"/>
      <c r="E563" s="10"/>
      <c r="F563" s="106"/>
      <c r="G563" s="10"/>
      <c r="H563" s="10"/>
      <c r="I563" s="56"/>
      <c r="J563" s="56"/>
      <c r="K563" s="56"/>
      <c r="L563" s="56"/>
      <c r="M563" s="56"/>
      <c r="N563" s="11"/>
      <c r="O563" s="100"/>
      <c r="Q563" s="100"/>
      <c r="T563" s="100"/>
    </row>
    <row r="564" spans="1:20" s="105" customFormat="1" x14ac:dyDescent="0.15">
      <c r="A564" s="11"/>
      <c r="B564" s="10"/>
      <c r="C564" s="106"/>
      <c r="D564" s="10"/>
      <c r="E564" s="10"/>
      <c r="F564" s="106"/>
      <c r="G564" s="10"/>
      <c r="H564" s="10"/>
      <c r="I564" s="56"/>
      <c r="J564" s="56"/>
      <c r="K564" s="56"/>
      <c r="L564" s="56"/>
      <c r="M564" s="56"/>
      <c r="N564" s="11"/>
      <c r="O564" s="100"/>
      <c r="Q564" s="100"/>
      <c r="T564" s="100"/>
    </row>
    <row r="565" spans="1:20" s="105" customFormat="1" x14ac:dyDescent="0.15">
      <c r="A565" s="11"/>
      <c r="B565" s="10"/>
      <c r="C565" s="106"/>
      <c r="D565" s="10"/>
      <c r="E565" s="10"/>
      <c r="F565" s="106"/>
      <c r="G565" s="10"/>
      <c r="H565" s="10"/>
      <c r="I565" s="56"/>
      <c r="J565" s="56"/>
      <c r="K565" s="56"/>
      <c r="L565" s="56"/>
      <c r="M565" s="56"/>
      <c r="N565" s="11"/>
      <c r="O565" s="100"/>
      <c r="Q565" s="100"/>
      <c r="T565" s="100"/>
    </row>
    <row r="566" spans="1:20" s="105" customFormat="1" x14ac:dyDescent="0.15">
      <c r="A566" s="11"/>
      <c r="B566" s="10"/>
      <c r="C566" s="106"/>
      <c r="D566" s="10"/>
      <c r="E566" s="10"/>
      <c r="F566" s="106"/>
      <c r="G566" s="10"/>
      <c r="H566" s="10"/>
      <c r="I566" s="56"/>
      <c r="J566" s="56"/>
      <c r="K566" s="56"/>
      <c r="L566" s="56"/>
      <c r="M566" s="56"/>
      <c r="N566" s="11"/>
      <c r="O566" s="100"/>
      <c r="Q566" s="100"/>
      <c r="T566" s="100"/>
    </row>
    <row r="567" spans="1:20" s="105" customFormat="1" x14ac:dyDescent="0.15">
      <c r="A567" s="11"/>
      <c r="B567" s="10"/>
      <c r="C567" s="106"/>
      <c r="D567" s="10"/>
      <c r="E567" s="10"/>
      <c r="F567" s="106"/>
      <c r="G567" s="10"/>
      <c r="H567" s="10"/>
      <c r="I567" s="56"/>
      <c r="J567" s="56"/>
      <c r="K567" s="56"/>
      <c r="L567" s="56"/>
      <c r="M567" s="56"/>
      <c r="N567" s="11"/>
      <c r="O567" s="100"/>
      <c r="Q567" s="100"/>
      <c r="T567" s="100"/>
    </row>
    <row r="568" spans="1:20" s="105" customFormat="1" x14ac:dyDescent="0.15">
      <c r="A568" s="11"/>
      <c r="B568" s="10"/>
      <c r="C568" s="106"/>
      <c r="D568" s="10"/>
      <c r="E568" s="10"/>
      <c r="F568" s="106"/>
      <c r="G568" s="10"/>
      <c r="H568" s="10"/>
      <c r="I568" s="56"/>
      <c r="J568" s="56"/>
      <c r="K568" s="56"/>
      <c r="L568" s="56"/>
      <c r="M568" s="56"/>
      <c r="N568" s="11"/>
      <c r="O568" s="100"/>
      <c r="Q568" s="100"/>
      <c r="T568" s="100"/>
    </row>
    <row r="569" spans="1:20" s="105" customFormat="1" x14ac:dyDescent="0.15">
      <c r="A569" s="11"/>
      <c r="B569" s="10"/>
      <c r="C569" s="106"/>
      <c r="D569" s="10"/>
      <c r="E569" s="10"/>
      <c r="F569" s="106"/>
      <c r="G569" s="10"/>
      <c r="H569" s="10"/>
      <c r="I569" s="56"/>
      <c r="J569" s="56"/>
      <c r="K569" s="56"/>
      <c r="L569" s="56"/>
      <c r="M569" s="56"/>
      <c r="N569" s="11"/>
      <c r="O569" s="100"/>
      <c r="Q569" s="100"/>
      <c r="T569" s="100"/>
    </row>
    <row r="570" spans="1:20" s="105" customFormat="1" x14ac:dyDescent="0.15">
      <c r="A570" s="11"/>
      <c r="B570" s="10"/>
      <c r="C570" s="106"/>
      <c r="D570" s="10"/>
      <c r="E570" s="10"/>
      <c r="F570" s="106"/>
      <c r="G570" s="10"/>
      <c r="H570" s="10"/>
      <c r="I570" s="56"/>
      <c r="J570" s="56"/>
      <c r="K570" s="56"/>
      <c r="L570" s="56"/>
      <c r="M570" s="56"/>
      <c r="N570" s="11"/>
      <c r="O570" s="100"/>
      <c r="Q570" s="100"/>
      <c r="T570" s="100"/>
    </row>
    <row r="571" spans="1:20" s="105" customFormat="1" x14ac:dyDescent="0.15">
      <c r="A571" s="11"/>
      <c r="B571" s="10"/>
      <c r="C571" s="106"/>
      <c r="D571" s="10"/>
      <c r="E571" s="10"/>
      <c r="F571" s="106"/>
      <c r="G571" s="10"/>
      <c r="H571" s="10"/>
      <c r="I571" s="56"/>
      <c r="J571" s="56"/>
      <c r="K571" s="56"/>
      <c r="L571" s="56"/>
      <c r="M571" s="56"/>
      <c r="N571" s="11"/>
      <c r="O571" s="100"/>
      <c r="Q571" s="100"/>
      <c r="T571" s="100"/>
    </row>
    <row r="572" spans="1:20" s="105" customFormat="1" x14ac:dyDescent="0.15">
      <c r="A572" s="11"/>
      <c r="B572" s="10"/>
      <c r="C572" s="106"/>
      <c r="D572" s="10"/>
      <c r="E572" s="10"/>
      <c r="F572" s="106"/>
      <c r="G572" s="10"/>
      <c r="H572" s="10"/>
      <c r="I572" s="56"/>
      <c r="J572" s="56"/>
      <c r="K572" s="56"/>
      <c r="L572" s="56"/>
      <c r="M572" s="56"/>
      <c r="N572" s="11"/>
      <c r="O572" s="100"/>
      <c r="Q572" s="100"/>
      <c r="T572" s="100"/>
    </row>
    <row r="573" spans="1:20" s="105" customFormat="1" x14ac:dyDescent="0.15">
      <c r="A573" s="11"/>
      <c r="B573" s="10"/>
      <c r="C573" s="106"/>
      <c r="D573" s="10"/>
      <c r="E573" s="10"/>
      <c r="F573" s="106"/>
      <c r="G573" s="10"/>
      <c r="H573" s="10"/>
      <c r="I573" s="56"/>
      <c r="J573" s="56"/>
      <c r="K573" s="56"/>
      <c r="L573" s="56"/>
      <c r="M573" s="56"/>
      <c r="N573" s="11"/>
      <c r="O573" s="100"/>
      <c r="Q573" s="100"/>
      <c r="T573" s="100"/>
    </row>
    <row r="574" spans="1:20" s="105" customFormat="1" x14ac:dyDescent="0.15">
      <c r="A574" s="11"/>
      <c r="B574" s="10"/>
      <c r="C574" s="106"/>
      <c r="D574" s="10"/>
      <c r="E574" s="10"/>
      <c r="F574" s="106"/>
      <c r="G574" s="10"/>
      <c r="H574" s="10"/>
      <c r="I574" s="56"/>
      <c r="J574" s="56"/>
      <c r="K574" s="56"/>
      <c r="L574" s="56"/>
      <c r="M574" s="56"/>
      <c r="N574" s="11"/>
      <c r="O574" s="100"/>
      <c r="Q574" s="100"/>
      <c r="T574" s="100"/>
    </row>
    <row r="575" spans="1:20" s="105" customFormat="1" x14ac:dyDescent="0.15">
      <c r="A575" s="11"/>
      <c r="B575" s="10"/>
      <c r="C575" s="106"/>
      <c r="D575" s="10"/>
      <c r="E575" s="10"/>
      <c r="F575" s="106"/>
      <c r="G575" s="10"/>
      <c r="H575" s="10"/>
      <c r="I575" s="56"/>
      <c r="J575" s="56"/>
      <c r="K575" s="56"/>
      <c r="L575" s="56"/>
      <c r="M575" s="56"/>
      <c r="N575" s="11"/>
      <c r="O575" s="100"/>
      <c r="Q575" s="100"/>
      <c r="T575" s="100"/>
    </row>
    <row r="576" spans="1:20" s="105" customFormat="1" x14ac:dyDescent="0.15">
      <c r="A576" s="11"/>
      <c r="B576" s="10"/>
      <c r="C576" s="106"/>
      <c r="D576" s="10"/>
      <c r="E576" s="10"/>
      <c r="F576" s="106"/>
      <c r="G576" s="10"/>
      <c r="H576" s="10"/>
      <c r="I576" s="56"/>
      <c r="J576" s="56"/>
      <c r="K576" s="56"/>
      <c r="L576" s="56"/>
      <c r="M576" s="56"/>
      <c r="N576" s="11"/>
      <c r="O576" s="100"/>
      <c r="Q576" s="100"/>
      <c r="T576" s="100"/>
    </row>
    <row r="577" spans="1:20" s="105" customFormat="1" x14ac:dyDescent="0.15">
      <c r="A577" s="11"/>
      <c r="B577" s="10"/>
      <c r="C577" s="106"/>
      <c r="D577" s="10"/>
      <c r="E577" s="10"/>
      <c r="F577" s="106"/>
      <c r="G577" s="10"/>
      <c r="H577" s="10"/>
      <c r="I577" s="56"/>
      <c r="J577" s="56"/>
      <c r="K577" s="56"/>
      <c r="L577" s="56"/>
      <c r="M577" s="56"/>
      <c r="N577" s="11"/>
      <c r="O577" s="100"/>
      <c r="Q577" s="100"/>
      <c r="T577" s="100"/>
    </row>
    <row r="578" spans="1:20" s="105" customFormat="1" x14ac:dyDescent="0.15">
      <c r="A578" s="11"/>
      <c r="B578" s="10"/>
      <c r="C578" s="106"/>
      <c r="D578" s="10"/>
      <c r="E578" s="10"/>
      <c r="F578" s="106"/>
      <c r="G578" s="10"/>
      <c r="H578" s="10"/>
      <c r="I578" s="56"/>
      <c r="J578" s="56"/>
      <c r="K578" s="56"/>
      <c r="L578" s="56"/>
      <c r="M578" s="56"/>
      <c r="N578" s="11"/>
      <c r="O578" s="100"/>
      <c r="Q578" s="100"/>
      <c r="T578" s="100"/>
    </row>
    <row r="579" spans="1:20" s="105" customFormat="1" x14ac:dyDescent="0.15">
      <c r="A579" s="11"/>
      <c r="B579" s="10"/>
      <c r="C579" s="106"/>
      <c r="D579" s="10"/>
      <c r="E579" s="10"/>
      <c r="F579" s="106"/>
      <c r="G579" s="10"/>
      <c r="H579" s="10"/>
      <c r="I579" s="56"/>
      <c r="J579" s="56"/>
      <c r="K579" s="56"/>
      <c r="L579" s="56"/>
      <c r="M579" s="56"/>
      <c r="N579" s="11"/>
      <c r="O579" s="100"/>
      <c r="Q579" s="100"/>
      <c r="T579" s="100"/>
    </row>
    <row r="580" spans="1:20" s="105" customFormat="1" x14ac:dyDescent="0.15">
      <c r="A580" s="11"/>
      <c r="B580" s="10"/>
      <c r="C580" s="106"/>
      <c r="D580" s="10"/>
      <c r="E580" s="10"/>
      <c r="F580" s="106"/>
      <c r="G580" s="10"/>
      <c r="H580" s="10"/>
      <c r="I580" s="56"/>
      <c r="J580" s="56"/>
      <c r="K580" s="56"/>
      <c r="L580" s="56"/>
      <c r="M580" s="56"/>
      <c r="N580" s="11"/>
      <c r="O580" s="100"/>
      <c r="Q580" s="100"/>
      <c r="T580" s="100"/>
    </row>
    <row r="581" spans="1:20" s="105" customFormat="1" x14ac:dyDescent="0.15">
      <c r="A581" s="11"/>
      <c r="B581" s="10"/>
      <c r="C581" s="106"/>
      <c r="D581" s="10"/>
      <c r="E581" s="10"/>
      <c r="F581" s="106"/>
      <c r="G581" s="10"/>
      <c r="H581" s="10"/>
      <c r="I581" s="56"/>
      <c r="J581" s="56"/>
      <c r="K581" s="56"/>
      <c r="L581" s="56"/>
      <c r="M581" s="56"/>
      <c r="N581" s="11"/>
      <c r="O581" s="100"/>
      <c r="Q581" s="100"/>
      <c r="T581" s="100"/>
    </row>
    <row r="582" spans="1:20" s="105" customFormat="1" x14ac:dyDescent="0.15">
      <c r="A582" s="11"/>
      <c r="B582" s="10"/>
      <c r="C582" s="106"/>
      <c r="D582" s="10"/>
      <c r="E582" s="10"/>
      <c r="F582" s="106"/>
      <c r="G582" s="10"/>
      <c r="H582" s="10"/>
      <c r="I582" s="56"/>
      <c r="J582" s="56"/>
      <c r="K582" s="56"/>
      <c r="L582" s="56"/>
      <c r="M582" s="56"/>
      <c r="N582" s="11"/>
      <c r="O582" s="100"/>
      <c r="Q582" s="100"/>
      <c r="T582" s="100"/>
    </row>
    <row r="583" spans="1:20" s="105" customFormat="1" x14ac:dyDescent="0.15">
      <c r="A583" s="11"/>
      <c r="B583" s="10"/>
      <c r="C583" s="106"/>
      <c r="D583" s="10"/>
      <c r="E583" s="10"/>
      <c r="F583" s="106"/>
      <c r="G583" s="10"/>
      <c r="H583" s="10"/>
      <c r="I583" s="56"/>
      <c r="J583" s="56"/>
      <c r="K583" s="56"/>
      <c r="L583" s="56"/>
      <c r="M583" s="56"/>
      <c r="N583" s="11"/>
      <c r="O583" s="100"/>
      <c r="Q583" s="100"/>
      <c r="T583" s="100"/>
    </row>
    <row r="584" spans="1:20" s="105" customFormat="1" x14ac:dyDescent="0.15">
      <c r="A584" s="11"/>
      <c r="B584" s="10"/>
      <c r="C584" s="106"/>
      <c r="D584" s="10"/>
      <c r="E584" s="10"/>
      <c r="F584" s="106"/>
      <c r="G584" s="10"/>
      <c r="H584" s="10"/>
      <c r="I584" s="56"/>
      <c r="J584" s="56"/>
      <c r="K584" s="56"/>
      <c r="L584" s="56"/>
      <c r="M584" s="56"/>
      <c r="N584" s="11"/>
      <c r="O584" s="100"/>
      <c r="Q584" s="100"/>
      <c r="T584" s="100"/>
    </row>
    <row r="585" spans="1:20" s="105" customFormat="1" x14ac:dyDescent="0.15">
      <c r="A585" s="11"/>
      <c r="B585" s="10"/>
      <c r="C585" s="106"/>
      <c r="D585" s="10"/>
      <c r="E585" s="10"/>
      <c r="F585" s="106"/>
      <c r="G585" s="10"/>
      <c r="H585" s="10"/>
      <c r="I585" s="56"/>
      <c r="J585" s="56"/>
      <c r="K585" s="56"/>
      <c r="L585" s="56"/>
      <c r="M585" s="56"/>
      <c r="N585" s="11"/>
      <c r="O585" s="100"/>
      <c r="Q585" s="100"/>
      <c r="T585" s="100"/>
    </row>
    <row r="586" spans="1:20" s="105" customFormat="1" x14ac:dyDescent="0.15">
      <c r="A586" s="11"/>
      <c r="B586" s="10"/>
      <c r="C586" s="106"/>
      <c r="D586" s="10"/>
      <c r="E586" s="10"/>
      <c r="F586" s="106"/>
      <c r="G586" s="10"/>
      <c r="H586" s="10"/>
      <c r="I586" s="56"/>
      <c r="J586" s="56"/>
      <c r="K586" s="56"/>
      <c r="L586" s="56"/>
      <c r="M586" s="56"/>
      <c r="N586" s="11"/>
      <c r="O586" s="100"/>
      <c r="Q586" s="100"/>
      <c r="T586" s="100"/>
    </row>
    <row r="587" spans="1:20" s="105" customFormat="1" x14ac:dyDescent="0.15">
      <c r="A587" s="11"/>
      <c r="B587" s="10"/>
      <c r="C587" s="106"/>
      <c r="D587" s="10"/>
      <c r="E587" s="10"/>
      <c r="F587" s="106"/>
      <c r="G587" s="10"/>
      <c r="H587" s="10"/>
      <c r="I587" s="56"/>
      <c r="J587" s="56"/>
      <c r="K587" s="56"/>
      <c r="L587" s="56"/>
      <c r="M587" s="56"/>
      <c r="N587" s="11"/>
      <c r="O587" s="100"/>
      <c r="Q587" s="100"/>
      <c r="T587" s="100"/>
    </row>
    <row r="588" spans="1:20" s="105" customFormat="1" x14ac:dyDescent="0.15">
      <c r="A588" s="11"/>
      <c r="B588" s="10"/>
      <c r="C588" s="106"/>
      <c r="D588" s="10"/>
      <c r="E588" s="10"/>
      <c r="F588" s="106"/>
      <c r="G588" s="10"/>
      <c r="H588" s="10"/>
      <c r="I588" s="56"/>
      <c r="J588" s="56"/>
      <c r="K588" s="56"/>
      <c r="L588" s="56"/>
      <c r="M588" s="56"/>
      <c r="N588" s="11"/>
      <c r="O588" s="100"/>
      <c r="Q588" s="100"/>
      <c r="T588" s="100"/>
    </row>
    <row r="589" spans="1:20" s="105" customFormat="1" x14ac:dyDescent="0.15">
      <c r="A589" s="11"/>
      <c r="B589" s="10"/>
      <c r="C589" s="106"/>
      <c r="D589" s="10"/>
      <c r="E589" s="10"/>
      <c r="F589" s="106"/>
      <c r="G589" s="10"/>
      <c r="H589" s="10"/>
      <c r="I589" s="56"/>
      <c r="J589" s="56"/>
      <c r="K589" s="56"/>
      <c r="L589" s="56"/>
      <c r="M589" s="56"/>
      <c r="N589" s="11"/>
      <c r="O589" s="100"/>
      <c r="Q589" s="100"/>
      <c r="T589" s="100"/>
    </row>
    <row r="590" spans="1:20" s="105" customFormat="1" x14ac:dyDescent="0.15">
      <c r="A590" s="11"/>
      <c r="B590" s="10"/>
      <c r="C590" s="106"/>
      <c r="D590" s="10"/>
      <c r="E590" s="10"/>
      <c r="F590" s="106"/>
      <c r="G590" s="10"/>
      <c r="H590" s="10"/>
      <c r="I590" s="56"/>
      <c r="J590" s="56"/>
      <c r="K590" s="56"/>
      <c r="L590" s="56"/>
      <c r="M590" s="56"/>
      <c r="N590" s="11"/>
      <c r="O590" s="100"/>
      <c r="Q590" s="100"/>
      <c r="T590" s="100"/>
    </row>
    <row r="591" spans="1:20" s="105" customFormat="1" x14ac:dyDescent="0.15">
      <c r="A591" s="11"/>
      <c r="B591" s="10"/>
      <c r="C591" s="106"/>
      <c r="D591" s="10"/>
      <c r="E591" s="10"/>
      <c r="F591" s="106"/>
      <c r="G591" s="10"/>
      <c r="H591" s="10"/>
      <c r="I591" s="56"/>
      <c r="J591" s="56"/>
      <c r="K591" s="56"/>
      <c r="L591" s="56"/>
      <c r="M591" s="56"/>
      <c r="N591" s="11"/>
      <c r="O591" s="100"/>
      <c r="Q591" s="100"/>
      <c r="T591" s="100"/>
    </row>
    <row r="592" spans="1:20" s="105" customFormat="1" x14ac:dyDescent="0.15">
      <c r="A592" s="11"/>
      <c r="B592" s="10"/>
      <c r="C592" s="106"/>
      <c r="D592" s="10"/>
      <c r="E592" s="10"/>
      <c r="F592" s="106"/>
      <c r="G592" s="10"/>
      <c r="H592" s="10"/>
      <c r="I592" s="56"/>
      <c r="J592" s="56"/>
      <c r="K592" s="56"/>
      <c r="L592" s="56"/>
      <c r="M592" s="56"/>
      <c r="N592" s="11"/>
      <c r="O592" s="100"/>
      <c r="Q592" s="100"/>
      <c r="T592" s="100"/>
    </row>
    <row r="593" spans="1:20" s="105" customFormat="1" x14ac:dyDescent="0.15">
      <c r="A593" s="11"/>
      <c r="B593" s="10"/>
      <c r="C593" s="106"/>
      <c r="D593" s="10"/>
      <c r="E593" s="10"/>
      <c r="F593" s="106"/>
      <c r="G593" s="10"/>
      <c r="H593" s="10"/>
      <c r="I593" s="56"/>
      <c r="J593" s="56"/>
      <c r="K593" s="56"/>
      <c r="L593" s="56"/>
      <c r="M593" s="56"/>
      <c r="N593" s="11"/>
      <c r="O593" s="100"/>
      <c r="Q593" s="100"/>
      <c r="T593" s="100"/>
    </row>
    <row r="594" spans="1:20" s="105" customFormat="1" ht="19.5" customHeight="1" x14ac:dyDescent="0.15">
      <c r="A594" s="11"/>
      <c r="B594" s="10"/>
      <c r="C594" s="106"/>
      <c r="D594" s="10"/>
      <c r="E594" s="10"/>
      <c r="F594" s="106"/>
      <c r="G594" s="10"/>
      <c r="H594" s="10"/>
      <c r="I594" s="56"/>
      <c r="J594" s="56"/>
      <c r="K594" s="56"/>
      <c r="L594" s="56"/>
      <c r="M594" s="56"/>
      <c r="N594" s="11"/>
      <c r="O594" s="100"/>
      <c r="Q594" s="100"/>
      <c r="T594" s="100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PLAYER_LEVEL</vt:lpstr>
      <vt:lpstr>MANOR_LEVEL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2018-09-02T08:40:46Z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