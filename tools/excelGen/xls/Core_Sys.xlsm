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/>
</workbook>
</file>

<file path=xl/calcChain.xml><?xml version="1.0" encoding="utf-8"?>
<calcChain xmlns="http://schemas.openxmlformats.org/spreadsheetml/2006/main">
  <c r="P26" i="57" l="1"/>
  <c r="P27" i="57"/>
  <c r="P28" i="57"/>
  <c r="P29" i="57"/>
  <c r="P30" i="57"/>
  <c r="P25" i="57"/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 l="1"/>
  <c r="AE50" i="9" s="1"/>
  <c r="AF214" i="9"/>
  <c r="AE214" i="9" s="1"/>
  <c r="AF408" i="9"/>
  <c r="AE408" i="9" s="1"/>
  <c r="AF95" i="9"/>
  <c r="AE95" i="9" s="1"/>
  <c r="AF298" i="9"/>
  <c r="AE298" i="9" s="1"/>
  <c r="AF14" i="9"/>
  <c r="AE14" i="9" s="1"/>
  <c r="AF6" i="9"/>
  <c r="AE6" i="9" s="1"/>
  <c r="AF397" i="9"/>
  <c r="AE397" i="9" s="1"/>
  <c r="AF391" i="9"/>
  <c r="AE391" i="9" s="1"/>
  <c r="AF212" i="9"/>
  <c r="AE212" i="9" s="1"/>
  <c r="AF22" i="9"/>
  <c r="AE22" i="9" s="1"/>
  <c r="AF54" i="9"/>
  <c r="AE54" i="9" s="1"/>
  <c r="AF80" i="9"/>
  <c r="AE80" i="9" s="1"/>
  <c r="AF503" i="9"/>
  <c r="AE503" i="9" s="1"/>
  <c r="AF140" i="9"/>
  <c r="AE140" i="9" s="1"/>
  <c r="AF480" i="9"/>
  <c r="AE480" i="9" s="1"/>
  <c r="AF262" i="9"/>
  <c r="AE262" i="9" s="1"/>
  <c r="AF300" i="9"/>
  <c r="AE300" i="9" s="1"/>
  <c r="AF290" i="9"/>
  <c r="AE290" i="9" s="1"/>
  <c r="AF45" i="9"/>
  <c r="AE45" i="9" s="1"/>
  <c r="AG45" i="9" s="1"/>
  <c r="AF203" i="9"/>
  <c r="AE203" i="9" s="1"/>
  <c r="AF401" i="9"/>
  <c r="AE401" i="9" s="1"/>
  <c r="AF292" i="9"/>
  <c r="AE292" i="9" s="1"/>
  <c r="AF455" i="9"/>
  <c r="AE455" i="9" s="1"/>
  <c r="AF35" i="9"/>
  <c r="AE35" i="9" s="1"/>
  <c r="AF37" i="9"/>
  <c r="AE37" i="9" s="1"/>
  <c r="AF462" i="9"/>
  <c r="AE462" i="9" s="1"/>
  <c r="AF208" i="9"/>
  <c r="AE208" i="9" s="1"/>
  <c r="AF194" i="9"/>
  <c r="AE194" i="9" s="1"/>
  <c r="AF390" i="9"/>
  <c r="AE390" i="9" s="1"/>
  <c r="AF32" i="9"/>
  <c r="AE32" i="9" s="1"/>
  <c r="AF152" i="9"/>
  <c r="AE152" i="9" s="1"/>
  <c r="AF481" i="9"/>
  <c r="AE481" i="9" s="1"/>
  <c r="AF473" i="9"/>
  <c r="AE473" i="9" s="1"/>
  <c r="AF487" i="9"/>
  <c r="AE487" i="9" s="1"/>
  <c r="AF272" i="9"/>
  <c r="AE272" i="9" s="1"/>
  <c r="AF467" i="9"/>
  <c r="AE467" i="9" s="1"/>
  <c r="AF143" i="9"/>
  <c r="AE143" i="9" s="1"/>
  <c r="AF413" i="9"/>
  <c r="AE413" i="9" s="1"/>
  <c r="AF112" i="9"/>
  <c r="AE112" i="9" s="1"/>
  <c r="AF107" i="9"/>
  <c r="AE107" i="9" s="1"/>
  <c r="AF196" i="9"/>
  <c r="AE196" i="9" s="1"/>
  <c r="AF224" i="9"/>
  <c r="AE224" i="9" s="1"/>
  <c r="AF476" i="9"/>
  <c r="AE476" i="9" s="1"/>
  <c r="AF324" i="9"/>
  <c r="AE324" i="9" s="1"/>
  <c r="AF338" i="9"/>
  <c r="AE338" i="9" s="1"/>
  <c r="AF229" i="9"/>
  <c r="AE229" i="9" s="1"/>
  <c r="AF67" i="9"/>
  <c r="AE67" i="9" s="1"/>
  <c r="AF129" i="9"/>
  <c r="AE129" i="9" s="1"/>
  <c r="AF370" i="9"/>
  <c r="AE370" i="9" s="1"/>
  <c r="AF239" i="9"/>
  <c r="AE239" i="9" s="1"/>
  <c r="AF294" i="9"/>
  <c r="AE294" i="9" s="1"/>
  <c r="AF474" i="9"/>
  <c r="AE474" i="9" s="1"/>
  <c r="AF28" i="9"/>
  <c r="AE28" i="9" s="1"/>
  <c r="AF114" i="9"/>
  <c r="AE114" i="9" s="1"/>
  <c r="AF285" i="9"/>
  <c r="AE285" i="9" s="1"/>
  <c r="AG285" i="9" s="1"/>
  <c r="AF244" i="9"/>
  <c r="AE244" i="9" s="1"/>
  <c r="AF36" i="9"/>
  <c r="AE36" i="9" s="1"/>
  <c r="AG37" i="9" s="1"/>
  <c r="AF149" i="9"/>
  <c r="AE149" i="9" s="1"/>
  <c r="AF264" i="9"/>
  <c r="AE264" i="9" s="1"/>
  <c r="AF236" i="9"/>
  <c r="AE236" i="9" s="1"/>
  <c r="AF388" i="9"/>
  <c r="AE388" i="9" s="1"/>
  <c r="AF120" i="9"/>
  <c r="AE120" i="9" s="1"/>
  <c r="AF394" i="9"/>
  <c r="AE394" i="9" s="1"/>
  <c r="AF403" i="9"/>
  <c r="AE403" i="9" s="1"/>
  <c r="AF231" i="9"/>
  <c r="AE231" i="9" s="1"/>
  <c r="AF204" i="9"/>
  <c r="AE204" i="9" s="1"/>
  <c r="AF382" i="9"/>
  <c r="AE382" i="9" s="1"/>
  <c r="AF20" i="9"/>
  <c r="AE20" i="9" s="1"/>
  <c r="AF12" i="9"/>
  <c r="AE12" i="9" s="1"/>
  <c r="AF209" i="9"/>
  <c r="AE209" i="9" s="1"/>
  <c r="AF310" i="9"/>
  <c r="AE310" i="9" s="1"/>
  <c r="AF344" i="9"/>
  <c r="AE344" i="9" s="1"/>
  <c r="AF158" i="9"/>
  <c r="AE158" i="9" s="1"/>
  <c r="AF25" i="9"/>
  <c r="AE25" i="9" s="1"/>
  <c r="AG25" i="9" s="1"/>
  <c r="AF99" i="9"/>
  <c r="AE99" i="9" s="1"/>
  <c r="AF187" i="9"/>
  <c r="AE187" i="9" s="1"/>
  <c r="AF206" i="9"/>
  <c r="AE206" i="9" s="1"/>
  <c r="AF211" i="9"/>
  <c r="AE211" i="9" s="1"/>
  <c r="AF289" i="9"/>
  <c r="AE289" i="9" s="1"/>
  <c r="AF299" i="9"/>
  <c r="AE299" i="9" s="1"/>
  <c r="AF44" i="9"/>
  <c r="AE44" i="9" s="1"/>
  <c r="AF183" i="9"/>
  <c r="AE183" i="9" s="1"/>
  <c r="AF346" i="9"/>
  <c r="AE346" i="9" s="1"/>
  <c r="AF184" i="9"/>
  <c r="AE184" i="9" s="1"/>
  <c r="AF340" i="9"/>
  <c r="AE340" i="9" s="1"/>
  <c r="AF73" i="9"/>
  <c r="AE73" i="9" s="1"/>
  <c r="AF130" i="9"/>
  <c r="AE130" i="9" s="1"/>
  <c r="AF463" i="9"/>
  <c r="AE463" i="9" s="1"/>
  <c r="AF493" i="9"/>
  <c r="AE493" i="9" s="1"/>
  <c r="AF311" i="9"/>
  <c r="AE311" i="9" s="1"/>
  <c r="AF226" i="9"/>
  <c r="AE226" i="9" s="1"/>
  <c r="AF199" i="9"/>
  <c r="AE199" i="9" s="1"/>
  <c r="AF430" i="9"/>
  <c r="AE430" i="9" s="1"/>
  <c r="AF446" i="9"/>
  <c r="AE446" i="9" s="1"/>
  <c r="AF124" i="9"/>
  <c r="AE124" i="9" s="1"/>
  <c r="AF227" i="9"/>
  <c r="AE227" i="9" s="1"/>
  <c r="AF375" i="9"/>
  <c r="AE375" i="9" s="1"/>
  <c r="AF269" i="9"/>
  <c r="AE269" i="9" s="1"/>
  <c r="AF318" i="9"/>
  <c r="AE318" i="9" s="1"/>
  <c r="AF235" i="9"/>
  <c r="AE235" i="9" s="1"/>
  <c r="AF341" i="9"/>
  <c r="AE341" i="9" s="1"/>
  <c r="AF207" i="9"/>
  <c r="AE207" i="9" s="1"/>
  <c r="AF186" i="9"/>
  <c r="AE186" i="9" s="1"/>
  <c r="AF170" i="9"/>
  <c r="AE170" i="9" s="1"/>
  <c r="AF56" i="9"/>
  <c r="AE56" i="9" s="1"/>
  <c r="AF29" i="9"/>
  <c r="AE29" i="9" s="1"/>
  <c r="AF376" i="9"/>
  <c r="AE376" i="9" s="1"/>
  <c r="AF144" i="9"/>
  <c r="AE144" i="9" s="1"/>
  <c r="AF134" i="9"/>
  <c r="AE134" i="9" s="1"/>
  <c r="AF280" i="9"/>
  <c r="AE280" i="9" s="1"/>
  <c r="AF398" i="9"/>
  <c r="AE398" i="9" s="1"/>
  <c r="AF381" i="9"/>
  <c r="AE381" i="9" s="1"/>
  <c r="AF61" i="9"/>
  <c r="AE61" i="9" s="1"/>
  <c r="AF491" i="9"/>
  <c r="AE491" i="9" s="1"/>
  <c r="AF421" i="9"/>
  <c r="AE421" i="9" s="1"/>
  <c r="AF76" i="9"/>
  <c r="AE76" i="9" s="1"/>
  <c r="AF469" i="9"/>
  <c r="AE469" i="9" s="1"/>
  <c r="AF190" i="9"/>
  <c r="AE190" i="9" s="1"/>
  <c r="AF343" i="9"/>
  <c r="AE343" i="9" s="1"/>
  <c r="AF79" i="9"/>
  <c r="AE79" i="9" s="1"/>
  <c r="AF48" i="9"/>
  <c r="AE48" i="9" s="1"/>
  <c r="AF146" i="9"/>
  <c r="AE146" i="9" s="1"/>
  <c r="AF429" i="9"/>
  <c r="AE429" i="9" s="1"/>
  <c r="AF103" i="9"/>
  <c r="AE103" i="9" s="1"/>
  <c r="AF257" i="9"/>
  <c r="AE257" i="9" s="1"/>
  <c r="AF142" i="9"/>
  <c r="AE142" i="9" s="1"/>
  <c r="AF277" i="9"/>
  <c r="AE277" i="9" s="1"/>
  <c r="AF200" i="9"/>
  <c r="AE200" i="9" s="1"/>
  <c r="AF504" i="9"/>
  <c r="AE504" i="9" s="1"/>
  <c r="AF400" i="9"/>
  <c r="AE400" i="9" s="1"/>
  <c r="AF379" i="9"/>
  <c r="AE379" i="9" s="1"/>
  <c r="AF111" i="9"/>
  <c r="AE111" i="9" s="1"/>
  <c r="AF286" i="9"/>
  <c r="AE286" i="9" s="1"/>
  <c r="AF335" i="9"/>
  <c r="AE335" i="9" s="1"/>
  <c r="AF383" i="9"/>
  <c r="AE383" i="9" s="1"/>
  <c r="AF278" i="9"/>
  <c r="AE278" i="9" s="1"/>
  <c r="AF434" i="9"/>
  <c r="AE434" i="9" s="1"/>
  <c r="AF327" i="9"/>
  <c r="AE327" i="9" s="1"/>
  <c r="AF154" i="9"/>
  <c r="AE154" i="9" s="1"/>
  <c r="AF472" i="9"/>
  <c r="AE472" i="9" s="1"/>
  <c r="AF217" i="9"/>
  <c r="AE217" i="9" s="1"/>
  <c r="AF221" i="9"/>
  <c r="AE221" i="9" s="1"/>
  <c r="AF439" i="9"/>
  <c r="AE439" i="9" s="1"/>
  <c r="AF72" i="9"/>
  <c r="AE72" i="9" s="1"/>
  <c r="AF168" i="9"/>
  <c r="AE168" i="9" s="1"/>
  <c r="AF228" i="9"/>
  <c r="AE228" i="9" s="1"/>
  <c r="AF267" i="9"/>
  <c r="AE267" i="9" s="1"/>
  <c r="AF198" i="9"/>
  <c r="AE198" i="9" s="1"/>
  <c r="AG199" i="9" s="1"/>
  <c r="AF471" i="9"/>
  <c r="AE471" i="9" s="1"/>
  <c r="AF161" i="9"/>
  <c r="AE161" i="9" s="1"/>
  <c r="AF27" i="9"/>
  <c r="AE27" i="9" s="1"/>
  <c r="AF128" i="9"/>
  <c r="AE128" i="9" s="1"/>
  <c r="AF150" i="9"/>
  <c r="AE150" i="9" s="1"/>
  <c r="AF354" i="9"/>
  <c r="AE354" i="9" s="1"/>
  <c r="AF118" i="9"/>
  <c r="AE118" i="9" s="1"/>
  <c r="AF98" i="9"/>
  <c r="AE98" i="9" s="1"/>
  <c r="AF119" i="9"/>
  <c r="AE119" i="9" s="1"/>
  <c r="AF162" i="9"/>
  <c r="AE162" i="9" s="1"/>
  <c r="AF433" i="9"/>
  <c r="AE433" i="9" s="1"/>
  <c r="AF358" i="9"/>
  <c r="AE358" i="9" s="1"/>
  <c r="AF329" i="9"/>
  <c r="AE329" i="9" s="1"/>
  <c r="AF110" i="9"/>
  <c r="AE110" i="9" s="1"/>
  <c r="AF213" i="9"/>
  <c r="AE213" i="9" s="1"/>
  <c r="AF449" i="9"/>
  <c r="AE449" i="9" s="1"/>
  <c r="AF287" i="9"/>
  <c r="AE287" i="9" s="1"/>
  <c r="AF188" i="9"/>
  <c r="AE188" i="9" s="1"/>
  <c r="AF215" i="9"/>
  <c r="AE215" i="9" s="1"/>
  <c r="AF84" i="9"/>
  <c r="AE84" i="9" s="1"/>
  <c r="AF319" i="9"/>
  <c r="AE319" i="9" s="1"/>
  <c r="AF499" i="9"/>
  <c r="AE499" i="9" s="1"/>
  <c r="AF151" i="9"/>
  <c r="AE151" i="9" s="1"/>
  <c r="AF396" i="9"/>
  <c r="AE396" i="9" s="1"/>
  <c r="AF490" i="9"/>
  <c r="AE490" i="9" s="1"/>
  <c r="AF243" i="9"/>
  <c r="AE243" i="9" s="1"/>
  <c r="AF232" i="9"/>
  <c r="AE232" i="9" s="1"/>
  <c r="AF432" i="9"/>
  <c r="AE432" i="9" s="1"/>
  <c r="AF116" i="9"/>
  <c r="AE116" i="9" s="1"/>
  <c r="AF322" i="9"/>
  <c r="AE322" i="9" s="1"/>
  <c r="AF49" i="9"/>
  <c r="AE49" i="9" s="1"/>
  <c r="AF87" i="9"/>
  <c r="AE87" i="9" s="1"/>
  <c r="AF218" i="9"/>
  <c r="AE218" i="9" s="1"/>
  <c r="AF304" i="9"/>
  <c r="AE304" i="9" s="1"/>
  <c r="AF470" i="9"/>
  <c r="AE470" i="9" s="1"/>
  <c r="AF453" i="9"/>
  <c r="AE453" i="9" s="1"/>
  <c r="AF281" i="9"/>
  <c r="AE281" i="9" s="1"/>
  <c r="AF166" i="9"/>
  <c r="AE166" i="9" s="1"/>
  <c r="AF96" i="9"/>
  <c r="AE96" i="9" s="1"/>
  <c r="AG96" i="9" s="1"/>
  <c r="AF222" i="9"/>
  <c r="AE222" i="9" s="1"/>
  <c r="AF53" i="9"/>
  <c r="AE53" i="9" s="1"/>
  <c r="AF179" i="9"/>
  <c r="AE179" i="9" s="1"/>
  <c r="AF171" i="9"/>
  <c r="AE171" i="9" s="1"/>
  <c r="AF249" i="9"/>
  <c r="AE249" i="9" s="1"/>
  <c r="AF263" i="9"/>
  <c r="AE263" i="9" s="1"/>
  <c r="AF328" i="9"/>
  <c r="AE328" i="9" s="1"/>
  <c r="AF108" i="9"/>
  <c r="AE108" i="9" s="1"/>
  <c r="AF155" i="9"/>
  <c r="AE155" i="9" s="1"/>
  <c r="AF419" i="9"/>
  <c r="AE419" i="9" s="1"/>
  <c r="AF167" i="9"/>
  <c r="AE167" i="9" s="1"/>
  <c r="AF63" i="9"/>
  <c r="AE63" i="9" s="1"/>
  <c r="AF74" i="9"/>
  <c r="AE74" i="9" s="1"/>
  <c r="AF57" i="9"/>
  <c r="AE57" i="9" s="1"/>
  <c r="AF64" i="9"/>
  <c r="AE64" i="9" s="1"/>
  <c r="AF438" i="9"/>
  <c r="AE438" i="9" s="1"/>
  <c r="AF100" i="9"/>
  <c r="AE100" i="9" s="1"/>
  <c r="AF234" i="9"/>
  <c r="AE234" i="9" s="1"/>
  <c r="AF283" i="9"/>
  <c r="AE283" i="9" s="1"/>
  <c r="AF442" i="9"/>
  <c r="AE442" i="9" s="1"/>
  <c r="AF387" i="9"/>
  <c r="AE387" i="9" s="1"/>
  <c r="AF372" i="9"/>
  <c r="AE372" i="9" s="1"/>
  <c r="AF66" i="9"/>
  <c r="AE66" i="9" s="1"/>
  <c r="AF500" i="9"/>
  <c r="AE500" i="9" s="1"/>
  <c r="AF484" i="9"/>
  <c r="AE484" i="9" s="1"/>
  <c r="AF316" i="9"/>
  <c r="AE316" i="9" s="1"/>
  <c r="AF415" i="9"/>
  <c r="AE415" i="9" s="1"/>
  <c r="AF297" i="9"/>
  <c r="AE297" i="9" s="1"/>
  <c r="AF220" i="9"/>
  <c r="AE220" i="9" s="1"/>
  <c r="AF336" i="9"/>
  <c r="AE336" i="9" s="1"/>
  <c r="AF258" i="9"/>
  <c r="AE258" i="9" s="1"/>
  <c r="AF366" i="9"/>
  <c r="AE366" i="9" s="1"/>
  <c r="AF26" i="9"/>
  <c r="AE26" i="9" s="1"/>
  <c r="AF52" i="9"/>
  <c r="AE52" i="9" s="1"/>
  <c r="AF90" i="9"/>
  <c r="AE90" i="9" s="1"/>
  <c r="AF365" i="9"/>
  <c r="AE365" i="9" s="1"/>
  <c r="AG365" i="9" s="1"/>
  <c r="AF133" i="9"/>
  <c r="AE133" i="9" s="1"/>
  <c r="AF153" i="9"/>
  <c r="AE153" i="9" s="1"/>
  <c r="AF356" i="9"/>
  <c r="AE356" i="9" s="1"/>
  <c r="AF399" i="9"/>
  <c r="AE399" i="9" s="1"/>
  <c r="AF395" i="9"/>
  <c r="AE395" i="9" s="1"/>
  <c r="AF94" i="9"/>
  <c r="AE94" i="9" s="1"/>
  <c r="AF412" i="9"/>
  <c r="AE412" i="9" s="1"/>
  <c r="AG413" i="9" s="1"/>
  <c r="AF458" i="9"/>
  <c r="AE458" i="9" s="1"/>
  <c r="AF268" i="9"/>
  <c r="AE268" i="9" s="1"/>
  <c r="AF284" i="9"/>
  <c r="AE284" i="9" s="1"/>
  <c r="AF479" i="9"/>
  <c r="AE479" i="9" s="1"/>
  <c r="AF251" i="9"/>
  <c r="AE251" i="9" s="1"/>
  <c r="AF265" i="9"/>
  <c r="AE265" i="9" s="1"/>
  <c r="AG265" i="9" s="1"/>
  <c r="AF282" i="9"/>
  <c r="AE282" i="9" s="1"/>
  <c r="AF333" i="9"/>
  <c r="AE333" i="9" s="1"/>
  <c r="AF330" i="9"/>
  <c r="AE330" i="9" s="1"/>
  <c r="AF135" i="9"/>
  <c r="AE135" i="9" s="1"/>
  <c r="AF350" i="9"/>
  <c r="AE350" i="9" s="1"/>
  <c r="AF91" i="9"/>
  <c r="AE91" i="9" s="1"/>
  <c r="AF160" i="9"/>
  <c r="AE160" i="9" s="1"/>
  <c r="AF293" i="9"/>
  <c r="AE293" i="9" s="1"/>
  <c r="AF180" i="9"/>
  <c r="AE180" i="9" s="1"/>
  <c r="AF46" i="9"/>
  <c r="AE46" i="9" s="1"/>
  <c r="AF216" i="9"/>
  <c r="AE216" i="9" s="1"/>
  <c r="AF9" i="9"/>
  <c r="AE9" i="9" s="1"/>
  <c r="AF125" i="9"/>
  <c r="AE125" i="9" s="1"/>
  <c r="AF402" i="9"/>
  <c r="AE402" i="9" s="1"/>
  <c r="AF389" i="9"/>
  <c r="AE389" i="9" s="1"/>
  <c r="AF123" i="9"/>
  <c r="AE123" i="9" s="1"/>
  <c r="AF270" i="9"/>
  <c r="AE270" i="9" s="1"/>
  <c r="AF246" i="9"/>
  <c r="AE246" i="9" s="1"/>
  <c r="AF241" i="9"/>
  <c r="AE241" i="9" s="1"/>
  <c r="AF468" i="9"/>
  <c r="AE468" i="9" s="1"/>
  <c r="AF85" i="9"/>
  <c r="AE85" i="9" s="1"/>
  <c r="AG85" i="9" s="1"/>
  <c r="AF113" i="9"/>
  <c r="AE113" i="9" s="1"/>
  <c r="AF485" i="9"/>
  <c r="AE485" i="9" s="1"/>
  <c r="AG485" i="9" s="1"/>
  <c r="AF205" i="9"/>
  <c r="AE205" i="9" s="1"/>
  <c r="AG205" i="9" s="1"/>
  <c r="AF145" i="9"/>
  <c r="AE145" i="9" s="1"/>
  <c r="AG145" i="9" s="1"/>
  <c r="AF496" i="9"/>
  <c r="AE496" i="9" s="1"/>
  <c r="AF436" i="9"/>
  <c r="AE436" i="9" s="1"/>
  <c r="AF312" i="9"/>
  <c r="AE312" i="9" s="1"/>
  <c r="AF452" i="9"/>
  <c r="AE452" i="9" s="1"/>
  <c r="AF359" i="9"/>
  <c r="AE359" i="9" s="1"/>
  <c r="AF342" i="9"/>
  <c r="AE342" i="9" s="1"/>
  <c r="AF164" i="9"/>
  <c r="AE164" i="9" s="1"/>
  <c r="AF38" i="9"/>
  <c r="AE38" i="9" s="1"/>
  <c r="AF457" i="9"/>
  <c r="AE457" i="9" s="1"/>
  <c r="AF323" i="9"/>
  <c r="AE323" i="9" s="1"/>
  <c r="AF169" i="9"/>
  <c r="AE169" i="9" s="1"/>
  <c r="AF71" i="9"/>
  <c r="AE71" i="9" s="1"/>
  <c r="AF441" i="9"/>
  <c r="AE441" i="9" s="1"/>
  <c r="AF313" i="9"/>
  <c r="AE313" i="9" s="1"/>
  <c r="AF109" i="9"/>
  <c r="AE109" i="9" s="1"/>
  <c r="AF93" i="9"/>
  <c r="AE93" i="9" s="1"/>
  <c r="AF197" i="9"/>
  <c r="AE197" i="9" s="1"/>
  <c r="AF10" i="9"/>
  <c r="AE10" i="9" s="1"/>
  <c r="AF291" i="9"/>
  <c r="AE291" i="9" s="1"/>
  <c r="AF447" i="9"/>
  <c r="AE447" i="9" s="1"/>
  <c r="AF364" i="9"/>
  <c r="AE364" i="9" s="1"/>
  <c r="AF97" i="9"/>
  <c r="AE97" i="9" s="1"/>
  <c r="AF307" i="9"/>
  <c r="AE307" i="9" s="1"/>
  <c r="AF275" i="9"/>
  <c r="AE275" i="9" s="1"/>
  <c r="AF279" i="9"/>
  <c r="AE279" i="9" s="1"/>
  <c r="AF13" i="9"/>
  <c r="AE13" i="9" s="1"/>
  <c r="AF5" i="9"/>
  <c r="AE5" i="9" s="1"/>
  <c r="AG5" i="9" s="1"/>
  <c r="AF182" i="9"/>
  <c r="AE182" i="9" s="1"/>
  <c r="AF127" i="9"/>
  <c r="AE127" i="9" s="1"/>
  <c r="AF23" i="9"/>
  <c r="AE23" i="9" s="1"/>
  <c r="AF132" i="9"/>
  <c r="AE132" i="9" s="1"/>
  <c r="AF357" i="9"/>
  <c r="AE357" i="9" s="1"/>
  <c r="AF355" i="9"/>
  <c r="AE355" i="9" s="1"/>
  <c r="AF351" i="9"/>
  <c r="AE351" i="9" s="1"/>
  <c r="AF105" i="9"/>
  <c r="AE105" i="9" s="1"/>
  <c r="AG105" i="9" s="1"/>
  <c r="AF464" i="9"/>
  <c r="AE464" i="9" s="1"/>
  <c r="AF315" i="9"/>
  <c r="AE315" i="9" s="1"/>
  <c r="AF477" i="9"/>
  <c r="AE477" i="9" s="1"/>
  <c r="AF255" i="9"/>
  <c r="AE255" i="9" s="1"/>
  <c r="AF139" i="9"/>
  <c r="AE139" i="9" s="1"/>
  <c r="AF349" i="9"/>
  <c r="AE349" i="9" s="1"/>
  <c r="AF102" i="9"/>
  <c r="AE102" i="9" s="1"/>
  <c r="AF147" i="9"/>
  <c r="AE147" i="9" s="1"/>
  <c r="AF178" i="9"/>
  <c r="AE178" i="9" s="1"/>
  <c r="AF444" i="9"/>
  <c r="AE444" i="9" s="1"/>
  <c r="AF248" i="9"/>
  <c r="AE248" i="9" s="1"/>
  <c r="AF443" i="9"/>
  <c r="AE443" i="9" s="1"/>
  <c r="AF368" i="9"/>
  <c r="AE368" i="9" s="1"/>
  <c r="AF317" i="9"/>
  <c r="AE317" i="9" s="1"/>
  <c r="AF131" i="9"/>
  <c r="AE131" i="9" s="1"/>
  <c r="AF30" i="9"/>
  <c r="AE30" i="9" s="1"/>
  <c r="AF406" i="9"/>
  <c r="AE406" i="9" s="1"/>
  <c r="AF314" i="9"/>
  <c r="AE314" i="9" s="1"/>
  <c r="AG315" i="9" s="1"/>
  <c r="AF177" i="9"/>
  <c r="AE177" i="9" s="1"/>
  <c r="AF88" i="9"/>
  <c r="AE88" i="9" s="1"/>
  <c r="AG88" i="9" s="1"/>
  <c r="AF39" i="9"/>
  <c r="AE39" i="9" s="1"/>
  <c r="AF489" i="9"/>
  <c r="AE489" i="9" s="1"/>
  <c r="AF409" i="9"/>
  <c r="AE409" i="9" s="1"/>
  <c r="AF353" i="9"/>
  <c r="AE353" i="9" s="1"/>
  <c r="AF165" i="9"/>
  <c r="AE165" i="9" s="1"/>
  <c r="AF195" i="9"/>
  <c r="AE195" i="9" s="1"/>
  <c r="AF185" i="9"/>
  <c r="AE185" i="9" s="1"/>
  <c r="AG185" i="9" s="1"/>
  <c r="AF339" i="9"/>
  <c r="AE339" i="9" s="1"/>
  <c r="AF417" i="9"/>
  <c r="AE417" i="9" s="1"/>
  <c r="AF117" i="9"/>
  <c r="AE117" i="9" s="1"/>
  <c r="AF254" i="9"/>
  <c r="AE254" i="9" s="1"/>
  <c r="AF136" i="9"/>
  <c r="AE136" i="9" s="1"/>
  <c r="AF176" i="9"/>
  <c r="AE176" i="9" s="1"/>
  <c r="AF219" i="9"/>
  <c r="AE219" i="9" s="1"/>
  <c r="AF301" i="9"/>
  <c r="AE301" i="9" s="1"/>
  <c r="AF303" i="9"/>
  <c r="AE303" i="9" s="1"/>
  <c r="AF371" i="9"/>
  <c r="AE371" i="9" s="1"/>
  <c r="AF422" i="9"/>
  <c r="AE422" i="9" s="1"/>
  <c r="AF498" i="9"/>
  <c r="AE498" i="9" s="1"/>
  <c r="AF242" i="9"/>
  <c r="AE242" i="9" s="1"/>
  <c r="AF138" i="9"/>
  <c r="AE138" i="9" s="1"/>
  <c r="AF426" i="9"/>
  <c r="AE426" i="9" s="1"/>
  <c r="AF450" i="9"/>
  <c r="AE450" i="9" s="1"/>
  <c r="AF65" i="9"/>
  <c r="AE65" i="9" s="1"/>
  <c r="AF15" i="9"/>
  <c r="AE15" i="9" s="1"/>
  <c r="AF7" i="9"/>
  <c r="AE7" i="9" s="1"/>
  <c r="AF393" i="9"/>
  <c r="AE393" i="9" s="1"/>
  <c r="AF360" i="9"/>
  <c r="AE360" i="9" s="1"/>
  <c r="AF104" i="9"/>
  <c r="AE104" i="9" s="1"/>
  <c r="AF260" i="9"/>
  <c r="AE260" i="9" s="1"/>
  <c r="AF276" i="9"/>
  <c r="AE276" i="9" s="1"/>
  <c r="AF502" i="9"/>
  <c r="AE502" i="9" s="1"/>
  <c r="AF332" i="9"/>
  <c r="AE332" i="9" s="1"/>
  <c r="AF411" i="9"/>
  <c r="AE411" i="9" s="1"/>
  <c r="AF101" i="9"/>
  <c r="AE101" i="9" s="1"/>
  <c r="AF202" i="9"/>
  <c r="AE202" i="9" s="1"/>
  <c r="AF34" i="9"/>
  <c r="AE34" i="9" s="1"/>
  <c r="AF486" i="9"/>
  <c r="AE486" i="9" s="1"/>
  <c r="AF427" i="9"/>
  <c r="AE427" i="9" s="1"/>
  <c r="AF483" i="9"/>
  <c r="AE483" i="9" s="1"/>
  <c r="AG484" i="9" s="1"/>
  <c r="AF373" i="9"/>
  <c r="AE373" i="9" s="1"/>
  <c r="AF331" i="9"/>
  <c r="AE331" i="9" s="1"/>
  <c r="AF121" i="9"/>
  <c r="AE121" i="9" s="1"/>
  <c r="AF369" i="9"/>
  <c r="AE369" i="9" s="1"/>
  <c r="AF345" i="9"/>
  <c r="AE345" i="9" s="1"/>
  <c r="AF295" i="9"/>
  <c r="AE295" i="9" s="1"/>
  <c r="AF454" i="9"/>
  <c r="AE454" i="9" s="1"/>
  <c r="AF302" i="9"/>
  <c r="AE302" i="9" s="1"/>
  <c r="AF392" i="9"/>
  <c r="AE392" i="9" s="1"/>
  <c r="AF347" i="9"/>
  <c r="AE347" i="9" s="1"/>
  <c r="AF352" i="9"/>
  <c r="AE352" i="9" s="1"/>
  <c r="AF115" i="9"/>
  <c r="AE115" i="9" s="1"/>
  <c r="AF445" i="9"/>
  <c r="AE445" i="9" s="1"/>
  <c r="AG445" i="9" s="1"/>
  <c r="AF210" i="9"/>
  <c r="AE210" i="9" s="1"/>
  <c r="AF495" i="9"/>
  <c r="AE495" i="9" s="1"/>
  <c r="AF163" i="9"/>
  <c r="AE163" i="9" s="1"/>
  <c r="AF70" i="9"/>
  <c r="AE70" i="9" s="1"/>
  <c r="AF296" i="9"/>
  <c r="AE296" i="9" s="1"/>
  <c r="AF288" i="9"/>
  <c r="AE288" i="9" s="1"/>
  <c r="AF60" i="9"/>
  <c r="AE60" i="9" s="1"/>
  <c r="AF423" i="9"/>
  <c r="AE423" i="9" s="1"/>
  <c r="AF482" i="9"/>
  <c r="AE482" i="9" s="1"/>
  <c r="AF33" i="9"/>
  <c r="AE33" i="9" s="1"/>
  <c r="AF42" i="9"/>
  <c r="AE42" i="9" s="1"/>
  <c r="AF384" i="9"/>
  <c r="AE384" i="9" s="1"/>
  <c r="AF78" i="9"/>
  <c r="AE78" i="9" s="1"/>
  <c r="AF175" i="9"/>
  <c r="AE175" i="9" s="1"/>
  <c r="AF456" i="9"/>
  <c r="AE456" i="9" s="1"/>
  <c r="AF478" i="9"/>
  <c r="AE478" i="9" s="1"/>
  <c r="AF193" i="9"/>
  <c r="AE193" i="9" s="1"/>
  <c r="AF459" i="9"/>
  <c r="AE459" i="9" s="1"/>
  <c r="AF363" i="9"/>
  <c r="AE363" i="9" s="1"/>
  <c r="AF404" i="9"/>
  <c r="AE404" i="9" s="1"/>
  <c r="AF223" i="9"/>
  <c r="AE223" i="9" s="1"/>
  <c r="AF47" i="9"/>
  <c r="AE47" i="9" s="1"/>
  <c r="AF58" i="9"/>
  <c r="AE58" i="9" s="1"/>
  <c r="AF374" i="9"/>
  <c r="AE374" i="9" s="1"/>
  <c r="AF51" i="9"/>
  <c r="AE51" i="9" s="1"/>
  <c r="AF174" i="9"/>
  <c r="AE174" i="9" s="1"/>
  <c r="AF8" i="9"/>
  <c r="AE8" i="9" s="1"/>
  <c r="AF59" i="9"/>
  <c r="AE59" i="9" s="1"/>
  <c r="AF274" i="9"/>
  <c r="AE274" i="9" s="1"/>
  <c r="AF271" i="9"/>
  <c r="AE271" i="9" s="1"/>
  <c r="AF191" i="9"/>
  <c r="AE191" i="9" s="1"/>
  <c r="AF420" i="9"/>
  <c r="AE420" i="9" s="1"/>
  <c r="AF41" i="9"/>
  <c r="AE41" i="9" s="1"/>
  <c r="AF81" i="9"/>
  <c r="AE81" i="9" s="1"/>
  <c r="AF410" i="9"/>
  <c r="AE410" i="9" s="1"/>
  <c r="AF172" i="9"/>
  <c r="AE172" i="9" s="1"/>
  <c r="AF378" i="9"/>
  <c r="AE378" i="9" s="1"/>
  <c r="AF11" i="9"/>
  <c r="AE11" i="9" s="1"/>
  <c r="AF385" i="9"/>
  <c r="AE385" i="9" s="1"/>
  <c r="AF431" i="9"/>
  <c r="AE431" i="9" s="1"/>
  <c r="AF261" i="9"/>
  <c r="AE261" i="9" s="1"/>
  <c r="AF238" i="9"/>
  <c r="AE238" i="9" s="1"/>
  <c r="AF259" i="9"/>
  <c r="AE259" i="9" s="1"/>
  <c r="AF305" i="9"/>
  <c r="AE305" i="9" s="1"/>
  <c r="AF440" i="9"/>
  <c r="AE440" i="9" s="1"/>
  <c r="AF137" i="9"/>
  <c r="AE137" i="9" s="1"/>
  <c r="AF92" i="9"/>
  <c r="AE92" i="9" s="1"/>
  <c r="AF77" i="9"/>
  <c r="AE77" i="9" s="1"/>
  <c r="AF31" i="9"/>
  <c r="AE31" i="9" s="1"/>
  <c r="AF428" i="9"/>
  <c r="AE428" i="9" s="1"/>
  <c r="AF157" i="9"/>
  <c r="AE157" i="9" s="1"/>
  <c r="AF488" i="9"/>
  <c r="AE488" i="9" s="1"/>
  <c r="AF501" i="9"/>
  <c r="AE501" i="9" s="1"/>
  <c r="AF326" i="9"/>
  <c r="AE326" i="9" s="1"/>
  <c r="AF448" i="9"/>
  <c r="AE448" i="9" s="1"/>
  <c r="AF148" i="9"/>
  <c r="AE148" i="9" s="1"/>
  <c r="AF173" i="9"/>
  <c r="AE173" i="9" s="1"/>
  <c r="AF362" i="9"/>
  <c r="AE362" i="9" s="1"/>
  <c r="AF86" i="9"/>
  <c r="AE86" i="9" s="1"/>
  <c r="AF309" i="9"/>
  <c r="AE309" i="9" s="1"/>
  <c r="AF306" i="9"/>
  <c r="AE306" i="9" s="1"/>
  <c r="AF181" i="9"/>
  <c r="AE181" i="9" s="1"/>
  <c r="AF156" i="9"/>
  <c r="AE156" i="9" s="1"/>
  <c r="AF245" i="9"/>
  <c r="AE245" i="9" s="1"/>
  <c r="AF159" i="9"/>
  <c r="AE159" i="9" s="1"/>
  <c r="AF256" i="9"/>
  <c r="AE256" i="9" s="1"/>
  <c r="AF334" i="9"/>
  <c r="AE334" i="9" s="1"/>
  <c r="AF253" i="9"/>
  <c r="AE253" i="9" s="1"/>
  <c r="AF461" i="9"/>
  <c r="AE461" i="9" s="1"/>
  <c r="AF240" i="9"/>
  <c r="AE240" i="9" s="1"/>
  <c r="AF18" i="9"/>
  <c r="AE18" i="9" s="1"/>
  <c r="AF361" i="9"/>
  <c r="AE361" i="9" s="1"/>
  <c r="AF252" i="9"/>
  <c r="AE252" i="9" s="1"/>
  <c r="AF308" i="9"/>
  <c r="AE308" i="9" s="1"/>
  <c r="AF237" i="9"/>
  <c r="AE237" i="9" s="1"/>
  <c r="AF494" i="9"/>
  <c r="AE494" i="9" s="1"/>
  <c r="AF233" i="9"/>
  <c r="AE233" i="9" s="1"/>
  <c r="AF325" i="9"/>
  <c r="AE325" i="9" s="1"/>
  <c r="AF497" i="9"/>
  <c r="AE497" i="9" s="1"/>
  <c r="AF414" i="9"/>
  <c r="AE414" i="9" s="1"/>
  <c r="AF451" i="9"/>
  <c r="AE451" i="9" s="1"/>
  <c r="AF475" i="9"/>
  <c r="AE475" i="9" s="1"/>
  <c r="AF122" i="9"/>
  <c r="AE122" i="9" s="1"/>
  <c r="AF337" i="9"/>
  <c r="AE337" i="9" s="1"/>
  <c r="AF68" i="9"/>
  <c r="AE68" i="9" s="1"/>
  <c r="AF126" i="9"/>
  <c r="AE126" i="9" s="1"/>
  <c r="AF418" i="9"/>
  <c r="AE418" i="9" s="1"/>
  <c r="AF230" i="9"/>
  <c r="AE230" i="9" s="1"/>
  <c r="AF460" i="9"/>
  <c r="AE460" i="9" s="1"/>
  <c r="AF425" i="9"/>
  <c r="AE425" i="9" s="1"/>
  <c r="AF377" i="9"/>
  <c r="AE377" i="9" s="1"/>
  <c r="AF416" i="9"/>
  <c r="AE416" i="9" s="1"/>
  <c r="AF201" i="9"/>
  <c r="AE201" i="9" s="1"/>
  <c r="AF43" i="9"/>
  <c r="AE43" i="9" s="1"/>
  <c r="AF55" i="9"/>
  <c r="AE55" i="9" s="1"/>
  <c r="AF348" i="9"/>
  <c r="AE348" i="9" s="1"/>
  <c r="AF424" i="9"/>
  <c r="AE424" i="9" s="1"/>
  <c r="AF405" i="9"/>
  <c r="AE405" i="9" s="1"/>
  <c r="AF466" i="9"/>
  <c r="AE466" i="9" s="1"/>
  <c r="AF465" i="9"/>
  <c r="AE465" i="9" s="1"/>
  <c r="AF189" i="9"/>
  <c r="AE189" i="9" s="1"/>
  <c r="AF69" i="9"/>
  <c r="AE69" i="9" s="1"/>
  <c r="AF62" i="9"/>
  <c r="AE62" i="9" s="1"/>
  <c r="AF225" i="9"/>
  <c r="AE225" i="9" s="1"/>
  <c r="AF492" i="9"/>
  <c r="AE492" i="9" s="1"/>
  <c r="AF435" i="9"/>
  <c r="AE435" i="9" s="1"/>
  <c r="AF83" i="9"/>
  <c r="AE83" i="9" s="1"/>
  <c r="AF266" i="9"/>
  <c r="AE266" i="9" s="1"/>
  <c r="AF247" i="9"/>
  <c r="AE247" i="9" s="1"/>
  <c r="AF380" i="9"/>
  <c r="AE380" i="9" s="1"/>
  <c r="AF21" i="9"/>
  <c r="AE21" i="9" s="1"/>
  <c r="AF273" i="9"/>
  <c r="AE273" i="9" s="1"/>
  <c r="AF141" i="9"/>
  <c r="AE141" i="9" s="1"/>
  <c r="AF89" i="9"/>
  <c r="AE89" i="9" s="1"/>
  <c r="AF407" i="9"/>
  <c r="AE407" i="9" s="1"/>
  <c r="AF106" i="9"/>
  <c r="AE106" i="9" s="1"/>
  <c r="AF40" i="9"/>
  <c r="AE40" i="9" s="1"/>
  <c r="AF75" i="9"/>
  <c r="AE75" i="9" s="1"/>
  <c r="AF386" i="9"/>
  <c r="AE386" i="9" s="1"/>
  <c r="AF24" i="9"/>
  <c r="AE24" i="9" s="1"/>
  <c r="AF16" i="9"/>
  <c r="AE16" i="9" s="1"/>
  <c r="AF320" i="9"/>
  <c r="AE320" i="9" s="1"/>
  <c r="AF192" i="9"/>
  <c r="AE192" i="9" s="1"/>
  <c r="AF367" i="9"/>
  <c r="AE367" i="9" s="1"/>
  <c r="AF321" i="9"/>
  <c r="AE321" i="9" s="1"/>
  <c r="AF17" i="9"/>
  <c r="AE17" i="9" s="1"/>
  <c r="AF250" i="9"/>
  <c r="AE250" i="9" s="1"/>
  <c r="AF82" i="9"/>
  <c r="AE82" i="9" s="1"/>
  <c r="AF437" i="9"/>
  <c r="AE437" i="9" s="1"/>
  <c r="AF19" i="9"/>
  <c r="AE19" i="9" s="1"/>
  <c r="AG236" i="9" l="1"/>
  <c r="AG102" i="9"/>
  <c r="AG94" i="9"/>
  <c r="AG398" i="9"/>
  <c r="AG53" i="9"/>
  <c r="AG351" i="9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 s="1"/>
  <c r="AG8" i="9" s="1"/>
  <c r="AG9" i="9" s="1"/>
  <c r="AG10" i="9" s="1"/>
  <c r="AG11" i="9" s="1"/>
  <c r="AG12" i="9" s="1"/>
  <c r="AG13" i="9" s="1"/>
  <c r="AG14" i="9" s="1"/>
  <c r="AG15" i="9" s="1"/>
  <c r="AG16" i="9" s="1"/>
  <c r="AG17" i="9" s="1"/>
  <c r="AG18" i="9" s="1"/>
  <c r="AG19" i="9" s="1"/>
  <c r="AG20" i="9" s="1"/>
  <c r="AG21" i="9" s="1"/>
  <c r="AG22" i="9" s="1"/>
  <c r="AG23" i="9" s="1"/>
  <c r="AG24" i="9" s="1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<sst xmlns="http://schemas.openxmlformats.org/spreadsheetml/2006/main" count="5515" uniqueCount="1466">
  <si>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</si>
  <si>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</si>
  <si>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</si>
  <si>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</si>
  <si>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</si>
  <si>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</si>
  <si>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</si>
  <si>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</si>
  <si>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</si>
  <si>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</si>
  <si>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</si>
  <si>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</si>
  <si>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</si>
  <si>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</si>
  <si>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</si>
  <si>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</si>
  <si>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</si>
  <si>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</si>
  <si>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</si>
  <si>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</si>
  <si>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</si>
  <si>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</si>
  <si>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</si>
  <si>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</si>
  <si>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</si>
  <si>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</si>
  <si>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</si>
  <si>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</si>
  <si>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</si>
  <si>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</si>
  <si>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</si>
  <si>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</si>
  <si>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</si>
  <si>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</si>
  <si>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</si>
  <si>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</si>
  <si>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</si>
  <si>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</si>
  <si>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</si>
  <si>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</si>
  <si>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</si>
  <si>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</si>
  <si>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</si>
  <si>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</si>
  <si>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</si>
  <si>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</si>
  <si>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</si>
  <si>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</si>
  <si>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</si>
  <si>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</si>
  <si>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</si>
  <si>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</si>
  <si>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</si>
  <si>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</si>
  <si>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</si>
  <si>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</si>
  <si>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</si>
  <si>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</si>
  <si>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</si>
  <si>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</si>
  <si>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</si>
  <si>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</si>
  <si>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</si>
  <si>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</si>
  <si>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</si>
  <si>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</si>
  <si>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</si>
  <si>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</si>
  <si>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</si>
  <si>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</si>
  <si>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</si>
  <si>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</si>
  <si>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</si>
  <si>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</si>
  <si>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</si>
  <si>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</si>
  <si>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</si>
  <si>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</si>
  <si>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</si>
  <si>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</si>
  <si>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</si>
  <si>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</si>
  <si>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</si>
  <si>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</si>
  <si>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</si>
  <si>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</si>
  <si>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</si>
  <si>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</si>
  <si>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</si>
  <si>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</si>
  <si>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</si>
  <si>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</si>
  <si>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</si>
  <si>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</si>
  <si>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</si>
  <si>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</si>
  <si>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</si>
  <si>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</si>
  <si>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</si>
  <si>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</si>
  <si>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</si>
  <si>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</si>
  <si>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</si>
  <si>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</si>
  <si>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</si>
  <si>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</si>
  <si>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</si>
  <si>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</si>
  <si>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</si>
  <si>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</si>
  <si>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</si>
  <si>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</si>
  <si>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</si>
  <si>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</si>
  <si>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</si>
  <si>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</si>
  <si>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</si>
  <si>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</si>
  <si>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</si>
  <si>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</si>
  <si>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</si>
  <si>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</si>
  <si>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</si>
  <si>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</si>
  <si>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</si>
  <si>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</si>
  <si>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</si>
  <si>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</si>
  <si>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</si>
  <si>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</si>
  <si>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</si>
  <si>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</si>
  <si>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</si>
  <si>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</si>
  <si>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</si>
  <si>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</si>
  <si>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</si>
  <si>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</si>
  <si>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</si>
  <si>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</si>
  <si>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</si>
  <si>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</si>
  <si>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</si>
  <si>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</si>
  <si>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</si>
  <si>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</si>
  <si>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</si>
  <si>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</si>
  <si>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</si>
  <si>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</si>
  <si>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</si>
  <si>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</si>
  <si>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</si>
  <si>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</si>
  <si>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</si>
  <si>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</si>
  <si>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</si>
  <si>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</si>
  <si>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</si>
  <si>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</si>
  <si>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</si>
  <si>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</si>
  <si>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</si>
  <si>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</si>
  <si>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</si>
  <si>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</si>
  <si>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</si>
  <si>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</si>
  <si>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</si>
  <si>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</si>
  <si>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</si>
  <si>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</si>
  <si>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</si>
  <si>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</si>
  <si>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</si>
  <si>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</si>
  <si>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</si>
  <si>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</si>
  <si>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</si>
  <si>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</si>
  <si>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</si>
  <si>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</si>
  <si>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</si>
  <si>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</si>
  <si>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</si>
  <si>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</si>
  <si>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</si>
  <si>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</si>
  <si>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</si>
  <si>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</si>
  <si>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</si>
  <si>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</si>
  <si>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</si>
  <si>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</si>
  <si>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</si>
  <si>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</si>
  <si>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</si>
  <si>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</si>
  <si>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</si>
  <si>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</si>
  <si>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</si>
  <si>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</si>
  <si>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</si>
  <si>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</si>
  <si>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</si>
  <si>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</si>
  <si>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</si>
  <si>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</si>
  <si>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</si>
  <si>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</si>
  <si>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</si>
  <si>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</si>
  <si>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</si>
  <si>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</si>
  <si>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</si>
  <si>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</si>
  <si>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</si>
  <si>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</si>
  <si>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</si>
  <si>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</si>
  <si>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</si>
  <si>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</si>
  <si>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</si>
  <si>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</si>
  <si>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</si>
  <si>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</si>
  <si>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</si>
  <si>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</si>
  <si>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</si>
  <si>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</si>
  <si>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</si>
  <si>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</si>
  <si>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</si>
  <si>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</si>
  <si>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</si>
  <si>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</si>
  <si>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</si>
  <si>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</si>
  <si>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</si>
  <si>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</si>
  <si>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</si>
  <si>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</si>
  <si>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</si>
  <si>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</si>
  <si>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</si>
  <si>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</si>
  <si>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</si>
  <si>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</si>
  <si>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</si>
  <si>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</si>
  <si>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</si>
  <si>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</si>
  <si>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</si>
  <si>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</si>
  <si>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</si>
  <si>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</si>
  <si>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</si>
  <si>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</si>
  <si>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</si>
  <si>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</si>
  <si>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</si>
  <si>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</si>
  <si>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</si>
  <si>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</si>
  <si>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</si>
  <si>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</si>
  <si>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</si>
  <si>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</si>
  <si>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</si>
  <si>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</si>
  <si>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</si>
  <si>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</si>
  <si>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</si>
  <si>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</si>
  <si>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</si>
  <si>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</si>
  <si>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</si>
  <si>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</si>
  <si>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</si>
  <si>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</si>
  <si>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</si>
  <si>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</si>
  <si>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</si>
  <si>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</si>
  <si>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</si>
  <si>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</si>
  <si>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</si>
  <si>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</si>
  <si>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</si>
  <si>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</si>
  <si>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</si>
  <si>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</si>
  <si>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</si>
  <si>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</si>
  <si>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</si>
  <si>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</si>
  <si>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</si>
  <si>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</si>
  <si>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</si>
  <si>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</si>
  <si>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</si>
  <si>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</si>
  <si>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</si>
  <si>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</si>
  <si>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</si>
  <si>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</si>
  <si>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</si>
  <si>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</si>
  <si>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</si>
  <si>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</si>
  <si>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</si>
  <si>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</si>
  <si>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</si>
  <si>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</si>
  <si>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</si>
  <si>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</si>
  <si>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</si>
  <si>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</si>
  <si>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</si>
  <si>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</si>
  <si>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</si>
  <si>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</si>
  <si>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</si>
  <si>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</si>
  <si>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</si>
  <si>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</si>
  <si>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</si>
  <si>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</si>
  <si>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</si>
  <si>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</si>
  <si>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</si>
  <si>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</si>
  <si>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</si>
  <si>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</si>
  <si>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</si>
  <si>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</si>
  <si>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</si>
  <si>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</si>
  <si>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</si>
  <si>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</si>
  <si>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</si>
  <si>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</si>
  <si>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</si>
  <si>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</si>
  <si>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</si>
  <si>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</si>
  <si>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</si>
  <si>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</si>
  <si>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</si>
  <si>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</si>
  <si>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</si>
  <si>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</si>
  <si>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</si>
  <si>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</si>
  <si>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</si>
  <si>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</si>
  <si>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</si>
  <si>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</si>
  <si>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</si>
  <si>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</si>
  <si>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</si>
  <si>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</si>
  <si>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</si>
  <si>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</si>
  <si>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</si>
  <si>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</si>
  <si>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</si>
  <si>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</si>
  <si>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</si>
  <si>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</si>
  <si>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</si>
  <si>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</si>
  <si>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</si>
  <si>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</si>
  <si>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</si>
  <si>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</si>
  <si>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</si>
  <si>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</si>
  <si>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</si>
  <si>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</si>
  <si>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</si>
  <si>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</si>
  <si>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</si>
  <si>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</si>
  <si>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</si>
  <si>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</si>
  <si>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</si>
  <si>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</si>
  <si>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</si>
  <si>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</si>
  <si>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</si>
  <si>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</si>
  <si>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</si>
  <si>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</si>
  <si>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</si>
  <si>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</si>
  <si>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</si>
  <si>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</si>
  <si>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</si>
  <si>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</si>
  <si>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</si>
  <si>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</si>
  <si>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</si>
  <si>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</si>
  <si>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</si>
  <si>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</si>
  <si>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</si>
  <si>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</si>
  <si>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</si>
  <si>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</si>
  <si>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</si>
  <si>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</si>
  <si>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</si>
  <si>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</si>
  <si>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</si>
  <si>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</si>
  <si>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</si>
  <si>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</si>
  <si>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</si>
  <si>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</si>
  <si>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</si>
  <si>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</si>
  <si>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</si>
  <si>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</si>
  <si>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</si>
  <si>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</si>
  <si>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</si>
  <si>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</si>
  <si>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</si>
  <si>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</si>
  <si>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</si>
  <si>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</si>
  <si>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</si>
  <si>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</si>
  <si>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</si>
  <si>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</si>
  <si>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</si>
  <si>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</si>
  <si>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</si>
  <si>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</si>
  <si>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</si>
  <si>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</si>
  <si>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</si>
  <si>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</si>
  <si>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</si>
  <si>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</si>
  <si>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</si>
  <si>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</si>
  <si>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</si>
  <si>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</si>
  <si>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</si>
  <si>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</si>
  <si>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</si>
  <si>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</si>
  <si>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</si>
  <si>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</si>
  <si>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</si>
  <si>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</si>
  <si>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</si>
  <si>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</si>
  <si>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</si>
  <si>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</si>
  <si>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</si>
  <si>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</si>
  <si>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</si>
  <si>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</si>
  <si>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</si>
  <si>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</si>
  <si>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</si>
  <si>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</si>
  <si>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</si>
  <si>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</si>
  <si>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</si>
  <si>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</si>
  <si>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</si>
  <si>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</si>
  <si>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</si>
  <si>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</si>
  <si>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</si>
  <si>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</si>
  <si>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</si>
  <si>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</si>
  <si>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</si>
  <si>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</si>
  <si>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</si>
  <si>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</si>
  <si>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</si>
  <si>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</si>
  <si>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</si>
  <si>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</si>
  <si>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</si>
  <si>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</si>
  <si>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</si>
  <si>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</si>
  <si>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</si>
  <si>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</si>
  <si>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</si>
  <si>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</si>
  <si>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</si>
  <si>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</si>
  <si>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</si>
  <si>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</si>
  <si>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</si>
  <si>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</si>
  <si>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</si>
  <si>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</si>
  <si>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</si>
  <si>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</si>
  <si>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</si>
  <si>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</si>
  <si>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</si>
  <si>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</si>
  <si>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</si>
  <si>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</si>
  <si>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</si>
  <si>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</si>
  <si>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</si>
  <si>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</si>
  <si>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</si>
  <si>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</si>
  <si>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</si>
  <si>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</si>
  <si>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</si>
  <si>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</si>
  <si>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</si>
  <si>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</si>
  <si>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</si>
  <si>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</si>
  <si>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</si>
  <si>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</si>
  <si>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</si>
  <si>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</si>
  <si>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</si>
  <si>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</si>
  <si>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</si>
  <si>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</si>
  <si>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</si>
  <si>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</si>
  <si>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</si>
  <si>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</si>
  <si>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</si>
  <si>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</si>
  <si>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</si>
  <si>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</si>
  <si>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</si>
  <si>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</si>
  <si>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</si>
  <si>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</si>
  <si>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</si>
  <si>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</si>
  <si>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</si>
  <si>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</si>
  <si>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</si>
  <si>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</si>
  <si>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</si>
  <si>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</si>
  <si>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</si>
  <si>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</si>
  <si>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</si>
  <si>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</si>
  <si>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</si>
  <si>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</si>
  <si>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</si>
  <si>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</si>
  <si>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</si>
  <si>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</si>
  <si>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</si>
  <si>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</si>
  <si>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</si>
  <si>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</si>
  <si>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</si>
  <si>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</si>
  <si>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</si>
  <si>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</si>
  <si>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</si>
  <si>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</si>
  <si>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</si>
  <si>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</si>
  <si>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</si>
  <si>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</si>
  <si>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</si>
  <si>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</si>
  <si>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</si>
  <si>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</si>
  <si>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</si>
  <si>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</si>
  <si>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</si>
  <si>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</si>
  <si>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</si>
  <si>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</si>
  <si>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</si>
  <si>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</si>
  <si>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</si>
  <si>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</si>
  <si>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</si>
  <si>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</si>
  <si>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</si>
  <si>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</si>
  <si>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</si>
  <si>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</si>
  <si>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</si>
  <si>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</si>
  <si>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</si>
  <si>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</si>
  <si>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</si>
  <si>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</si>
  <si>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</si>
  <si>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</si>
  <si>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</si>
  <si>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</si>
  <si>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</si>
  <si>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</si>
  <si>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</si>
  <si>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</si>
  <si>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</si>
  <si>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</si>
  <si>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</si>
  <si>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</si>
  <si>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</si>
  <si>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</si>
  <si>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</si>
  <si>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</si>
  <si>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</si>
  <si>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</si>
  <si>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</si>
  <si>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</si>
  <si>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</si>
  <si>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</si>
  <si>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</si>
  <si>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</si>
  <si>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</si>
  <si>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</si>
  <si>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</si>
  <si>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</si>
  <si>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</si>
  <si>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</si>
  <si>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</si>
  <si>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</si>
  <si>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</si>
  <si>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</si>
  <si>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</si>
  <si>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</si>
  <si>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</si>
  <si>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</si>
  <si>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</si>
  <si>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</si>
  <si>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</si>
  <si>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</si>
  <si>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</si>
  <si>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</si>
  <si>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</si>
  <si>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</si>
  <si>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</si>
  <si>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</si>
  <si>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</si>
  <si>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</si>
  <si>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</si>
  <si>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</si>
  <si>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</si>
  <si>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</si>
  <si>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</si>
  <si>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</si>
  <si>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</si>
  <si>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</si>
  <si>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</si>
  <si>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</si>
  <si>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</si>
  <si>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</si>
  <si>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</si>
  <si>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</si>
  <si>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</si>
  <si>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</si>
  <si>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</si>
  <si>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</si>
  <si>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</si>
  <si>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</si>
  <si>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</si>
  <si>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</si>
  <si>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</si>
  <si>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</si>
  <si>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</si>
  <si>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</si>
  <si>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</si>
  <si>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</si>
  <si>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</si>
  <si>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</si>
  <si>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</si>
  <si>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</si>
  <si>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</si>
  <si>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</si>
  <si>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</si>
  <si>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</si>
  <si>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</si>
  <si>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</si>
  <si>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</si>
  <si>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</si>
  <si>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</si>
  <si>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</si>
  <si>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</si>
  <si>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</si>
  <si>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</si>
  <si>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</si>
  <si>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</si>
  <si>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</si>
  <si>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</si>
  <si>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</si>
  <si>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</si>
  <si>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</si>
  <si>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</si>
  <si>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</si>
  <si>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</si>
  <si>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</si>
  <si>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</si>
  <si>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</si>
  <si>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</si>
  <si>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</si>
  <si>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</si>
  <si>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</si>
  <si>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</si>
  <si>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</si>
  <si>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</si>
  <si>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</si>
  <si>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</si>
  <si>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</si>
  <si>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</si>
  <si>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</si>
  <si>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</si>
  <si>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</si>
  <si>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</si>
  <si>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</si>
  <si>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</si>
  <si>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</si>
  <si>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</si>
  <si>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</si>
  <si>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</si>
  <si>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</si>
  <si>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</si>
  <si>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</si>
  <si>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</si>
  <si>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</si>
  <si>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</si>
  <si>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</si>
  <si>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</si>
  <si>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</si>
  <si>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</si>
  <si>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</si>
  <si>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</si>
  <si>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</si>
  <si>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</si>
  <si>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</si>
  <si>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</si>
  <si>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</si>
  <si>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</si>
  <si>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</si>
  <si>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</si>
  <si>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</si>
  <si>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</si>
  <si>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</si>
  <si>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</si>
  <si>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</si>
  <si>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</si>
  <si>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</si>
  <si>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</si>
  <si>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</si>
  <si>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</si>
  <si>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</si>
  <si>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</si>
  <si>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</si>
  <si>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</si>
  <si>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</si>
  <si>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</si>
  <si>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</si>
  <si>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</si>
  <si>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</si>
  <si>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</si>
  <si>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</si>
  <si>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</si>
  <si>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</si>
  <si>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</si>
  <si>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</si>
  <si>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</si>
  <si>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</si>
  <si>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</si>
  <si>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</si>
  <si>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</si>
  <si>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</si>
  <si>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</si>
  <si>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</si>
  <si>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</si>
  <si>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</si>
  <si>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</si>
  <si>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</si>
  <si>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</si>
  <si>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</si>
  <si>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</si>
  <si>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</si>
  <si>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</si>
  <si>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</si>
  <si>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</si>
  <si>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</si>
  <si>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</si>
  <si>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</si>
  <si>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</si>
  <si>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</si>
  <si>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</si>
  <si>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</si>
  <si>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</si>
  <si>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</si>
  <si>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</si>
  <si>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</si>
  <si>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</si>
  <si>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</si>
  <si>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</si>
  <si>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</si>
  <si>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</si>
  <si>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</si>
  <si>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</si>
  <si>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</si>
  <si>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</si>
  <si>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</si>
  <si>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</si>
  <si>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</si>
  <si>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</si>
  <si>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</si>
  <si>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</si>
  <si>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</si>
  <si>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</si>
  <si>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</si>
  <si>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</si>
  <si>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</si>
  <si>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</si>
  <si>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</si>
  <si>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</si>
  <si>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</si>
  <si>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</si>
  <si>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</si>
  <si>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</si>
  <si>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</si>
  <si>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</si>
  <si>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</si>
  <si>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</si>
  <si>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</si>
  <si>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</si>
  <si>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</si>
  <si>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</si>
  <si>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</si>
  <si>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</si>
  <si>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</si>
  <si>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</si>
  <si>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</si>
  <si>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</si>
  <si>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</si>
  <si>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</si>
  <si>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</si>
  <si>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</si>
  <si>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</si>
  <si>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</si>
  <si>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</si>
  <si>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</si>
  <si>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</si>
  <si>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</si>
  <si>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</si>
  <si>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</si>
  <si>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</si>
  <si>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</si>
  <si>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</si>
  <si>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</si>
  <si>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</si>
  <si>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</si>
  <si>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</si>
  <si>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</si>
  <si>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</si>
  <si>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</si>
  <si>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</si>
  <si>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</si>
  <si>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</si>
  <si>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</si>
  <si>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</si>
  <si>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</si>
  <si>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</si>
  <si>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</si>
  <si>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</si>
  <si>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</si>
  <si>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</si>
  <si>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</si>
  <si>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</si>
  <si>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</si>
  <si>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</si>
  <si>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</si>
  <si>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</si>
  <si>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</si>
  <si>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</si>
  <si>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</si>
  <si>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</si>
  <si>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</si>
  <si>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</si>
  <si>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</si>
  <si>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</si>
  <si>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</si>
  <si>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</si>
  <si>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</si>
  <si>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</si>
  <si>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</si>
  <si>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</si>
  <si>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</si>
  <si>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</si>
  <si>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</si>
  <si>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</si>
  <si>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</si>
  <si>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</si>
  <si>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</si>
  <si>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</si>
  <si>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</si>
  <si>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</si>
  <si>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</si>
  <si>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</si>
  <si>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</si>
  <si>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</si>
  <si>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</si>
  <si>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</si>
  <si>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</si>
  <si>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</si>
  <si>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</si>
  <si>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</si>
  <si>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</si>
  <si>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</si>
  <si>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</si>
  <si>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</si>
  <si>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</si>
  <si>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</si>
  <si>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</si>
  <si>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</si>
  <si>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</si>
  <si>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</si>
  <si>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</si>
  <si>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</si>
  <si>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</si>
  <si>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</si>
  <si>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</si>
  <si>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</si>
  <si>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</si>
  <si>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</si>
  <si>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</si>
  <si>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</si>
  <si>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</si>
  <si>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</si>
  <si>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</si>
  <si>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</si>
  <si>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</si>
  <si>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</si>
  <si>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</si>
  <si>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</si>
  <si>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</si>
  <si>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</si>
  <si>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</si>
  <si>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</si>
  <si>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</si>
  <si>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</si>
  <si>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</si>
  <si>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</si>
  <si>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</si>
  <si>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</si>
  <si>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</si>
  <si>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</si>
  <si>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</si>
  <si>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</si>
  <si>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</si>
  <si>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</si>
  <si>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</si>
  <si>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</si>
  <si>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</si>
  <si>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</si>
  <si>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</si>
  <si>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</si>
  <si>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</si>
  <si>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</si>
  <si>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</si>
  <si>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</si>
  <si>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</si>
  <si>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</si>
  <si>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</si>
  <si>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</si>
  <si>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</si>
  <si>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</si>
  <si>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</si>
  <si>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</si>
  <si>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</si>
  <si>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</si>
  <si>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</si>
  <si>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</si>
  <si>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</si>
  <si>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</si>
  <si>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</si>
  <si>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</si>
  <si>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</si>
  <si>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</si>
  <si>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</si>
  <si>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</si>
  <si>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</si>
  <si>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</si>
  <si>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</si>
  <si>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</si>
  <si>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</si>
  <si>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</si>
  <si>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</si>
  <si>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</si>
  <si>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</si>
  <si>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</si>
  <si>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</si>
  <si>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</si>
  <si>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</si>
  <si>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</si>
  <si>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</si>
  <si>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</si>
  <si>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</si>
  <si>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</si>
  <si>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</si>
  <si>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</si>
  <si>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</si>
  <si>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</si>
  <si>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</si>
  <si>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</si>
  <si>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</si>
  <si>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</si>
  <si>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</si>
  <si>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</si>
  <si>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</si>
  <si>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</si>
  <si>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</si>
  <si>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</si>
  <si>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</si>
  <si>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</si>
  <si>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</si>
  <si>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</si>
  <si>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</si>
  <si>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</si>
  <si>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</si>
  <si>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</si>
  <si>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多日滴水未降干旱，农作物的生长变得越来越困难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</si>
  <si>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</si>
  <si>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</si>
  <si>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</si>
  <si>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</si>
  <si>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</si>
  <si>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</si>
  <si>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</si>
  <si>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</si>
  <si>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</si>
  <si>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</si>
  <si>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</si>
  <si>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</si>
  <si>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</si>
  <si>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</si>
  <si>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</si>
  <si>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</si>
  <si>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</si>
  <si>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</si>
  <si>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</si>
  <si>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</si>
  <si>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</si>
  <si>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</si>
  <si>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</si>
  <si>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</si>
  <si>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</si>
  <si>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</si>
  <si>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</si>
  <si>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</si>
  <si>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</si>
  <si>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</si>
  <si>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</si>
  <si>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</si>
  <si>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</si>
  <si>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</si>
  <si>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</si>
  <si>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</si>
  <si>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</si>
  <si>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</si>
  <si>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</si>
  <si>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</si>
  <si>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</si>
  <si>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</si>
  <si>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</si>
  <si>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</si>
  <si>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</si>
  <si>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</si>
  <si>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</si>
  <si>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</si>
  <si>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</si>
  <si>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</si>
  <si>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</si>
  <si>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</si>
  <si>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</si>
  <si>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</si>
  <si>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</si>
  <si>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</si>
  <si>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</si>
  <si>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</si>
  <si>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</si>
  <si>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</si>
  <si>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</si>
  <si>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</si>
  <si>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</si>
  <si>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</si>
  <si>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</si>
  <si>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</si>
  <si>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</si>
  <si>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</si>
  <si>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</si>
  <si>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</si>
  <si>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</si>
  <si>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</si>
  <si>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</si>
  <si>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</si>
  <si>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</si>
  <si>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</si>
  <si>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</si>
  <si>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</si>
  <si>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</si>
  <si>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</si>
  <si>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</si>
  <si>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</si>
  <si>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</si>
  <si>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</si>
  <si>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</si>
  <si>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</si>
  <si>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</si>
  <si>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</si>
  <si>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</si>
  <si>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</si>
  <si>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</si>
  <si>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</si>
  <si>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</si>
  <si>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</si>
  <si>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</si>
  <si>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</si>
  <si>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</si>
  <si>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</si>
  <si>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</si>
  <si>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</si>
  <si>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</si>
  <si>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</si>
  <si>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</si>
  <si>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</si>
  <si>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</si>
  <si>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</si>
  <si>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</si>
  <si>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</si>
  <si>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</si>
  <si>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</si>
  <si>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</si>
  <si>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</si>
  <si>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</si>
  <si>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</si>
  <si>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</si>
  <si>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</si>
  <si>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</si>
  <si>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</si>
  <si>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</si>
  <si>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</si>
  <si>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</si>
  <si>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</si>
  <si>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</si>
  <si>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</si>
  <si>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</si>
  <si>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</si>
  <si>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</si>
  <si>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</si>
  <si>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</si>
  <si>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</si>
  <si>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</si>
  <si>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</si>
  <si>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</si>
  <si>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</si>
  <si>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</si>
  <si>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</si>
  <si>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</si>
  <si>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</si>
  <si>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</si>
  <si>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</si>
  <si>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</si>
  <si>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</si>
  <si>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</si>
  <si>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</si>
  <si>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</si>
  <si>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</si>
  <si>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</si>
  <si>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</si>
  <si>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</si>
  <si>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</si>
  <si>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</si>
  <si>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</si>
  <si>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</si>
  <si>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</si>
  <si>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</si>
  <si>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</si>
  <si>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</si>
  <si>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</si>
  <si>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</si>
  <si>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</si>
  <si>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</si>
  <si>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</si>
  <si>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</si>
  <si>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</si>
  <si>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</si>
  <si>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</si>
  <si>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</si>
  <si>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</si>
  <si>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</si>
  <si>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</si>
  <si>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</si>
  <si>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</si>
  <si>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</si>
  <si>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</si>
  <si>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</si>
  <si>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</si>
  <si>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</si>
  <si>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</si>
  <si>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</si>
  <si>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</si>
  <si>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</si>
  <si>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</si>
  <si>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</si>
  <si>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</si>
  <si>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</si>
  <si>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</si>
  <si>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</si>
  <si>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</si>
  <si>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</si>
  <si>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</si>
  <si>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</si>
  <si>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</si>
  <si>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</si>
  <si>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</si>
  <si>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</si>
  <si>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</si>
  <si>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</si>
  <si>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</si>
  <si>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</si>
  <si>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</si>
  <si>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</si>
  <si>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</si>
  <si>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</si>
  <si>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</si>
  <si>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</si>
  <si>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</si>
  <si>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</si>
  <si>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</si>
  <si>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</si>
  <si>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</si>
  <si>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</si>
  <si>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</si>
  <si>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</si>
  <si>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</si>
  <si>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</si>
  <si>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</si>
  <si>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</si>
  <si>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</si>
  <si>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</si>
  <si>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</si>
  <si>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</si>
  <si>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</si>
  <si>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</si>
  <si>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</si>
  <si>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</si>
  <si>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</si>
  <si>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</si>
  <si>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</si>
  <si>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</si>
  <si>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</si>
  <si>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</si>
  <si>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</si>
  <si>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</si>
  <si>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</si>
  <si>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</si>
  <si>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</si>
  <si>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</si>
  <si>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</si>
  <si>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</si>
  <si>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</si>
  <si>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</si>
  <si>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</si>
  <si>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</si>
  <si>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</si>
  <si>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</si>
  <si>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</si>
  <si>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</si>
  <si>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</si>
  <si>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</si>
  <si>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</si>
  <si>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</si>
  <si>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</si>
  <si>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</si>
  <si>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</si>
  <si>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</si>
  <si>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</si>
  <si>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</si>
  <si>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</si>
  <si>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</si>
  <si>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</si>
  <si>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</si>
  <si>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</si>
  <si>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</si>
  <si>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</si>
  <si>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</si>
  <si>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</si>
  <si>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</si>
  <si>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</si>
  <si>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</si>
  <si>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</si>
  <si>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</si>
  <si>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</si>
  <si>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</si>
  <si>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</si>
  <si>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</si>
  <si>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</si>
  <si>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</si>
  <si>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</si>
  <si>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</si>
  <si>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</si>
  <si>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</si>
  <si>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</si>
  <si>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</si>
  <si>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</si>
  <si>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</si>
  <si>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</si>
  <si>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</si>
  <si>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</si>
  <si>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</si>
  <si>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</si>
  <si>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</si>
  <si>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</si>
  <si>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</si>
  <si>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</si>
  <si>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</si>
  <si>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</si>
  <si>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</si>
  <si>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</si>
  <si>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</si>
  <si>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</si>
  <si>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</si>
  <si>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</si>
  <si>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</si>
  <si>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</si>
  <si>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</si>
  <si>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</si>
  <si>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</si>
  <si>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</si>
  <si>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</si>
  <si>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</si>
  <si>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</si>
  <si>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</si>
  <si>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</si>
  <si>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</si>
  <si>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</si>
  <si>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</si>
  <si>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</si>
  <si>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</si>
  <si>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</si>
  <si>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</si>
  <si>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</si>
  <si>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</si>
  <si>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</si>
  <si>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</si>
  <si>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</si>
  <si>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</si>
  <si>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</si>
  <si>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</si>
  <si>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</si>
  <si>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</si>
  <si>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</si>
  <si>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</si>
  <si>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</si>
  <si>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</si>
  <si>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</si>
  <si>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</si>
  <si>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</si>
  <si>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</si>
  <si>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</si>
  <si>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</si>
  <si>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</si>
  <si>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</si>
  <si>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</si>
  <si>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</si>
  <si>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</si>
  <si>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</si>
  <si>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</si>
  <si>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</si>
  <si>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</si>
  <si>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</si>
  <si>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</si>
  <si>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</si>
  <si>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</si>
  <si>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</si>
  <si>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</si>
  <si>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</si>
  <si>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</si>
  <si>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</si>
  <si>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</si>
  <si>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</si>
  <si>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</si>
  <si>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</si>
  <si>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</si>
  <si>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</si>
  <si>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</si>
  <si>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</si>
  <si>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</si>
  <si>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</si>
  <si>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</si>
  <si>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</si>
  <si>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</si>
  <si>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</si>
  <si>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</si>
  <si>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</si>
  <si>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</si>
  <si>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</si>
  <si>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</si>
  <si>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</si>
  <si>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</si>
  <si>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</si>
  <si>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</si>
  <si>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</si>
  <si>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</si>
  <si>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</si>
  <si>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</si>
  <si>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</si>
  <si>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</si>
  <si>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</si>
  <si>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</si>
  <si>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</si>
  <si>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</si>
  <si>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</si>
  <si>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</si>
  <si>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</si>
  <si>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</si>
  <si>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</si>
  <si>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</si>
  <si>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</si>
  <si>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</si>
  <si>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</si>
  <si>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</si>
  <si>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</si>
  <si>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</si>
  <si>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</si>
  <si>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</si>
  <si>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</si>
  <si>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</si>
  <si>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</si>
  <si>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</si>
  <si>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</si>
  <si>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</si>
  <si>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</si>
  <si>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</si>
  <si>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</si>
  <si>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</si>
  <si>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</si>
  <si>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</si>
  <si>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</si>
  <si>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</si>
  <si>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</si>
  <si>
    <t>大量僵尸在庄园周边集结，外部世界变得极度危险</t>
    <phoneticPr fontId="13" type="noConversion"/>
  </si>
  <si>
    <t>幸存者电台报道：大量僵尸正在Z城附近集结，郑重提示，非请不要出门！</t>
    <phoneticPr fontId="13" type="noConversion"/>
  </si>
  <si>
    <t>所到之处，寸草不生，请提前收好庄稼。</t>
    <phoneticPr fontId="13" type="noConversion"/>
  </si>
  <si>
    <t>多日滴水未降干旱，农作物的生长变得越来越困难</t>
    <phoneticPr fontId="13" type="noConversion"/>
  </si>
  <si>
    <t>连日降雨，这天杀的天气！作物的产量下降了。</t>
    <phoneticPr fontId="13" type="noConversion"/>
  </si>
  <si>
    <t>飓风肆虐，大量的作物被破坏</t>
    <phoneticPr fontId="13" type="noConversion"/>
  </si>
  <si>
    <t>一种由真菌引起的植物病害，作物的产量大大降低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</si>
</sst>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481" zoomScale="130" zoomScaleNormal="130" workbookViewId="0">
      <pane xSplit="12" topLeftCell="AG1" activePane="topRight" state="frozen"/>
      <selection pane="topRight" activeCell="AJ506" sqref="AJ506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1320</v>
      </c>
      <c r="L5" s="16">
        <v>3</v>
      </c>
      <c r="M5" s="16">
        <v>1</v>
      </c>
      <c r="N5" s="16">
        <v>15</v>
      </c>
      <c r="O5" s="16" t="s">
        <v>1065</v>
      </c>
      <c r="P5" s="56" t="s">
        <v>1328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1320</v>
      </c>
      <c r="M6" s="9">
        <v>1</v>
      </c>
      <c r="N6" s="9">
        <v>15</v>
      </c>
      <c r="O6" s="9" t="s">
        <v>1065</v>
      </c>
      <c r="P6" s="55" t="s">
        <v>1328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2</v>
      </c>
      <c r="AJ6" s="10">
        <v>2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1320</v>
      </c>
      <c r="M7" s="9">
        <v>1</v>
      </c>
      <c r="N7" s="9">
        <v>15</v>
      </c>
      <c r="O7" s="9" t="s">
        <v>1066</v>
      </c>
      <c r="P7" s="55" t="s">
        <v>1329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3</v>
      </c>
      <c r="AJ7" s="10">
        <v>3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1320</v>
      </c>
      <c r="M8" s="9">
        <v>1</v>
      </c>
      <c r="N8" s="9">
        <v>15</v>
      </c>
      <c r="O8" s="9" t="s">
        <v>1067</v>
      </c>
      <c r="P8" s="55" t="s">
        <v>1329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5</v>
      </c>
      <c r="AJ8" s="10">
        <v>5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1320</v>
      </c>
      <c r="M9" s="9">
        <v>1</v>
      </c>
      <c r="N9" s="9">
        <v>15</v>
      </c>
      <c r="O9" s="9" t="s">
        <v>1068</v>
      </c>
      <c r="P9" s="55" t="s">
        <v>1330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8</v>
      </c>
      <c r="AJ9" s="10">
        <v>8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1320</v>
      </c>
      <c r="M10" s="9">
        <v>1</v>
      </c>
      <c r="N10" s="9">
        <v>15</v>
      </c>
      <c r="O10" s="9" t="s">
        <v>1070</v>
      </c>
      <c r="P10" s="55" t="s">
        <v>1330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10</v>
      </c>
      <c r="AJ10" s="10">
        <v>10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1320</v>
      </c>
      <c r="M11" s="9">
        <v>1</v>
      </c>
      <c r="N11" s="9">
        <v>15</v>
      </c>
      <c r="O11" s="9" t="s">
        <v>1069</v>
      </c>
      <c r="P11" s="55" t="s">
        <v>1331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15</v>
      </c>
      <c r="AJ11" s="10">
        <v>15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1320</v>
      </c>
      <c r="M12" s="9">
        <v>1</v>
      </c>
      <c r="N12" s="9">
        <v>15</v>
      </c>
      <c r="O12" s="9" t="s">
        <v>1069</v>
      </c>
      <c r="P12" s="55" t="s">
        <v>1331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30</v>
      </c>
      <c r="AJ12" s="10">
        <v>30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1320</v>
      </c>
      <c r="M13" s="9">
        <v>1</v>
      </c>
      <c r="N13" s="9">
        <v>15</v>
      </c>
      <c r="O13" s="9" t="s">
        <v>1398</v>
      </c>
      <c r="P13" s="55" t="s">
        <v>1400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60</v>
      </c>
      <c r="AJ13" s="10">
        <v>60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1320</v>
      </c>
      <c r="M14" s="9">
        <v>1</v>
      </c>
      <c r="N14" s="9">
        <v>15</v>
      </c>
      <c r="O14" s="9" t="s">
        <v>1398</v>
      </c>
      <c r="P14" s="55" t="s">
        <v>1400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180</v>
      </c>
      <c r="AJ14" s="10">
        <v>180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1320</v>
      </c>
      <c r="M15" s="9">
        <v>1</v>
      </c>
      <c r="N15" s="9">
        <v>15</v>
      </c>
      <c r="O15" s="9" t="s">
        <v>1397</v>
      </c>
      <c r="P15" s="55" t="s">
        <v>1399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360</v>
      </c>
      <c r="AJ15" s="10">
        <v>360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1320</v>
      </c>
      <c r="M16" s="9">
        <v>1</v>
      </c>
      <c r="N16" s="9">
        <v>15</v>
      </c>
      <c r="O16" s="9" t="s">
        <v>1397</v>
      </c>
      <c r="P16" s="55" t="s">
        <v>1399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540</v>
      </c>
      <c r="AJ16" s="10">
        <v>540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1320</v>
      </c>
      <c r="M17" s="9">
        <v>1</v>
      </c>
      <c r="N17" s="9">
        <v>15</v>
      </c>
      <c r="O17" s="9" t="s">
        <v>1397</v>
      </c>
      <c r="P17" s="55" t="s">
        <v>1399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720</v>
      </c>
      <c r="AJ17" s="10">
        <v>720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1320</v>
      </c>
      <c r="M18" s="9">
        <v>1</v>
      </c>
      <c r="N18" s="9">
        <v>15</v>
      </c>
      <c r="O18" s="9" t="s">
        <v>1397</v>
      </c>
      <c r="P18" s="55" t="s">
        <v>1399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900</v>
      </c>
      <c r="AJ18" s="10">
        <v>900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1320</v>
      </c>
      <c r="M19" s="9">
        <v>1</v>
      </c>
      <c r="N19" s="9">
        <v>15</v>
      </c>
      <c r="O19" s="9" t="s">
        <v>1397</v>
      </c>
      <c r="P19" s="55" t="s">
        <v>1399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3500000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1080</v>
      </c>
      <c r="AJ19" s="10">
        <v>1080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1320</v>
      </c>
      <c r="M20" s="9">
        <v>0</v>
      </c>
      <c r="N20" s="9">
        <v>15</v>
      </c>
      <c r="O20" s="9" t="s">
        <v>1397</v>
      </c>
      <c r="P20" s="55" t="s">
        <v>1399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3550000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3550000</v>
      </c>
      <c r="AG20" s="176">
        <f t="shared" ca="1" si="9"/>
        <v>5974431</v>
      </c>
      <c r="AI20" s="11">
        <f t="shared" si="4"/>
        <v>1260</v>
      </c>
      <c r="AJ20" s="10">
        <v>1260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1320</v>
      </c>
      <c r="M21" s="9">
        <v>0</v>
      </c>
      <c r="N21" s="9">
        <v>15</v>
      </c>
      <c r="O21" s="9" t="s">
        <v>1397</v>
      </c>
      <c r="P21" s="55" t="s">
        <v>1399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6585000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6585000</v>
      </c>
      <c r="AG21" s="176">
        <f t="shared" ca="1" si="9"/>
        <v>12559431</v>
      </c>
      <c r="AI21" s="11">
        <f t="shared" si="4"/>
        <v>1440</v>
      </c>
      <c r="AJ21" s="10">
        <v>1440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1320</v>
      </c>
      <c r="M22" s="9">
        <v>0</v>
      </c>
      <c r="N22" s="9">
        <v>15</v>
      </c>
      <c r="O22" s="9" t="s">
        <v>1397</v>
      </c>
      <c r="P22" s="55" t="s">
        <v>1399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10710000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10710000</v>
      </c>
      <c r="AG22" s="176">
        <f t="shared" ca="1" si="9"/>
        <v>23269431</v>
      </c>
      <c r="AI22" s="11">
        <f t="shared" si="4"/>
        <v>1620</v>
      </c>
      <c r="AJ22" s="10">
        <v>1620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1320</v>
      </c>
      <c r="M23" s="9">
        <v>0</v>
      </c>
      <c r="N23" s="9">
        <v>15</v>
      </c>
      <c r="O23" s="9" t="s">
        <v>1397</v>
      </c>
      <c r="P23" s="55" t="s">
        <v>1399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16485000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16485000</v>
      </c>
      <c r="AG23" s="176">
        <f t="shared" ca="1" si="9"/>
        <v>39754431</v>
      </c>
      <c r="AI23" s="11">
        <f t="shared" si="4"/>
        <v>1800</v>
      </c>
      <c r="AJ23" s="10">
        <v>1800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1320</v>
      </c>
      <c r="M24" s="9">
        <v>0</v>
      </c>
      <c r="N24" s="9">
        <v>15</v>
      </c>
      <c r="O24" s="9" t="s">
        <v>1397</v>
      </c>
      <c r="P24" s="55" t="s">
        <v>1399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26650000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26650000</v>
      </c>
      <c r="AG24" s="176">
        <f t="shared" ca="1" si="9"/>
        <v>66404431</v>
      </c>
      <c r="AI24" s="11">
        <f t="shared" si="4"/>
        <v>1980</v>
      </c>
      <c r="AJ24" s="10">
        <v>1980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1071</v>
      </c>
      <c r="P25" s="56" t="s">
        <v>1332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1072</v>
      </c>
      <c r="P26" s="55" t="s">
        <v>1332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2</v>
      </c>
      <c r="AJ26" s="10">
        <v>2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1073</v>
      </c>
      <c r="P27" s="55" t="s">
        <v>1333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3</v>
      </c>
      <c r="AJ27" s="10">
        <v>3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1073</v>
      </c>
      <c r="P28" s="55" t="s">
        <v>1333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5</v>
      </c>
      <c r="AJ28" s="10">
        <v>5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1074</v>
      </c>
      <c r="P29" s="55" t="s">
        <v>1334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8</v>
      </c>
      <c r="AJ29" s="10">
        <v>8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1075</v>
      </c>
      <c r="P30" s="55" t="s">
        <v>1334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10</v>
      </c>
      <c r="AJ30" s="10">
        <v>10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1076</v>
      </c>
      <c r="P31" s="55" t="s">
        <v>1335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15</v>
      </c>
      <c r="AJ31" s="10">
        <v>15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1076</v>
      </c>
      <c r="P32" s="55" t="s">
        <v>1335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30</v>
      </c>
      <c r="AJ32" s="10">
        <v>30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1402</v>
      </c>
      <c r="P33" s="55" t="s">
        <v>1404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60</v>
      </c>
      <c r="AJ33" s="10">
        <v>60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1402</v>
      </c>
      <c r="P34" s="55" t="s">
        <v>1404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180</v>
      </c>
      <c r="AJ34" s="10">
        <v>180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1401</v>
      </c>
      <c r="P35" s="55" t="s">
        <v>1403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360</v>
      </c>
      <c r="AJ35" s="10">
        <v>360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1401</v>
      </c>
      <c r="P36" s="55" t="s">
        <v>1403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540</v>
      </c>
      <c r="AJ36" s="10">
        <v>540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1401</v>
      </c>
      <c r="P37" s="55" t="s">
        <v>1403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720</v>
      </c>
      <c r="AJ37" s="10">
        <v>720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1401</v>
      </c>
      <c r="P38" s="55" t="s">
        <v>1403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900</v>
      </c>
      <c r="AJ38" s="10">
        <v>900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1401</v>
      </c>
      <c r="P39" s="55" t="s">
        <v>1403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3425000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3425000</v>
      </c>
      <c r="AG39" s="176">
        <f t="shared" ca="1" si="11"/>
        <v>4434000</v>
      </c>
      <c r="AI39" s="11">
        <f t="shared" si="4"/>
        <v>1080</v>
      </c>
      <c r="AJ39" s="10">
        <v>1080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1401</v>
      </c>
      <c r="P40" s="55" t="s">
        <v>1403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6990000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6990000</v>
      </c>
      <c r="AG40" s="176">
        <f t="shared" ca="1" si="11"/>
        <v>10415000</v>
      </c>
      <c r="AI40" s="11">
        <f t="shared" si="4"/>
        <v>1260</v>
      </c>
      <c r="AJ40" s="10">
        <v>1260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1401</v>
      </c>
      <c r="P41" s="55" t="s">
        <v>1403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12985000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12985000</v>
      </c>
      <c r="AG41" s="176">
        <f t="shared" ca="1" si="11"/>
        <v>19975000</v>
      </c>
      <c r="AI41" s="11">
        <f t="shared" si="4"/>
        <v>1440</v>
      </c>
      <c r="AJ41" s="10">
        <v>1440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1401</v>
      </c>
      <c r="P42" s="55" t="s">
        <v>1403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21110000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21110000</v>
      </c>
      <c r="AG42" s="176">
        <f t="shared" ca="1" si="11"/>
        <v>34095000</v>
      </c>
      <c r="AI42" s="11">
        <f t="shared" si="4"/>
        <v>1620</v>
      </c>
      <c r="AJ42" s="10">
        <v>1620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1401</v>
      </c>
      <c r="P43" s="55" t="s">
        <v>1403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3500000</v>
      </c>
      <c r="AC43" s="55">
        <v>12</v>
      </c>
      <c r="AE43" s="11">
        <f t="shared" ca="1" si="10"/>
        <v>32485000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32485000</v>
      </c>
      <c r="AG43" s="176">
        <f t="shared" ca="1" si="11"/>
        <v>53595000</v>
      </c>
      <c r="AI43" s="11">
        <f t="shared" si="4"/>
        <v>1800</v>
      </c>
      <c r="AJ43" s="10">
        <v>1800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1401</v>
      </c>
      <c r="P44" s="55" t="s">
        <v>1403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52250000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52250000</v>
      </c>
      <c r="AG44" s="176">
        <f t="shared" ca="1" si="11"/>
        <v>84735000</v>
      </c>
      <c r="AI44" s="11">
        <f t="shared" si="4"/>
        <v>1980</v>
      </c>
      <c r="AJ44" s="10">
        <v>1980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1321</v>
      </c>
      <c r="L45" s="16">
        <v>4</v>
      </c>
      <c r="M45" s="16">
        <v>1</v>
      </c>
      <c r="N45" s="16">
        <v>15</v>
      </c>
      <c r="O45" s="16" t="s">
        <v>1059</v>
      </c>
      <c r="P45" s="56" t="s">
        <v>1336</v>
      </c>
      <c r="Q45" s="16" t="s">
        <v>1457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1456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1321</v>
      </c>
      <c r="M46" s="9">
        <v>1</v>
      </c>
      <c r="N46" s="9">
        <v>15</v>
      </c>
      <c r="O46" s="9" t="s">
        <v>1060</v>
      </c>
      <c r="P46" s="55" t="s">
        <v>1336</v>
      </c>
      <c r="Q46" s="9" t="s">
        <v>1457</v>
      </c>
      <c r="T46" s="9">
        <f ca="1">IFERROR(OFFSET(ITEM_RES!$A$5,MATCH(BUILDING!S46,ITEM_RES!$J$5:$J$229,0)-1,0),0)</f>
        <v>0</v>
      </c>
      <c r="V46" s="81" t="s">
        <v>1456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2</v>
      </c>
      <c r="AJ46" s="10">
        <v>2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1321</v>
      </c>
      <c r="M47" s="9">
        <v>1</v>
      </c>
      <c r="N47" s="9">
        <v>15</v>
      </c>
      <c r="O47" s="9" t="s">
        <v>1061</v>
      </c>
      <c r="P47" s="55" t="s">
        <v>1337</v>
      </c>
      <c r="Q47" s="9" t="s">
        <v>1457</v>
      </c>
      <c r="T47" s="9">
        <f ca="1">IFERROR(OFFSET(ITEM_RES!$A$5,MATCH(BUILDING!S47,ITEM_RES!$J$5:$J$229,0)-1,0),0)</f>
        <v>0</v>
      </c>
      <c r="V47" s="81" t="s">
        <v>1456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3</v>
      </c>
      <c r="AJ47" s="10">
        <v>3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1321</v>
      </c>
      <c r="M48" s="9">
        <v>1</v>
      </c>
      <c r="N48" s="9">
        <v>15</v>
      </c>
      <c r="O48" s="9" t="s">
        <v>1061</v>
      </c>
      <c r="P48" s="55" t="s">
        <v>1337</v>
      </c>
      <c r="Q48" s="9" t="s">
        <v>1457</v>
      </c>
      <c r="T48" s="9">
        <f ca="1">IFERROR(OFFSET(ITEM_RES!$A$5,MATCH(BUILDING!S48,ITEM_RES!$J$5:$J$229,0)-1,0),0)</f>
        <v>0</v>
      </c>
      <c r="V48" s="81" t="s">
        <v>1456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5</v>
      </c>
      <c r="AJ48" s="10">
        <v>5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1321</v>
      </c>
      <c r="M49" s="9">
        <v>1</v>
      </c>
      <c r="N49" s="9">
        <v>15</v>
      </c>
      <c r="O49" s="9" t="s">
        <v>1062</v>
      </c>
      <c r="P49" s="55" t="s">
        <v>1338</v>
      </c>
      <c r="Q49" s="9" t="s">
        <v>1457</v>
      </c>
      <c r="T49" s="9">
        <f ca="1">IFERROR(OFFSET(ITEM_RES!$A$5,MATCH(BUILDING!S49,ITEM_RES!$J$5:$J$229,0)-1,0),0)</f>
        <v>0</v>
      </c>
      <c r="V49" s="81" t="s">
        <v>1456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8</v>
      </c>
      <c r="AJ49" s="10">
        <v>8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1321</v>
      </c>
      <c r="M50" s="9">
        <v>1</v>
      </c>
      <c r="N50" s="9">
        <v>15</v>
      </c>
      <c r="O50" s="9" t="s">
        <v>1063</v>
      </c>
      <c r="P50" s="55" t="s">
        <v>1338</v>
      </c>
      <c r="Q50" s="9" t="s">
        <v>1457</v>
      </c>
      <c r="T50" s="9">
        <f ca="1">IFERROR(OFFSET(ITEM_RES!$A$5,MATCH(BUILDING!S50,ITEM_RES!$J$5:$J$229,0)-1,0),0)</f>
        <v>0</v>
      </c>
      <c r="V50" s="81" t="s">
        <v>1456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10</v>
      </c>
      <c r="AJ50" s="10">
        <v>10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1321</v>
      </c>
      <c r="M51" s="9">
        <v>1</v>
      </c>
      <c r="N51" s="9">
        <v>15</v>
      </c>
      <c r="O51" s="9" t="s">
        <v>1064</v>
      </c>
      <c r="P51" s="55" t="s">
        <v>1339</v>
      </c>
      <c r="Q51" s="9" t="s">
        <v>1457</v>
      </c>
      <c r="T51" s="9">
        <f ca="1">IFERROR(OFFSET(ITEM_RES!$A$5,MATCH(BUILDING!S51,ITEM_RES!$J$5:$J$229,0)-1,0),0)</f>
        <v>0</v>
      </c>
      <c r="V51" s="81" t="s">
        <v>1456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15</v>
      </c>
      <c r="AJ51" s="10">
        <v>15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1321</v>
      </c>
      <c r="M52" s="9">
        <v>1</v>
      </c>
      <c r="N52" s="9">
        <v>15</v>
      </c>
      <c r="O52" s="9" t="s">
        <v>1064</v>
      </c>
      <c r="P52" s="55" t="s">
        <v>1339</v>
      </c>
      <c r="Q52" s="9" t="s">
        <v>1457</v>
      </c>
      <c r="T52" s="9">
        <f ca="1">IFERROR(OFFSET(ITEM_RES!$A$5,MATCH(BUILDING!S52,ITEM_RES!$J$5:$J$229,0)-1,0),0)</f>
        <v>0</v>
      </c>
      <c r="V52" s="81" t="s">
        <v>1456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30</v>
      </c>
      <c r="AJ52" s="10">
        <v>30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1321</v>
      </c>
      <c r="M53" s="9">
        <v>1</v>
      </c>
      <c r="N53" s="9">
        <v>15</v>
      </c>
      <c r="O53" s="9" t="s">
        <v>1406</v>
      </c>
      <c r="P53" s="55" t="s">
        <v>1408</v>
      </c>
      <c r="Q53" s="9" t="s">
        <v>1457</v>
      </c>
      <c r="T53" s="9">
        <f ca="1">IFERROR(OFFSET(ITEM_RES!$A$5,MATCH(BUILDING!S53,ITEM_RES!$J$5:$J$229,0)-1,0),0)</f>
        <v>0</v>
      </c>
      <c r="V53" s="81" t="s">
        <v>1456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60</v>
      </c>
      <c r="AJ53" s="10">
        <v>60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1321</v>
      </c>
      <c r="M54" s="9">
        <v>1</v>
      </c>
      <c r="N54" s="9">
        <v>15</v>
      </c>
      <c r="O54" s="9" t="s">
        <v>1406</v>
      </c>
      <c r="P54" s="55" t="s">
        <v>1408</v>
      </c>
      <c r="Q54" s="9" t="s">
        <v>1457</v>
      </c>
      <c r="T54" s="9">
        <f ca="1">IFERROR(OFFSET(ITEM_RES!$A$5,MATCH(BUILDING!S54,ITEM_RES!$J$5:$J$229,0)-1,0),0)</f>
        <v>0</v>
      </c>
      <c r="V54" s="81" t="s">
        <v>1456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180</v>
      </c>
      <c r="AJ54" s="10">
        <v>180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1321</v>
      </c>
      <c r="M55" s="9">
        <v>1</v>
      </c>
      <c r="N55" s="9">
        <v>15</v>
      </c>
      <c r="O55" s="9" t="s">
        <v>1405</v>
      </c>
      <c r="P55" s="55" t="s">
        <v>1407</v>
      </c>
      <c r="Q55" s="9" t="s">
        <v>1457</v>
      </c>
      <c r="T55" s="9">
        <f ca="1">IFERROR(OFFSET(ITEM_RES!$A$5,MATCH(BUILDING!S55,ITEM_RES!$J$5:$J$229,0)-1,0),0)</f>
        <v>0</v>
      </c>
      <c r="V55" s="81" t="s">
        <v>1456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360</v>
      </c>
      <c r="AJ55" s="10">
        <v>360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1321</v>
      </c>
      <c r="M56" s="9">
        <v>1</v>
      </c>
      <c r="N56" s="9">
        <v>15</v>
      </c>
      <c r="O56" s="9" t="s">
        <v>1405</v>
      </c>
      <c r="P56" s="55" t="s">
        <v>1407</v>
      </c>
      <c r="Q56" s="9" t="s">
        <v>1457</v>
      </c>
      <c r="T56" s="9">
        <f ca="1">IFERROR(OFFSET(ITEM_RES!$A$5,MATCH(BUILDING!S56,ITEM_RES!$J$5:$J$229,0)-1,0),0)</f>
        <v>0</v>
      </c>
      <c r="V56" s="81" t="s">
        <v>1456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540</v>
      </c>
      <c r="AJ56" s="10">
        <v>540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1321</v>
      </c>
      <c r="M57" s="9">
        <v>1</v>
      </c>
      <c r="N57" s="9">
        <v>15</v>
      </c>
      <c r="O57" s="9" t="s">
        <v>1405</v>
      </c>
      <c r="P57" s="55" t="s">
        <v>1407</v>
      </c>
      <c r="Q57" s="9" t="s">
        <v>1457</v>
      </c>
      <c r="T57" s="9">
        <f ca="1">IFERROR(OFFSET(ITEM_RES!$A$5,MATCH(BUILDING!S57,ITEM_RES!$J$5:$J$229,0)-1,0),0)</f>
        <v>0</v>
      </c>
      <c r="V57" s="81" t="s">
        <v>1456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720</v>
      </c>
      <c r="AJ57" s="10">
        <v>720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1321</v>
      </c>
      <c r="M58" s="9">
        <v>1</v>
      </c>
      <c r="N58" s="9">
        <v>15</v>
      </c>
      <c r="O58" s="9" t="s">
        <v>1405</v>
      </c>
      <c r="P58" s="55" t="s">
        <v>1407</v>
      </c>
      <c r="Q58" s="9" t="s">
        <v>1457</v>
      </c>
      <c r="T58" s="9">
        <f ca="1">IFERROR(OFFSET(ITEM_RES!$A$5,MATCH(BUILDING!S58,ITEM_RES!$J$5:$J$229,0)-1,0),0)</f>
        <v>0</v>
      </c>
      <c r="V58" s="81" t="s">
        <v>1456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1591000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1591000</v>
      </c>
      <c r="AG58" s="176">
        <f t="shared" ca="1" si="12"/>
        <v>2232000</v>
      </c>
      <c r="AI58" s="11">
        <f t="shared" si="4"/>
        <v>900</v>
      </c>
      <c r="AJ58" s="10">
        <v>900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1321</v>
      </c>
      <c r="M59" s="9">
        <v>1</v>
      </c>
      <c r="N59" s="9">
        <v>15</v>
      </c>
      <c r="O59" s="9" t="s">
        <v>1405</v>
      </c>
      <c r="P59" s="55" t="s">
        <v>1407</v>
      </c>
      <c r="Q59" s="9" t="s">
        <v>1457</v>
      </c>
      <c r="T59" s="9">
        <f ca="1">IFERROR(OFFSET(ITEM_RES!$A$5,MATCH(BUILDING!S59,ITEM_RES!$J$5:$J$229,0)-1,0),0)</f>
        <v>0</v>
      </c>
      <c r="V59" s="81" t="s">
        <v>1456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3425000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3425000</v>
      </c>
      <c r="AG59" s="176">
        <f t="shared" ca="1" si="12"/>
        <v>5016000</v>
      </c>
      <c r="AI59" s="11">
        <f t="shared" si="4"/>
        <v>1080</v>
      </c>
      <c r="AJ59" s="10">
        <v>1080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1321</v>
      </c>
      <c r="M60" s="9">
        <v>0</v>
      </c>
      <c r="N60" s="9">
        <v>15</v>
      </c>
      <c r="O60" s="9" t="s">
        <v>1405</v>
      </c>
      <c r="P60" s="55" t="s">
        <v>1407</v>
      </c>
      <c r="Q60" s="9" t="s">
        <v>1457</v>
      </c>
      <c r="T60" s="9">
        <f ca="1">IFERROR(OFFSET(ITEM_RES!$A$5,MATCH(BUILDING!S60,ITEM_RES!$J$5:$J$229,0)-1,0),0)</f>
        <v>0</v>
      </c>
      <c r="V60" s="81" t="s">
        <v>1456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3500000</v>
      </c>
      <c r="AC60" s="55">
        <v>12</v>
      </c>
      <c r="AE60" s="11">
        <f t="shared" ca="1" si="10"/>
        <v>6990000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6990000</v>
      </c>
      <c r="AG60" s="176">
        <f t="shared" ca="1" si="12"/>
        <v>10415000</v>
      </c>
      <c r="AI60" s="11">
        <f t="shared" si="4"/>
        <v>1260</v>
      </c>
      <c r="AJ60" s="10">
        <v>1260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1321</v>
      </c>
      <c r="M61" s="9">
        <v>0</v>
      </c>
      <c r="N61" s="9">
        <v>15</v>
      </c>
      <c r="O61" s="9" t="s">
        <v>1405</v>
      </c>
      <c r="P61" s="55" t="s">
        <v>1407</v>
      </c>
      <c r="Q61" s="9" t="s">
        <v>1457</v>
      </c>
      <c r="T61" s="9">
        <f ca="1">IFERROR(OFFSET(ITEM_RES!$A$5,MATCH(BUILDING!S61,ITEM_RES!$J$5:$J$229,0)-1,0),0)</f>
        <v>0</v>
      </c>
      <c r="V61" s="81" t="s">
        <v>1456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12985000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12985000</v>
      </c>
      <c r="AG61" s="176">
        <f t="shared" ca="1" si="12"/>
        <v>19975000</v>
      </c>
      <c r="AI61" s="11">
        <f t="shared" si="4"/>
        <v>1440</v>
      </c>
      <c r="AJ61" s="10">
        <v>1440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1321</v>
      </c>
      <c r="M62" s="9">
        <v>0</v>
      </c>
      <c r="N62" s="9">
        <v>15</v>
      </c>
      <c r="O62" s="9" t="s">
        <v>1405</v>
      </c>
      <c r="P62" s="55" t="s">
        <v>1407</v>
      </c>
      <c r="Q62" s="9" t="s">
        <v>1457</v>
      </c>
      <c r="T62" s="9">
        <f ca="1">IFERROR(OFFSET(ITEM_RES!$A$5,MATCH(BUILDING!S62,ITEM_RES!$J$5:$J$229,0)-1,0),0)</f>
        <v>0</v>
      </c>
      <c r="V62" s="81" t="s">
        <v>1456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21110000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21110000</v>
      </c>
      <c r="AG62" s="176">
        <f t="shared" ca="1" si="12"/>
        <v>34095000</v>
      </c>
      <c r="AI62" s="11">
        <f t="shared" si="4"/>
        <v>1620</v>
      </c>
      <c r="AJ62" s="10">
        <v>1620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1321</v>
      </c>
      <c r="M63" s="9">
        <v>0</v>
      </c>
      <c r="N63" s="9">
        <v>15</v>
      </c>
      <c r="O63" s="9" t="s">
        <v>1405</v>
      </c>
      <c r="P63" s="55" t="s">
        <v>1407</v>
      </c>
      <c r="Q63" s="9" t="s">
        <v>1457</v>
      </c>
      <c r="T63" s="9">
        <f ca="1">IFERROR(OFFSET(ITEM_RES!$A$5,MATCH(BUILDING!S63,ITEM_RES!$J$5:$J$229,0)-1,0),0)</f>
        <v>0</v>
      </c>
      <c r="V63" s="81" t="s">
        <v>1456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32485000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32485000</v>
      </c>
      <c r="AG63" s="176">
        <f t="shared" ca="1" si="12"/>
        <v>53595000</v>
      </c>
      <c r="AI63" s="11">
        <f t="shared" si="4"/>
        <v>1800</v>
      </c>
      <c r="AJ63" s="10">
        <v>1800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1321</v>
      </c>
      <c r="M64" s="9">
        <v>0</v>
      </c>
      <c r="N64" s="9">
        <v>15</v>
      </c>
      <c r="O64" s="9" t="s">
        <v>1405</v>
      </c>
      <c r="P64" s="55" t="s">
        <v>1407</v>
      </c>
      <c r="Q64" s="9" t="s">
        <v>1457</v>
      </c>
      <c r="T64" s="9">
        <f ca="1">IFERROR(OFFSET(ITEM_RES!$A$5,MATCH(BUILDING!S64,ITEM_RES!$J$5:$J$229,0)-1,0),0)</f>
        <v>0</v>
      </c>
      <c r="V64" s="81" t="s">
        <v>1456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52250000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52250000</v>
      </c>
      <c r="AG64" s="176">
        <f t="shared" ca="1" si="12"/>
        <v>84735000</v>
      </c>
      <c r="AI64" s="11">
        <f t="shared" si="4"/>
        <v>1980</v>
      </c>
      <c r="AJ64" s="10">
        <v>1980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1077</v>
      </c>
      <c r="P65" s="56" t="s">
        <v>1340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1077</v>
      </c>
      <c r="P66" s="55" t="s">
        <v>1340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2</v>
      </c>
      <c r="AJ66" s="10">
        <v>2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1078</v>
      </c>
      <c r="P67" s="55" t="s">
        <v>1341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3</v>
      </c>
      <c r="AJ67" s="10">
        <v>3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1079</v>
      </c>
      <c r="P68" s="55" t="s">
        <v>1341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5</v>
      </c>
      <c r="AJ68" s="10">
        <v>5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1080</v>
      </c>
      <c r="P69" s="55" t="s">
        <v>1342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8</v>
      </c>
      <c r="AJ69" s="10">
        <v>8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1081</v>
      </c>
      <c r="P70" s="55" t="s">
        <v>1342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10</v>
      </c>
      <c r="AJ70" s="10">
        <v>10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1082</v>
      </c>
      <c r="P71" s="55" t="s">
        <v>1343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15</v>
      </c>
      <c r="AJ71" s="10">
        <v>15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1082</v>
      </c>
      <c r="P72" s="55" t="s">
        <v>1343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30</v>
      </c>
      <c r="AJ72" s="10">
        <v>30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1082</v>
      </c>
      <c r="P73" s="55" t="s">
        <v>1343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60</v>
      </c>
      <c r="AJ73" s="10">
        <v>60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1082</v>
      </c>
      <c r="P74" s="55" t="s">
        <v>1343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180</v>
      </c>
      <c r="AJ74" s="10">
        <v>180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1082</v>
      </c>
      <c r="P75" s="55" t="s">
        <v>1343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360</v>
      </c>
      <c r="AJ75" s="10">
        <v>360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1082</v>
      </c>
      <c r="P76" s="55" t="s">
        <v>1343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540</v>
      </c>
      <c r="AJ76" s="10">
        <v>540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1082</v>
      </c>
      <c r="P77" s="55" t="s">
        <v>1343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720</v>
      </c>
      <c r="AJ77" s="10">
        <v>720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1082</v>
      </c>
      <c r="P78" s="55" t="s">
        <v>1343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5368000</v>
      </c>
      <c r="AI78" s="11">
        <f t="shared" si="21"/>
        <v>900</v>
      </c>
      <c r="AJ78" s="10">
        <v>900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1082</v>
      </c>
      <c r="P79" s="55" t="s">
        <v>1343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3500000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1080</v>
      </c>
      <c r="AJ79" s="10">
        <v>1080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1082</v>
      </c>
      <c r="P80" s="55" t="s">
        <v>1343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1260</v>
      </c>
      <c r="AJ80" s="10">
        <v>1260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1082</v>
      </c>
      <c r="P81" s="55" t="s">
        <v>1343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1440</v>
      </c>
      <c r="AJ81" s="10">
        <v>1440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1082</v>
      </c>
      <c r="P82" s="55" t="s">
        <v>1343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1620</v>
      </c>
      <c r="AJ82" s="10">
        <v>1620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1082</v>
      </c>
      <c r="P83" s="55" t="s">
        <v>1343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1800</v>
      </c>
      <c r="AJ83" s="10">
        <v>1800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1082</v>
      </c>
      <c r="P84" s="55" t="s">
        <v>1343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1980</v>
      </c>
      <c r="AJ84" s="10">
        <v>1980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1344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1344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2</v>
      </c>
      <c r="AJ86" s="10">
        <v>2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1344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3</v>
      </c>
      <c r="AJ87" s="10">
        <v>3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1344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3500000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5</v>
      </c>
      <c r="AJ88" s="10">
        <v>5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1344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3500000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8</v>
      </c>
      <c r="AJ89" s="10">
        <v>8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1344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3500000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10</v>
      </c>
      <c r="AJ90" s="10">
        <v>10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1344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3500000</v>
      </c>
      <c r="AC91" s="55">
        <v>12</v>
      </c>
      <c r="AE91" s="11">
        <f t="shared" ca="1" si="45"/>
        <v>230000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230000</v>
      </c>
      <c r="AG91" s="176">
        <f t="shared" ca="1" si="40"/>
        <v>297500</v>
      </c>
      <c r="AI91" s="11">
        <f t="shared" si="21"/>
        <v>15</v>
      </c>
      <c r="AJ91" s="10">
        <v>15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1344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3500000</v>
      </c>
      <c r="AC92" s="55">
        <v>12</v>
      </c>
      <c r="AE92" s="11">
        <f t="shared" ca="1" si="45"/>
        <v>483000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483000</v>
      </c>
      <c r="AG92" s="176">
        <f t="shared" ca="1" si="40"/>
        <v>713000</v>
      </c>
      <c r="AI92" s="11">
        <f t="shared" si="21"/>
        <v>30</v>
      </c>
      <c r="AJ92" s="10">
        <v>30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1344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3500000</v>
      </c>
      <c r="AC93" s="55">
        <v>12</v>
      </c>
      <c r="AE93" s="11">
        <f t="shared" ca="1" si="45"/>
        <v>897000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897000</v>
      </c>
      <c r="AG93" s="176">
        <f t="shared" ca="1" si="40"/>
        <v>1380000</v>
      </c>
      <c r="AI93" s="11">
        <f t="shared" si="21"/>
        <v>60</v>
      </c>
      <c r="AJ93" s="10">
        <v>60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1344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3500000</v>
      </c>
      <c r="AC94" s="55">
        <v>12</v>
      </c>
      <c r="AE94" s="11">
        <f t="shared" ca="1" si="45"/>
        <v>1495000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1495000</v>
      </c>
      <c r="AG94" s="176">
        <f t="shared" ca="1" si="40"/>
        <v>2392000</v>
      </c>
      <c r="AI94" s="11">
        <f t="shared" si="21"/>
        <v>180</v>
      </c>
      <c r="AJ94" s="10">
        <v>180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1344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3500000</v>
      </c>
      <c r="AC95" s="55">
        <v>12</v>
      </c>
      <c r="AE95" s="11">
        <f t="shared" ca="1" si="45"/>
        <v>2530000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2530000</v>
      </c>
      <c r="AG95" s="176">
        <f t="shared" ca="1" si="40"/>
        <v>4025000</v>
      </c>
      <c r="AI95" s="11">
        <f t="shared" si="21"/>
        <v>360</v>
      </c>
      <c r="AJ95" s="10">
        <v>360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1344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3500000</v>
      </c>
      <c r="AC96" s="55">
        <v>12</v>
      </c>
      <c r="AE96" s="11">
        <f t="shared" ca="1" si="45"/>
        <v>4260000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4260000</v>
      </c>
      <c r="AG96" s="176">
        <f t="shared" ca="1" si="40"/>
        <v>6790000</v>
      </c>
      <c r="AI96" s="11">
        <f t="shared" si="21"/>
        <v>540</v>
      </c>
      <c r="AJ96" s="10">
        <v>540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1344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3500000</v>
      </c>
      <c r="AC97" s="55">
        <v>12</v>
      </c>
      <c r="AE97" s="11">
        <f t="shared" ca="1" si="45"/>
        <v>7130000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7130000</v>
      </c>
      <c r="AG97" s="176">
        <f t="shared" ca="1" si="40"/>
        <v>11390000</v>
      </c>
      <c r="AI97" s="11">
        <f t="shared" si="21"/>
        <v>720</v>
      </c>
      <c r="AJ97" s="10">
        <v>720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1344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3500000</v>
      </c>
      <c r="AC98" s="55">
        <v>12</v>
      </c>
      <c r="AE98" s="11">
        <f t="shared" ca="1" si="45"/>
        <v>11155000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11155000</v>
      </c>
      <c r="AG98" s="176">
        <f t="shared" ca="1" si="40"/>
        <v>18285000</v>
      </c>
      <c r="AI98" s="11">
        <f t="shared" si="21"/>
        <v>900</v>
      </c>
      <c r="AJ98" s="10">
        <v>900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1344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3500000</v>
      </c>
      <c r="AC99" s="55">
        <v>12</v>
      </c>
      <c r="AE99" s="11">
        <f t="shared" ca="1" si="45"/>
        <v>26250000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26250000</v>
      </c>
      <c r="AG99" s="176">
        <f t="shared" ca="1" si="40"/>
        <v>37405000</v>
      </c>
      <c r="AI99" s="11">
        <f t="shared" si="21"/>
        <v>1080</v>
      </c>
      <c r="AJ99" s="10">
        <v>1080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1344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3500000</v>
      </c>
      <c r="AC100" s="55">
        <v>12</v>
      </c>
      <c r="AE100" s="11">
        <f t="shared" ca="1" si="45"/>
        <v>53750000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53750000</v>
      </c>
      <c r="AG100" s="176">
        <f t="shared" ca="1" si="40"/>
        <v>80000000</v>
      </c>
      <c r="AI100" s="11">
        <f t="shared" si="21"/>
        <v>1260</v>
      </c>
      <c r="AJ100" s="10">
        <v>1260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1344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3500000</v>
      </c>
      <c r="AC101" s="55">
        <v>12</v>
      </c>
      <c r="AE101" s="11">
        <f t="shared" ca="1" si="45"/>
        <v>100000000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100000000</v>
      </c>
      <c r="AG101" s="176">
        <f t="shared" ca="1" si="40"/>
        <v>153750000</v>
      </c>
      <c r="AI101" s="11">
        <f t="shared" si="21"/>
        <v>1440</v>
      </c>
      <c r="AJ101" s="10">
        <v>1440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1344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3500000</v>
      </c>
      <c r="AC102" s="55">
        <v>12</v>
      </c>
      <c r="AE102" s="11">
        <f t="shared" ca="1" si="45"/>
        <v>162500000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162500000</v>
      </c>
      <c r="AG102" s="176">
        <f t="shared" ca="1" si="40"/>
        <v>262500000</v>
      </c>
      <c r="AI102" s="11">
        <f t="shared" si="21"/>
        <v>1620</v>
      </c>
      <c r="AJ102" s="10">
        <v>1620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1344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3500000</v>
      </c>
      <c r="AC103" s="55">
        <v>12</v>
      </c>
      <c r="AE103" s="11">
        <f t="shared" ca="1" si="45"/>
        <v>250000000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250000000</v>
      </c>
      <c r="AG103" s="176">
        <f t="shared" ca="1" si="40"/>
        <v>412500000</v>
      </c>
      <c r="AI103" s="11">
        <f t="shared" si="21"/>
        <v>1800</v>
      </c>
      <c r="AJ103" s="10">
        <v>1800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1344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3500000</v>
      </c>
      <c r="AC104" s="55">
        <v>12</v>
      </c>
      <c r="AE104" s="11">
        <f t="shared" ca="1" si="45"/>
        <v>400000000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400000000</v>
      </c>
      <c r="AG104" s="176">
        <f t="shared" ca="1" si="40"/>
        <v>650000000</v>
      </c>
      <c r="AI104" s="11">
        <f t="shared" si="21"/>
        <v>1980</v>
      </c>
      <c r="AJ104" s="10">
        <v>1980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1345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1345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2</v>
      </c>
      <c r="AJ106" s="10">
        <v>2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1345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3</v>
      </c>
      <c r="AJ107" s="10">
        <v>3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1345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3500000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5</v>
      </c>
      <c r="AJ108" s="10">
        <v>5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1345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3500000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8</v>
      </c>
      <c r="AJ109" s="10">
        <v>8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1345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3500000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10</v>
      </c>
      <c r="AJ110" s="10">
        <v>10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1345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3500000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15</v>
      </c>
      <c r="AJ111" s="10">
        <v>15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1345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3500000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30</v>
      </c>
      <c r="AJ112" s="10">
        <v>30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1345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3500000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60</v>
      </c>
      <c r="AJ113" s="10">
        <v>60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1345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3500000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180</v>
      </c>
      <c r="AJ114" s="10">
        <v>180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1345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3500000</v>
      </c>
      <c r="AC115" s="55">
        <v>12</v>
      </c>
      <c r="AE115" s="11">
        <f t="shared" ca="1" si="45"/>
        <v>1144000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1144000</v>
      </c>
      <c r="AG115" s="176">
        <f t="shared" ca="1" si="47"/>
        <v>1612000</v>
      </c>
      <c r="AI115" s="11">
        <f t="shared" si="21"/>
        <v>360</v>
      </c>
      <c r="AJ115" s="10">
        <v>360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1345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3500000</v>
      </c>
      <c r="AC116" s="55">
        <v>12</v>
      </c>
      <c r="AE116" s="11">
        <f t="shared" ca="1" si="45"/>
        <v>1924000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1924000</v>
      </c>
      <c r="AG116" s="176">
        <f t="shared" ca="1" si="47"/>
        <v>3068000</v>
      </c>
      <c r="AI116" s="11">
        <f t="shared" si="21"/>
        <v>540</v>
      </c>
      <c r="AJ116" s="10">
        <v>540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1345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3500000</v>
      </c>
      <c r="AC117" s="55">
        <v>12</v>
      </c>
      <c r="AE117" s="11">
        <f t="shared" ca="1" si="45"/>
        <v>3224000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3224000</v>
      </c>
      <c r="AG117" s="176">
        <f t="shared" ca="1" si="47"/>
        <v>5148000</v>
      </c>
      <c r="AI117" s="11">
        <f t="shared" si="21"/>
        <v>720</v>
      </c>
      <c r="AJ117" s="10">
        <v>720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1345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3500000</v>
      </c>
      <c r="AC118" s="55">
        <v>12</v>
      </c>
      <c r="AE118" s="11">
        <f t="shared" ca="1" si="45"/>
        <v>5044000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5044000</v>
      </c>
      <c r="AG118" s="176">
        <f t="shared" ca="1" si="47"/>
        <v>8268000</v>
      </c>
      <c r="AI118" s="11">
        <f t="shared" si="21"/>
        <v>900</v>
      </c>
      <c r="AJ118" s="10">
        <v>900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1345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3500000</v>
      </c>
      <c r="AC119" s="55">
        <v>12</v>
      </c>
      <c r="AE119" s="11">
        <f t="shared" ca="1" si="45"/>
        <v>12600000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12600000</v>
      </c>
      <c r="AG119" s="176">
        <f t="shared" ca="1" si="47"/>
        <v>17644000</v>
      </c>
      <c r="AI119" s="11">
        <f t="shared" si="21"/>
        <v>1080</v>
      </c>
      <c r="AJ119" s="10">
        <v>1080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1345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3500000</v>
      </c>
      <c r="AC120" s="55">
        <v>12</v>
      </c>
      <c r="AE120" s="11">
        <f t="shared" ca="1" si="45"/>
        <v>25800000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25800000</v>
      </c>
      <c r="AG120" s="176">
        <f t="shared" ca="1" si="47"/>
        <v>38400000</v>
      </c>
      <c r="AI120" s="11">
        <f t="shared" si="21"/>
        <v>1260</v>
      </c>
      <c r="AJ120" s="10">
        <v>1260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1345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3500000</v>
      </c>
      <c r="AC121" s="55">
        <v>12</v>
      </c>
      <c r="AE121" s="11">
        <f t="shared" ca="1" si="45"/>
        <v>48000000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48000000</v>
      </c>
      <c r="AG121" s="176">
        <f t="shared" ca="1" si="47"/>
        <v>73800000</v>
      </c>
      <c r="AI121" s="11">
        <f t="shared" si="21"/>
        <v>1440</v>
      </c>
      <c r="AJ121" s="10">
        <v>1440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1345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3500000</v>
      </c>
      <c r="AC122" s="55">
        <v>12</v>
      </c>
      <c r="AE122" s="11">
        <f t="shared" ca="1" si="45"/>
        <v>78000000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78000000</v>
      </c>
      <c r="AG122" s="176">
        <f t="shared" ca="1" si="47"/>
        <v>126000000</v>
      </c>
      <c r="AI122" s="11">
        <f t="shared" si="21"/>
        <v>1620</v>
      </c>
      <c r="AJ122" s="10">
        <v>1620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1345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3500000</v>
      </c>
      <c r="AC123" s="55">
        <v>12</v>
      </c>
      <c r="AE123" s="11">
        <f t="shared" ca="1" si="45"/>
        <v>120000000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120000000</v>
      </c>
      <c r="AG123" s="176">
        <f t="shared" ca="1" si="47"/>
        <v>198000000</v>
      </c>
      <c r="AI123" s="11">
        <f t="shared" si="21"/>
        <v>1800</v>
      </c>
      <c r="AJ123" s="10">
        <v>1800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1345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3500000</v>
      </c>
      <c r="AC124" s="55">
        <v>12</v>
      </c>
      <c r="AE124" s="11">
        <f t="shared" ca="1" si="45"/>
        <v>192000000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192000000</v>
      </c>
      <c r="AG124" s="176">
        <f t="shared" ca="1" si="47"/>
        <v>312000000</v>
      </c>
      <c r="AI124" s="11">
        <f t="shared" si="21"/>
        <v>1980</v>
      </c>
      <c r="AJ124" s="10">
        <v>1980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1083</v>
      </c>
      <c r="P125" s="56" t="s">
        <v>1346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1445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1084</v>
      </c>
      <c r="P126" s="55" t="s">
        <v>1346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2</v>
      </c>
      <c r="AJ126" s="10">
        <v>2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1445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1085</v>
      </c>
      <c r="P127" s="55" t="s">
        <v>1347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3</v>
      </c>
      <c r="AJ127" s="10">
        <v>3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1445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1086</v>
      </c>
      <c r="P128" s="55" t="s">
        <v>1347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5</v>
      </c>
      <c r="AJ128" s="10">
        <v>5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1445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1087</v>
      </c>
      <c r="P129" s="55" t="s">
        <v>1348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8</v>
      </c>
      <c r="AJ129" s="10">
        <v>8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1445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1088</v>
      </c>
      <c r="P130" s="55" t="s">
        <v>1348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10</v>
      </c>
      <c r="AJ130" s="10">
        <v>10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1445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1089</v>
      </c>
      <c r="P131" s="55" t="s">
        <v>1349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15</v>
      </c>
      <c r="AJ131" s="10">
        <v>15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1445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1089</v>
      </c>
      <c r="P132" s="55" t="s">
        <v>1349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30</v>
      </c>
      <c r="AJ132" s="10">
        <v>30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1445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1410</v>
      </c>
      <c r="P133" s="55" t="s">
        <v>1412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60</v>
      </c>
      <c r="AJ133" s="10">
        <v>60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1445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1410</v>
      </c>
      <c r="P134" s="55" t="s">
        <v>1412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180</v>
      </c>
      <c r="AJ134" s="10">
        <v>180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1445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1409</v>
      </c>
      <c r="P135" s="55" t="s">
        <v>1411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360</v>
      </c>
      <c r="AJ135" s="10">
        <v>360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1445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1409</v>
      </c>
      <c r="P136" s="55" t="s">
        <v>1411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540</v>
      </c>
      <c r="AJ136" s="10">
        <v>540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1445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1409</v>
      </c>
      <c r="P137" s="55" t="s">
        <v>1411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720</v>
      </c>
      <c r="AJ137" s="10">
        <v>720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1445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1409</v>
      </c>
      <c r="P138" s="55" t="s">
        <v>1411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900</v>
      </c>
      <c r="AJ138" s="10">
        <v>900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1445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1409</v>
      </c>
      <c r="P139" s="55" t="s">
        <v>1411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3500000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1080</v>
      </c>
      <c r="AJ139" s="10">
        <v>1080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1445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1409</v>
      </c>
      <c r="P140" s="55" t="s">
        <v>1411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1260</v>
      </c>
      <c r="AJ140" s="10">
        <v>1260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1445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1409</v>
      </c>
      <c r="P141" s="55" t="s">
        <v>1411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1440</v>
      </c>
      <c r="AJ141" s="10">
        <v>1440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1445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1409</v>
      </c>
      <c r="P142" s="55" t="s">
        <v>1411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1620</v>
      </c>
      <c r="AJ142" s="10">
        <v>1620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1445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1409</v>
      </c>
      <c r="P143" s="55" t="s">
        <v>1411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1800</v>
      </c>
      <c r="AJ143" s="10">
        <v>1800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1445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1409</v>
      </c>
      <c r="P144" s="55" t="s">
        <v>1411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1980</v>
      </c>
      <c r="AJ144" s="10">
        <v>1980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1445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1090</v>
      </c>
      <c r="P145" s="56" t="s">
        <v>1350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1057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1090</v>
      </c>
      <c r="P146" s="55" t="s">
        <v>1350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2</v>
      </c>
      <c r="AJ146" s="10">
        <v>2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1057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1091</v>
      </c>
      <c r="P147" s="55" t="s">
        <v>1351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3</v>
      </c>
      <c r="AJ147" s="10">
        <v>3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1057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1092</v>
      </c>
      <c r="P148" s="55" t="s">
        <v>1351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5</v>
      </c>
      <c r="AJ148" s="10">
        <v>5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1057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1093</v>
      </c>
      <c r="P149" s="55" t="s">
        <v>1352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8</v>
      </c>
      <c r="AJ149" s="10">
        <v>8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1057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1094</v>
      </c>
      <c r="P150" s="55" t="s">
        <v>1352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10</v>
      </c>
      <c r="AJ150" s="10">
        <v>10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1057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1095</v>
      </c>
      <c r="P151" s="55" t="s">
        <v>1353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15</v>
      </c>
      <c r="AJ151" s="10">
        <v>15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1057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1095</v>
      </c>
      <c r="P152" s="55" t="s">
        <v>1353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3500000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30</v>
      </c>
      <c r="AJ152" s="10">
        <v>30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1057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1414</v>
      </c>
      <c r="P153" s="55" t="s">
        <v>1416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60</v>
      </c>
      <c r="AJ153" s="10">
        <v>60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1057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1414</v>
      </c>
      <c r="P154" s="55" t="s">
        <v>1416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180</v>
      </c>
      <c r="AJ154" s="10">
        <v>180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1057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1413</v>
      </c>
      <c r="P155" s="55" t="s">
        <v>1415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360</v>
      </c>
      <c r="AJ155" s="10">
        <v>360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1057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1413</v>
      </c>
      <c r="P156" s="55" t="s">
        <v>1415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540</v>
      </c>
      <c r="AJ156" s="10">
        <v>540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1057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1413</v>
      </c>
      <c r="P157" s="55" t="s">
        <v>1415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3100000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3100000</v>
      </c>
      <c r="AG157" s="176">
        <f t="shared" ca="1" si="52"/>
        <v>4210000</v>
      </c>
      <c r="AI157" s="11">
        <f t="shared" si="49"/>
        <v>720</v>
      </c>
      <c r="AJ157" s="10">
        <v>720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1058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1413</v>
      </c>
      <c r="P158" s="55" t="s">
        <v>1415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4850000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4850000</v>
      </c>
      <c r="AG158" s="176">
        <f t="shared" ca="1" si="52"/>
        <v>7950000</v>
      </c>
      <c r="AI158" s="11">
        <f t="shared" si="49"/>
        <v>900</v>
      </c>
      <c r="AJ158" s="10">
        <v>900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1058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1413</v>
      </c>
      <c r="P159" s="55" t="s">
        <v>1415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10500000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10500000</v>
      </c>
      <c r="AG159" s="176">
        <f t="shared" ca="1" si="52"/>
        <v>15350000</v>
      </c>
      <c r="AI159" s="11">
        <f t="shared" si="49"/>
        <v>1080</v>
      </c>
      <c r="AJ159" s="10">
        <v>1080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1058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1413</v>
      </c>
      <c r="P160" s="55" t="s">
        <v>1415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21500000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21500000</v>
      </c>
      <c r="AG160" s="176">
        <f t="shared" ca="1" si="52"/>
        <v>32000000</v>
      </c>
      <c r="AI160" s="11">
        <f t="shared" si="49"/>
        <v>1260</v>
      </c>
      <c r="AJ160" s="10">
        <v>1260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1058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1413</v>
      </c>
      <c r="P161" s="55" t="s">
        <v>1415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40000000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40000000</v>
      </c>
      <c r="AG161" s="176">
        <f t="shared" ca="1" si="52"/>
        <v>61500000</v>
      </c>
      <c r="AI161" s="11">
        <f t="shared" si="49"/>
        <v>1440</v>
      </c>
      <c r="AJ161" s="10">
        <v>1440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1058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1413</v>
      </c>
      <c r="P162" s="55" t="s">
        <v>1415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65000000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65000000</v>
      </c>
      <c r="AG162" s="176">
        <f t="shared" ca="1" si="52"/>
        <v>105000000</v>
      </c>
      <c r="AI162" s="11">
        <f t="shared" si="49"/>
        <v>1620</v>
      </c>
      <c r="AJ162" s="10">
        <v>1620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1058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1413</v>
      </c>
      <c r="P163" s="55" t="s">
        <v>1415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100000000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100000000</v>
      </c>
      <c r="AG163" s="176">
        <f t="shared" ca="1" si="52"/>
        <v>165000000</v>
      </c>
      <c r="AI163" s="11">
        <f t="shared" si="49"/>
        <v>1800</v>
      </c>
      <c r="AJ163" s="10">
        <v>1800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1058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1413</v>
      </c>
      <c r="P164" s="55" t="s">
        <v>1415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160000000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160000000</v>
      </c>
      <c r="AG164" s="176">
        <f t="shared" ca="1" si="52"/>
        <v>260000000</v>
      </c>
      <c r="AI164" s="11">
        <f t="shared" si="49"/>
        <v>1980</v>
      </c>
      <c r="AJ164" s="10">
        <v>1980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1058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1354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3500000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1057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1354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3500000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2</v>
      </c>
      <c r="AJ166" s="10">
        <v>2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1057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1354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3500000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3</v>
      </c>
      <c r="AJ167" s="10">
        <v>3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1057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1354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3500000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5</v>
      </c>
      <c r="AJ168" s="10">
        <v>5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1057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1354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3500000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8</v>
      </c>
      <c r="AJ169" s="10">
        <v>8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1057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1354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3500000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10</v>
      </c>
      <c r="AJ170" s="10">
        <v>10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1057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1354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3500000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15</v>
      </c>
      <c r="AJ171" s="10">
        <v>15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1057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1354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3500000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30</v>
      </c>
      <c r="AJ172" s="10">
        <v>30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1057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1354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3500000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60</v>
      </c>
      <c r="AJ173" s="10">
        <v>60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1057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1354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3500000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180</v>
      </c>
      <c r="AJ174" s="10">
        <v>180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1057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1354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3500000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360</v>
      </c>
      <c r="AJ175" s="10">
        <v>360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1057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1354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3500000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540</v>
      </c>
      <c r="AJ176" s="10">
        <v>540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1057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1354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3500000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720</v>
      </c>
      <c r="AJ177" s="10">
        <v>720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1057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1354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3500000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900</v>
      </c>
      <c r="AJ178" s="10">
        <v>900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1057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1354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3500000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1080</v>
      </c>
      <c r="AJ179" s="10">
        <v>1080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1057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1354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3500000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1260</v>
      </c>
      <c r="AJ180" s="10">
        <v>1260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1057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1354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3500000</v>
      </c>
      <c r="AC181" s="55">
        <v>12</v>
      </c>
      <c r="AE181" s="11">
        <f t="shared" ca="1" si="57"/>
        <v>40000000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40000000</v>
      </c>
      <c r="AG181" s="176">
        <f t="shared" ca="1" si="59"/>
        <v>52900000</v>
      </c>
      <c r="AI181" s="11">
        <f t="shared" si="49"/>
        <v>1440</v>
      </c>
      <c r="AJ181" s="10">
        <v>1440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1058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1354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3500000</v>
      </c>
      <c r="AC182" s="55">
        <v>12</v>
      </c>
      <c r="AE182" s="11">
        <f t="shared" ca="1" si="57"/>
        <v>65000000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65000000</v>
      </c>
      <c r="AG182" s="176">
        <f t="shared" ca="1" si="59"/>
        <v>105000000</v>
      </c>
      <c r="AI182" s="11">
        <f t="shared" si="49"/>
        <v>1620</v>
      </c>
      <c r="AJ182" s="10">
        <v>1620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1058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1354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3500000</v>
      </c>
      <c r="AC183" s="55">
        <v>12</v>
      </c>
      <c r="AE183" s="11">
        <f t="shared" ca="1" si="57"/>
        <v>100000000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100000000</v>
      </c>
      <c r="AG183" s="176">
        <f t="shared" ca="1" si="59"/>
        <v>165000000</v>
      </c>
      <c r="AI183" s="11">
        <f t="shared" si="49"/>
        <v>1800</v>
      </c>
      <c r="AJ183" s="10">
        <v>1800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1058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1354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3500000</v>
      </c>
      <c r="AC184" s="55">
        <v>12</v>
      </c>
      <c r="AE184" s="11">
        <f t="shared" ca="1" si="57"/>
        <v>160000000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160000000</v>
      </c>
      <c r="AG184" s="176">
        <f t="shared" ca="1" si="59"/>
        <v>260000000</v>
      </c>
      <c r="AI184" s="11">
        <f t="shared" si="49"/>
        <v>1980</v>
      </c>
      <c r="AJ184" s="10">
        <v>1980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1058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1096</v>
      </c>
      <c r="P185" s="56" t="s">
        <v>1355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1417</v>
      </c>
      <c r="P186" s="55" t="s">
        <v>1355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2</v>
      </c>
      <c r="AJ186" s="10">
        <v>2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1355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3</v>
      </c>
      <c r="AJ187" s="10">
        <v>3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1355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5</v>
      </c>
      <c r="AJ188" s="10">
        <v>5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1355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8</v>
      </c>
      <c r="AJ189" s="10">
        <v>8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1355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10</v>
      </c>
      <c r="AJ190" s="10">
        <v>10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1355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15</v>
      </c>
      <c r="AJ191" s="10">
        <v>15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1355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30</v>
      </c>
      <c r="AJ192" s="10">
        <v>30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1355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3500000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60</v>
      </c>
      <c r="AJ193" s="10">
        <v>60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1355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3500000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180</v>
      </c>
      <c r="AJ194" s="10">
        <v>180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1355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3500000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360</v>
      </c>
      <c r="AJ195" s="10">
        <v>360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1355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2960000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2960000</v>
      </c>
      <c r="AG196" s="176">
        <f t="shared" ca="1" si="67"/>
        <v>3620000</v>
      </c>
      <c r="AI196" s="11">
        <f t="shared" si="63"/>
        <v>540</v>
      </c>
      <c r="AJ196" s="10">
        <v>540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1355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4960000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4960000</v>
      </c>
      <c r="AG197" s="176">
        <f t="shared" ca="1" si="67"/>
        <v>7920000</v>
      </c>
      <c r="AI197" s="11">
        <f t="shared" si="63"/>
        <v>720</v>
      </c>
      <c r="AJ197" s="10">
        <v>720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1355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7760000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7760000</v>
      </c>
      <c r="AG198" s="176">
        <f t="shared" ca="1" si="67"/>
        <v>12720000</v>
      </c>
      <c r="AI198" s="11">
        <f t="shared" si="63"/>
        <v>900</v>
      </c>
      <c r="AJ198" s="10">
        <v>900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1355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16800000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16800000</v>
      </c>
      <c r="AG199" s="176">
        <f t="shared" ca="1" si="67"/>
        <v>24560000</v>
      </c>
      <c r="AI199" s="11">
        <f t="shared" si="63"/>
        <v>1080</v>
      </c>
      <c r="AJ199" s="10">
        <v>1080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1355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34400000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34400000</v>
      </c>
      <c r="AG200" s="176">
        <f t="shared" ca="1" si="67"/>
        <v>51200000</v>
      </c>
      <c r="AI200" s="11">
        <f t="shared" si="63"/>
        <v>1260</v>
      </c>
      <c r="AJ200" s="10">
        <v>1260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1355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64000000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64000000</v>
      </c>
      <c r="AG201" s="176">
        <f t="shared" ca="1" si="67"/>
        <v>98400000</v>
      </c>
      <c r="AI201" s="11">
        <f t="shared" si="63"/>
        <v>1440</v>
      </c>
      <c r="AJ201" s="10">
        <v>1440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1355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104000000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104000000</v>
      </c>
      <c r="AG202" s="176">
        <f t="shared" ca="1" si="67"/>
        <v>168000000</v>
      </c>
      <c r="AI202" s="11">
        <f t="shared" si="63"/>
        <v>1620</v>
      </c>
      <c r="AJ202" s="10">
        <v>1620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1355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150000000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150000000</v>
      </c>
      <c r="AG203" s="176">
        <f t="shared" ca="1" si="67"/>
        <v>254000000</v>
      </c>
      <c r="AI203" s="11">
        <f t="shared" si="63"/>
        <v>1800</v>
      </c>
      <c r="AJ203" s="10">
        <v>1800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1355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240000000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240000000</v>
      </c>
      <c r="AG204" s="176">
        <f t="shared" ca="1" si="67"/>
        <v>390000000</v>
      </c>
      <c r="AI204" s="11">
        <f t="shared" si="63"/>
        <v>1980</v>
      </c>
      <c r="AJ204" s="10">
        <v>1980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1097</v>
      </c>
      <c r="P205" s="56" t="s">
        <v>1356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1097</v>
      </c>
      <c r="P206" s="55" t="s">
        <v>1356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2</v>
      </c>
      <c r="AJ206" s="10">
        <v>2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1097</v>
      </c>
      <c r="P207" s="55" t="s">
        <v>1356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3</v>
      </c>
      <c r="AJ207" s="10">
        <v>3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1097</v>
      </c>
      <c r="P208" s="55" t="s">
        <v>1356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5</v>
      </c>
      <c r="AJ208" s="10">
        <v>5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1097</v>
      </c>
      <c r="P209" s="55" t="s">
        <v>1356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8</v>
      </c>
      <c r="AJ209" s="10">
        <v>8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1097</v>
      </c>
      <c r="P210" s="55" t="s">
        <v>1356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10</v>
      </c>
      <c r="AJ210" s="10">
        <v>10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1097</v>
      </c>
      <c r="P211" s="55" t="s">
        <v>1356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15</v>
      </c>
      <c r="AJ211" s="10">
        <v>15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1098</v>
      </c>
      <c r="P212" s="55" t="s">
        <v>1357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30</v>
      </c>
      <c r="AJ212" s="10">
        <v>30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1098</v>
      </c>
      <c r="P213" s="55" t="s">
        <v>1357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60</v>
      </c>
      <c r="AJ213" s="10">
        <v>60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1099</v>
      </c>
      <c r="P214" s="55" t="s">
        <v>1358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180</v>
      </c>
      <c r="AJ214" s="10">
        <v>180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1099</v>
      </c>
      <c r="P215" s="55" t="s">
        <v>1358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360</v>
      </c>
      <c r="AJ215" s="10">
        <v>360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1099</v>
      </c>
      <c r="P216" s="55" t="s">
        <v>1358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2960000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2960000</v>
      </c>
      <c r="AG216" s="176">
        <f t="shared" ca="1" si="76"/>
        <v>3620000</v>
      </c>
      <c r="AI216" s="11">
        <f t="shared" si="72"/>
        <v>540</v>
      </c>
      <c r="AJ216" s="10">
        <v>540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1099</v>
      </c>
      <c r="P217" s="55" t="s">
        <v>1358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4960000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4960000</v>
      </c>
      <c r="AG217" s="176">
        <f t="shared" ca="1" si="76"/>
        <v>7920000</v>
      </c>
      <c r="AI217" s="11">
        <f t="shared" si="72"/>
        <v>720</v>
      </c>
      <c r="AJ217" s="10">
        <v>720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1099</v>
      </c>
      <c r="P218" s="55" t="s">
        <v>1358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7760000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7760000</v>
      </c>
      <c r="AG218" s="176">
        <f t="shared" ca="1" si="76"/>
        <v>12720000</v>
      </c>
      <c r="AI218" s="11">
        <f t="shared" si="72"/>
        <v>900</v>
      </c>
      <c r="AJ218" s="10">
        <v>900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1099</v>
      </c>
      <c r="P219" s="55" t="s">
        <v>1358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3500000</v>
      </c>
      <c r="AC219" s="55">
        <v>12</v>
      </c>
      <c r="AE219" s="11">
        <f t="shared" ca="1" si="77"/>
        <v>16800000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16800000</v>
      </c>
      <c r="AG219" s="176">
        <f t="shared" ca="1" si="76"/>
        <v>24560000</v>
      </c>
      <c r="AI219" s="11">
        <f t="shared" si="72"/>
        <v>1080</v>
      </c>
      <c r="AJ219" s="10">
        <v>1080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1099</v>
      </c>
      <c r="P220" s="55" t="s">
        <v>1358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34400000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34400000</v>
      </c>
      <c r="AG220" s="176">
        <f t="shared" ca="1" si="76"/>
        <v>51200000</v>
      </c>
      <c r="AI220" s="11">
        <f t="shared" si="72"/>
        <v>1260</v>
      </c>
      <c r="AJ220" s="10">
        <v>1260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1099</v>
      </c>
      <c r="P221" s="55" t="s">
        <v>1358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64000000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64000000</v>
      </c>
      <c r="AG221" s="176">
        <f t="shared" ca="1" si="76"/>
        <v>98400000</v>
      </c>
      <c r="AI221" s="11">
        <f t="shared" si="72"/>
        <v>1440</v>
      </c>
      <c r="AJ221" s="10">
        <v>1440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1099</v>
      </c>
      <c r="P222" s="55" t="s">
        <v>1358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104000000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104000000</v>
      </c>
      <c r="AG222" s="176">
        <f t="shared" ca="1" si="76"/>
        <v>168000000</v>
      </c>
      <c r="AI222" s="11">
        <f t="shared" si="72"/>
        <v>1620</v>
      </c>
      <c r="AJ222" s="10">
        <v>1620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1099</v>
      </c>
      <c r="P223" s="55" t="s">
        <v>1358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150000000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150000000</v>
      </c>
      <c r="AG223" s="176">
        <f t="shared" ca="1" si="76"/>
        <v>254000000</v>
      </c>
      <c r="AI223" s="11">
        <f t="shared" si="72"/>
        <v>1800</v>
      </c>
      <c r="AJ223" s="10">
        <v>1800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1099</v>
      </c>
      <c r="P224" s="55" t="s">
        <v>1358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240000000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240000000</v>
      </c>
      <c r="AG224" s="176">
        <f t="shared" ca="1" si="76"/>
        <v>390000000</v>
      </c>
      <c r="AI224" s="11">
        <f t="shared" si="72"/>
        <v>1980</v>
      </c>
      <c r="AJ224" s="10">
        <v>1980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1266</v>
      </c>
      <c r="P225" s="56" t="s">
        <v>1359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1057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1266</v>
      </c>
      <c r="P226" s="55" t="s">
        <v>1359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2</v>
      </c>
      <c r="AJ226" s="10">
        <v>2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1057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1267</v>
      </c>
      <c r="P227" s="55" t="s">
        <v>1360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3</v>
      </c>
      <c r="AJ227" s="10">
        <v>3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1057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1267</v>
      </c>
      <c r="P228" s="55" t="s">
        <v>1360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5</v>
      </c>
      <c r="AJ228" s="10">
        <v>5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1057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1268</v>
      </c>
      <c r="P229" s="55" t="s">
        <v>1361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8</v>
      </c>
      <c r="AJ229" s="10">
        <v>8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1057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1268</v>
      </c>
      <c r="P230" s="55" t="s">
        <v>1361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10</v>
      </c>
      <c r="AJ230" s="10">
        <v>10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1057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1269</v>
      </c>
      <c r="P231" s="55" t="s">
        <v>1362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15</v>
      </c>
      <c r="AJ231" s="10">
        <v>15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1057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1269</v>
      </c>
      <c r="P232" s="55" t="s">
        <v>1362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30</v>
      </c>
      <c r="AJ232" s="10">
        <v>30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1057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1271</v>
      </c>
      <c r="P233" s="55" t="s">
        <v>1363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60</v>
      </c>
      <c r="AJ233" s="10">
        <v>60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1057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1272</v>
      </c>
      <c r="P234" s="55" t="s">
        <v>1363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180</v>
      </c>
      <c r="AJ234" s="10">
        <v>180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1057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1270</v>
      </c>
      <c r="P235" s="55" t="s">
        <v>1363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360</v>
      </c>
      <c r="AJ235" s="10">
        <v>360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1057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1270</v>
      </c>
      <c r="P236" s="55" t="s">
        <v>1363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540</v>
      </c>
      <c r="AJ236" s="10">
        <v>540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1057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1270</v>
      </c>
      <c r="P237" s="55" t="s">
        <v>1363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720</v>
      </c>
      <c r="AJ237" s="10">
        <v>720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1057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1270</v>
      </c>
      <c r="P238" s="55" t="s">
        <v>1363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1824000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1824000</v>
      </c>
      <c r="AG238" s="176">
        <f t="shared" ca="1" si="78"/>
        <v>2802000</v>
      </c>
      <c r="AI238" s="11">
        <f t="shared" si="79"/>
        <v>900</v>
      </c>
      <c r="AJ238" s="10">
        <v>900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1058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1270</v>
      </c>
      <c r="P239" s="55" t="s">
        <v>1363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3500000</v>
      </c>
      <c r="AC239" s="55">
        <v>12</v>
      </c>
      <c r="AE239" s="11">
        <f t="shared" ca="1" si="77"/>
        <v>3630000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3630000</v>
      </c>
      <c r="AG239" s="176">
        <f t="shared" ca="1" si="78"/>
        <v>5454000</v>
      </c>
      <c r="AI239" s="11">
        <f t="shared" si="79"/>
        <v>1080</v>
      </c>
      <c r="AJ239" s="10">
        <v>1080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1058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1270</v>
      </c>
      <c r="P240" s="55" t="s">
        <v>1363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10460000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10460000</v>
      </c>
      <c r="AG240" s="176">
        <f t="shared" ca="1" si="78"/>
        <v>14090000</v>
      </c>
      <c r="AI240" s="11">
        <f t="shared" si="79"/>
        <v>1260</v>
      </c>
      <c r="AJ240" s="10">
        <v>1260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1058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1270</v>
      </c>
      <c r="P241" s="55" t="s">
        <v>1363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18910000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18910000</v>
      </c>
      <c r="AG241" s="176">
        <f t="shared" ca="1" si="78"/>
        <v>29370000</v>
      </c>
      <c r="AI241" s="11">
        <f t="shared" si="79"/>
        <v>1440</v>
      </c>
      <c r="AJ241" s="10">
        <v>1440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1058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1270</v>
      </c>
      <c r="P242" s="55" t="s">
        <v>1363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32300000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32300000</v>
      </c>
      <c r="AG242" s="176">
        <f t="shared" ca="1" si="78"/>
        <v>51210000</v>
      </c>
      <c r="AI242" s="11">
        <f t="shared" si="79"/>
        <v>1620</v>
      </c>
      <c r="AJ242" s="10">
        <v>1620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1058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1270</v>
      </c>
      <c r="P243" s="55" t="s">
        <v>1363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52900000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52900000</v>
      </c>
      <c r="AG243" s="176">
        <f t="shared" ca="1" si="78"/>
        <v>85200000</v>
      </c>
      <c r="AI243" s="11">
        <f t="shared" si="79"/>
        <v>1800</v>
      </c>
      <c r="AJ243" s="10">
        <v>1800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1058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1270</v>
      </c>
      <c r="P244" s="55" t="s">
        <v>1363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88000000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88000000</v>
      </c>
      <c r="AG244" s="176">
        <f t="shared" ca="1" si="78"/>
        <v>140900000</v>
      </c>
      <c r="AI244" s="11">
        <f t="shared" si="79"/>
        <v>1980</v>
      </c>
      <c r="AJ244" s="10">
        <v>1980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1058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13</v>
      </c>
      <c r="M245" s="16">
        <v>1</v>
      </c>
      <c r="N245" s="16">
        <v>15</v>
      </c>
      <c r="O245" s="16" t="s">
        <v>1100</v>
      </c>
      <c r="P245" s="56" t="s">
        <v>1364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15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1101</v>
      </c>
      <c r="P246" s="55" t="s">
        <v>1364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15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2</v>
      </c>
      <c r="AJ246" s="10">
        <v>2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1102</v>
      </c>
      <c r="P247" s="55" t="s">
        <v>1365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15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3</v>
      </c>
      <c r="AJ247" s="10">
        <v>3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1102</v>
      </c>
      <c r="P248" s="55" t="s">
        <v>1365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15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5</v>
      </c>
      <c r="AJ248" s="10">
        <v>5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1103</v>
      </c>
      <c r="P249" s="55" t="s">
        <v>1366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15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8</v>
      </c>
      <c r="AJ249" s="10">
        <v>8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1104</v>
      </c>
      <c r="P250" s="55" t="s">
        <v>1366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15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10</v>
      </c>
      <c r="AJ250" s="10">
        <v>10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1105</v>
      </c>
      <c r="P251" s="55" t="s">
        <v>1367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15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15</v>
      </c>
      <c r="AJ251" s="10">
        <v>15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1105</v>
      </c>
      <c r="P252" s="55" t="s">
        <v>1367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16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30</v>
      </c>
      <c r="AJ252" s="10">
        <v>30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1419</v>
      </c>
      <c r="P253" s="55" t="s">
        <v>1421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16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60</v>
      </c>
      <c r="AJ253" s="10">
        <v>60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1419</v>
      </c>
      <c r="P254" s="55" t="s">
        <v>1421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16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180</v>
      </c>
      <c r="AJ254" s="10">
        <v>180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1418</v>
      </c>
      <c r="P255" s="55" t="s">
        <v>1420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16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360</v>
      </c>
      <c r="AJ255" s="10">
        <v>360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1418</v>
      </c>
      <c r="P256" s="55" t="s">
        <v>1420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16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540</v>
      </c>
      <c r="AJ256" s="10">
        <v>540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1418</v>
      </c>
      <c r="P257" s="55" t="s">
        <v>1420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16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6200000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6200000</v>
      </c>
      <c r="AG257" s="176">
        <f t="shared" ca="1" si="81"/>
        <v>8420000</v>
      </c>
      <c r="AI257" s="11">
        <f t="shared" si="79"/>
        <v>720</v>
      </c>
      <c r="AJ257" s="10">
        <v>720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1418</v>
      </c>
      <c r="P258" s="55" t="s">
        <v>1420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17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9700000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9700000</v>
      </c>
      <c r="AG258" s="176">
        <f t="shared" ca="1" si="81"/>
        <v>15900000</v>
      </c>
      <c r="AI258" s="11">
        <f t="shared" si="79"/>
        <v>900</v>
      </c>
      <c r="AJ258" s="10">
        <v>900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1418</v>
      </c>
      <c r="P259" s="55" t="s">
        <v>1420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17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21000000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21000000</v>
      </c>
      <c r="AG259" s="176">
        <f t="shared" ca="1" si="81"/>
        <v>30700000</v>
      </c>
      <c r="AI259" s="11">
        <f t="shared" si="79"/>
        <v>1080</v>
      </c>
      <c r="AJ259" s="10">
        <v>1080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1418</v>
      </c>
      <c r="P260" s="55" t="s">
        <v>1420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17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43000000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43000000</v>
      </c>
      <c r="AG260" s="176">
        <f t="shared" ca="1" si="81"/>
        <v>64000000</v>
      </c>
      <c r="AI260" s="11">
        <f t="shared" si="79"/>
        <v>1260</v>
      </c>
      <c r="AJ260" s="10">
        <v>1260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1418</v>
      </c>
      <c r="P261" s="55" t="s">
        <v>1420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18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80000000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80000000</v>
      </c>
      <c r="AG261" s="176">
        <f t="shared" ca="1" si="81"/>
        <v>123000000</v>
      </c>
      <c r="AI261" s="11">
        <f t="shared" si="79"/>
        <v>1440</v>
      </c>
      <c r="AJ261" s="10">
        <v>1440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1418</v>
      </c>
      <c r="P262" s="55" t="s">
        <v>1420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130000000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130000000</v>
      </c>
      <c r="AG262" s="176">
        <f t="shared" ca="1" si="81"/>
        <v>210000000</v>
      </c>
      <c r="AI262" s="11">
        <f t="shared" si="79"/>
        <v>1620</v>
      </c>
      <c r="AJ262" s="10">
        <v>1620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1418</v>
      </c>
      <c r="P263" s="55" t="s">
        <v>1420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200000000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200000000</v>
      </c>
      <c r="AG263" s="176">
        <f t="shared" ca="1" si="81"/>
        <v>330000000</v>
      </c>
      <c r="AI263" s="11">
        <f t="shared" si="79"/>
        <v>1800</v>
      </c>
      <c r="AJ263" s="10">
        <v>1800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1418</v>
      </c>
      <c r="P264" s="55" t="s">
        <v>1420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320000000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320000000</v>
      </c>
      <c r="AG264" s="176">
        <f t="shared" ca="1" si="81"/>
        <v>520000000</v>
      </c>
      <c r="AI264" s="11">
        <f t="shared" si="79"/>
        <v>1980</v>
      </c>
      <c r="AJ264" s="10">
        <v>1980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2</v>
      </c>
      <c r="AJ266" s="10">
        <v>2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3</v>
      </c>
      <c r="AJ267" s="10">
        <v>3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5</v>
      </c>
      <c r="AJ268" s="10">
        <v>5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8</v>
      </c>
      <c r="AJ269" s="10">
        <v>8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10</v>
      </c>
      <c r="AJ270" s="10">
        <v>10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15</v>
      </c>
      <c r="AJ271" s="10">
        <v>15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30</v>
      </c>
      <c r="AJ272" s="10">
        <v>30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60</v>
      </c>
      <c r="AJ273" s="10">
        <v>60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180</v>
      </c>
      <c r="AJ274" s="10">
        <v>180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360</v>
      </c>
      <c r="AJ275" s="10">
        <v>360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540</v>
      </c>
      <c r="AJ276" s="10">
        <v>540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720</v>
      </c>
      <c r="AJ277" s="10">
        <v>720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900</v>
      </c>
      <c r="AJ278" s="10">
        <v>900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1080</v>
      </c>
      <c r="AJ279" s="10">
        <v>1080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1260</v>
      </c>
      <c r="AJ280" s="10">
        <v>1260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104000000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104000000</v>
      </c>
      <c r="AG281" s="176">
        <f t="shared" ca="1" si="88"/>
        <v>142700000</v>
      </c>
      <c r="AI281" s="11">
        <f t="shared" si="79"/>
        <v>1440</v>
      </c>
      <c r="AJ281" s="10">
        <v>1440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195000000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195000000</v>
      </c>
      <c r="AG282" s="176">
        <f t="shared" ca="1" si="88"/>
        <v>299000000</v>
      </c>
      <c r="AI282" s="11">
        <f t="shared" si="79"/>
        <v>1620</v>
      </c>
      <c r="AJ282" s="10">
        <v>1620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300000000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300000000</v>
      </c>
      <c r="AG283" s="176">
        <f t="shared" ca="1" si="88"/>
        <v>495000000</v>
      </c>
      <c r="AI283" s="11">
        <f t="shared" si="79"/>
        <v>1800</v>
      </c>
      <c r="AJ283" s="10">
        <v>1800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480000000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480000000</v>
      </c>
      <c r="AG284" s="176">
        <f t="shared" ca="1" si="88"/>
        <v>780000000</v>
      </c>
      <c r="AI284" s="11">
        <f t="shared" si="79"/>
        <v>1980</v>
      </c>
      <c r="AJ284" s="10">
        <v>1980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1368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1368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2</v>
      </c>
      <c r="AJ286" s="10">
        <v>2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1368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3</v>
      </c>
      <c r="AJ287" s="10">
        <v>3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1368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5</v>
      </c>
      <c r="AJ288" s="10">
        <v>5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1368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8</v>
      </c>
      <c r="AJ289" s="10">
        <v>8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1368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10</v>
      </c>
      <c r="AJ290" s="10">
        <v>10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1368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15</v>
      </c>
      <c r="AJ291" s="10">
        <v>15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1368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30</v>
      </c>
      <c r="AJ292" s="10">
        <v>30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1368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60</v>
      </c>
      <c r="AJ293" s="10">
        <v>60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1368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180</v>
      </c>
      <c r="AJ294" s="10">
        <v>180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1368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360</v>
      </c>
      <c r="AJ295" s="10">
        <v>360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1368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540</v>
      </c>
      <c r="AJ296" s="10">
        <v>540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1368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720</v>
      </c>
      <c r="AJ297" s="10">
        <v>720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1368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900</v>
      </c>
      <c r="AJ298" s="10">
        <v>900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1368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1080</v>
      </c>
      <c r="AJ299" s="10">
        <v>1080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1368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1260</v>
      </c>
      <c r="AJ300" s="10">
        <v>1260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1368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80000000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80000000</v>
      </c>
      <c r="AG301" s="176">
        <f t="shared" ca="1" si="97"/>
        <v>105800000</v>
      </c>
      <c r="AI301" s="11">
        <f t="shared" si="93"/>
        <v>1440</v>
      </c>
      <c r="AJ301" s="10">
        <v>1440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1368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130000000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130000000</v>
      </c>
      <c r="AG302" s="176">
        <f t="shared" ca="1" si="97"/>
        <v>210000000</v>
      </c>
      <c r="AI302" s="11">
        <f t="shared" si="93"/>
        <v>1620</v>
      </c>
      <c r="AJ302" s="10">
        <v>1620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1368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200000000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200000000</v>
      </c>
      <c r="AG303" s="176">
        <f t="shared" ca="1" si="97"/>
        <v>330000000</v>
      </c>
      <c r="AI303" s="11">
        <f t="shared" si="93"/>
        <v>1800</v>
      </c>
      <c r="AJ303" s="10">
        <v>1800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1368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320000000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320000000</v>
      </c>
      <c r="AG304" s="176">
        <f t="shared" ca="1" si="97"/>
        <v>520000000</v>
      </c>
      <c r="AI304" s="11">
        <f t="shared" si="93"/>
        <v>1980</v>
      </c>
      <c r="AJ304" s="10">
        <v>1980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14</v>
      </c>
      <c r="M305" s="16">
        <v>1</v>
      </c>
      <c r="N305" s="16">
        <v>15</v>
      </c>
      <c r="O305" s="16" t="s">
        <v>1106</v>
      </c>
      <c r="P305" s="56" t="s">
        <v>1369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16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1107</v>
      </c>
      <c r="P306" s="55" t="s">
        <v>1369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16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2</v>
      </c>
      <c r="AJ306" s="10">
        <v>2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1108</v>
      </c>
      <c r="P307" s="55" t="s">
        <v>1370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16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3</v>
      </c>
      <c r="AJ307" s="10">
        <v>3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1109</v>
      </c>
      <c r="P308" s="55" t="s">
        <v>1370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16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5</v>
      </c>
      <c r="AJ308" s="10">
        <v>5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1110</v>
      </c>
      <c r="P309" s="55" t="s">
        <v>1371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16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8</v>
      </c>
      <c r="AJ309" s="10">
        <v>8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1111</v>
      </c>
      <c r="P310" s="55" t="s">
        <v>1371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16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10</v>
      </c>
      <c r="AJ310" s="10">
        <v>10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1112</v>
      </c>
      <c r="P311" s="55" t="s">
        <v>1372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16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15</v>
      </c>
      <c r="AJ311" s="10">
        <v>15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1112</v>
      </c>
      <c r="P312" s="55" t="s">
        <v>1372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16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30</v>
      </c>
      <c r="AJ312" s="10">
        <v>30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1423</v>
      </c>
      <c r="P313" s="55" t="s">
        <v>1425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16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60</v>
      </c>
      <c r="AJ313" s="10">
        <v>60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1423</v>
      </c>
      <c r="P314" s="55" t="s">
        <v>1425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16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180</v>
      </c>
      <c r="AJ314" s="10">
        <v>180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1422</v>
      </c>
      <c r="P315" s="55" t="s">
        <v>1424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16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360</v>
      </c>
      <c r="AJ315" s="10">
        <v>360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1422</v>
      </c>
      <c r="P316" s="55" t="s">
        <v>1424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16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540</v>
      </c>
      <c r="AJ316" s="10">
        <v>540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1422</v>
      </c>
      <c r="P317" s="55" t="s">
        <v>1424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16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720</v>
      </c>
      <c r="AJ317" s="10">
        <v>720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1422</v>
      </c>
      <c r="P318" s="55" t="s">
        <v>1424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17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900</v>
      </c>
      <c r="AJ318" s="10">
        <v>900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1422</v>
      </c>
      <c r="P319" s="55" t="s">
        <v>1424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17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1080</v>
      </c>
      <c r="AJ319" s="10">
        <v>1080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1422</v>
      </c>
      <c r="P320" s="55" t="s">
        <v>1424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17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1260</v>
      </c>
      <c r="AJ320" s="10">
        <v>1260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1422</v>
      </c>
      <c r="P321" s="55" t="s">
        <v>1424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18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1440</v>
      </c>
      <c r="AJ321" s="10">
        <v>1440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1422</v>
      </c>
      <c r="P322" s="55" t="s">
        <v>1424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1620</v>
      </c>
      <c r="AJ322" s="10">
        <v>1620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1422</v>
      </c>
      <c r="P323" s="55" t="s">
        <v>1424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12900000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12900000</v>
      </c>
      <c r="AG323" s="176">
        <f t="shared" ca="1" si="101"/>
        <v>16680000</v>
      </c>
      <c r="AI323" s="11">
        <f t="shared" si="99"/>
        <v>1800</v>
      </c>
      <c r="AJ323" s="10">
        <v>1800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1422</v>
      </c>
      <c r="P324" s="55" t="s">
        <v>1424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24000000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24000000</v>
      </c>
      <c r="AG324" s="176">
        <f t="shared" ca="1" si="101"/>
        <v>36900000</v>
      </c>
      <c r="AI324" s="11">
        <f t="shared" si="99"/>
        <v>1980</v>
      </c>
      <c r="AJ324" s="10">
        <v>1980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1373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1373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2</v>
      </c>
      <c r="AJ326" s="10">
        <v>2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1373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3500000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3</v>
      </c>
      <c r="AJ327" s="10">
        <v>3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1373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5</v>
      </c>
      <c r="AJ328" s="10">
        <v>5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1373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8</v>
      </c>
      <c r="AJ329" s="10">
        <v>8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1373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10</v>
      </c>
      <c r="AJ330" s="10">
        <v>10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1373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15</v>
      </c>
      <c r="AJ331" s="10">
        <v>15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1373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30</v>
      </c>
      <c r="AJ332" s="10">
        <v>30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1373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172200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172200</v>
      </c>
      <c r="AG333" s="176">
        <f t="shared" ca="1" si="107"/>
        <v>232460</v>
      </c>
      <c r="AI333" s="11">
        <f t="shared" si="99"/>
        <v>60</v>
      </c>
      <c r="AJ333" s="10">
        <v>60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1373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296000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296000</v>
      </c>
      <c r="AG334" s="176">
        <f t="shared" ca="1" si="107"/>
        <v>468200</v>
      </c>
      <c r="AI334" s="11">
        <f t="shared" si="99"/>
        <v>180</v>
      </c>
      <c r="AJ334" s="10">
        <v>180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1373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515600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515600</v>
      </c>
      <c r="AG335" s="176">
        <f t="shared" ca="1" si="107"/>
        <v>811600</v>
      </c>
      <c r="AI335" s="11">
        <f t="shared" si="99"/>
        <v>360</v>
      </c>
      <c r="AJ335" s="10">
        <v>360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1373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880400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880400</v>
      </c>
      <c r="AG336" s="176">
        <f t="shared" ca="1" si="107"/>
        <v>1396000</v>
      </c>
      <c r="AI336" s="11">
        <f t="shared" si="99"/>
        <v>540</v>
      </c>
      <c r="AJ336" s="10">
        <v>540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1373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1474000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1474000</v>
      </c>
      <c r="AG337" s="176">
        <f t="shared" ca="1" si="107"/>
        <v>2354400</v>
      </c>
      <c r="AI337" s="11">
        <f t="shared" si="99"/>
        <v>720</v>
      </c>
      <c r="AJ337" s="10">
        <v>720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1373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2336000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2336000</v>
      </c>
      <c r="AG338" s="176">
        <f t="shared" ca="1" si="107"/>
        <v>3810000</v>
      </c>
      <c r="AI338" s="11">
        <f t="shared" si="99"/>
        <v>900</v>
      </c>
      <c r="AJ338" s="10">
        <v>900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1373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4866000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4866000</v>
      </c>
      <c r="AG339" s="176">
        <f t="shared" ca="1" si="107"/>
        <v>7202000</v>
      </c>
      <c r="AI339" s="11">
        <f t="shared" si="99"/>
        <v>1080</v>
      </c>
      <c r="AJ339" s="10">
        <v>1080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1373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9716000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9716000</v>
      </c>
      <c r="AG340" s="176">
        <f t="shared" ca="1" si="107"/>
        <v>14582000</v>
      </c>
      <c r="AI340" s="11">
        <f t="shared" si="99"/>
        <v>1260</v>
      </c>
      <c r="AJ340" s="10">
        <v>1260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1373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17746000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17746000</v>
      </c>
      <c r="AG341" s="176">
        <f t="shared" ca="1" si="107"/>
        <v>27462000</v>
      </c>
      <c r="AI341" s="11">
        <f t="shared" si="99"/>
        <v>1440</v>
      </c>
      <c r="AJ341" s="10">
        <v>1440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1373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29780000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29780000</v>
      </c>
      <c r="AG342" s="176">
        <f t="shared" ca="1" si="107"/>
        <v>47526000</v>
      </c>
      <c r="AI342" s="11">
        <f t="shared" si="99"/>
        <v>1620</v>
      </c>
      <c r="AJ342" s="10">
        <v>1620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1373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47740000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47740000</v>
      </c>
      <c r="AG343" s="176">
        <f t="shared" ca="1" si="107"/>
        <v>77520000</v>
      </c>
      <c r="AI343" s="11">
        <f t="shared" si="99"/>
        <v>1800</v>
      </c>
      <c r="AJ343" s="10">
        <v>1800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1373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78400000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78400000</v>
      </c>
      <c r="AG344" s="176">
        <f t="shared" ca="1" si="107"/>
        <v>126140000</v>
      </c>
      <c r="AI344" s="11">
        <f t="shared" si="99"/>
        <v>1980</v>
      </c>
      <c r="AJ344" s="10">
        <v>1980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11</v>
      </c>
      <c r="M345" s="16">
        <v>1</v>
      </c>
      <c r="N345" s="16">
        <v>15</v>
      </c>
      <c r="O345" s="16" t="s">
        <v>737</v>
      </c>
      <c r="P345" s="56" t="s">
        <v>1374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6000000</v>
      </c>
      <c r="AC345" s="56">
        <v>13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1374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6000000</v>
      </c>
      <c r="AC346" s="55">
        <v>13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2</v>
      </c>
      <c r="AJ346" s="10">
        <v>2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1374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6000000</v>
      </c>
      <c r="AC347" s="55">
        <v>13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3</v>
      </c>
      <c r="AJ347" s="10">
        <v>3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1374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5</v>
      </c>
      <c r="AJ348" s="10">
        <v>5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1374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8</v>
      </c>
      <c r="AJ349" s="10">
        <v>8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1374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10</v>
      </c>
      <c r="AJ350" s="10">
        <v>10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1374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15</v>
      </c>
      <c r="AJ351" s="10">
        <v>15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1374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30</v>
      </c>
      <c r="AJ352" s="10">
        <v>30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1374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60</v>
      </c>
      <c r="AJ353" s="10">
        <v>60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1374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180</v>
      </c>
      <c r="AJ354" s="10">
        <v>180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1374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360</v>
      </c>
      <c r="AJ355" s="10">
        <v>360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1374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880400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880400</v>
      </c>
      <c r="AG356" s="176">
        <f t="shared" ca="1" si="109"/>
        <v>1220000</v>
      </c>
      <c r="AI356" s="11">
        <f t="shared" si="99"/>
        <v>540</v>
      </c>
      <c r="AJ356" s="10">
        <v>540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1374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1474000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1474000</v>
      </c>
      <c r="AG357" s="176">
        <f t="shared" ca="1" si="109"/>
        <v>2354400</v>
      </c>
      <c r="AI357" s="11">
        <f t="shared" si="99"/>
        <v>720</v>
      </c>
      <c r="AJ357" s="10">
        <v>720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1374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2336000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2336000</v>
      </c>
      <c r="AG358" s="176">
        <f t="shared" ca="1" si="109"/>
        <v>3810000</v>
      </c>
      <c r="AI358" s="11">
        <f t="shared" si="99"/>
        <v>900</v>
      </c>
      <c r="AJ358" s="10">
        <v>900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1374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4866000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4866000</v>
      </c>
      <c r="AG359" s="176">
        <f t="shared" ca="1" si="109"/>
        <v>7202000</v>
      </c>
      <c r="AI359" s="11">
        <f t="shared" si="99"/>
        <v>1080</v>
      </c>
      <c r="AJ359" s="10">
        <v>1080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1374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9716000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9716000</v>
      </c>
      <c r="AG360" s="176">
        <f t="shared" ca="1" si="109"/>
        <v>14582000</v>
      </c>
      <c r="AI360" s="11">
        <f t="shared" si="99"/>
        <v>1260</v>
      </c>
      <c r="AJ360" s="10">
        <v>1260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1374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17746000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17746000</v>
      </c>
      <c r="AG361" s="176">
        <f t="shared" ca="1" si="109"/>
        <v>27462000</v>
      </c>
      <c r="AI361" s="11">
        <f t="shared" si="99"/>
        <v>1440</v>
      </c>
      <c r="AJ361" s="10">
        <v>1440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1374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29780000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29780000</v>
      </c>
      <c r="AG362" s="176">
        <f t="shared" ca="1" si="109"/>
        <v>47526000</v>
      </c>
      <c r="AI362" s="11">
        <f t="shared" si="99"/>
        <v>1620</v>
      </c>
      <c r="AJ362" s="10">
        <v>1620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1374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47740000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47740000</v>
      </c>
      <c r="AG363" s="176">
        <f t="shared" ca="1" si="109"/>
        <v>77520000</v>
      </c>
      <c r="AI363" s="11">
        <f t="shared" si="99"/>
        <v>1800</v>
      </c>
      <c r="AJ363" s="10">
        <v>1800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1374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78400000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78400000</v>
      </c>
      <c r="AG364" s="176">
        <f t="shared" ca="1" si="109"/>
        <v>126140000</v>
      </c>
      <c r="AI364" s="11">
        <f t="shared" si="99"/>
        <v>1980</v>
      </c>
      <c r="AJ364" s="10">
        <v>1980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1113</v>
      </c>
      <c r="P365" s="56" t="s">
        <v>1375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1114</v>
      </c>
      <c r="P366" s="55" t="s">
        <v>1375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2</v>
      </c>
      <c r="AJ366" s="10">
        <v>2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1115</v>
      </c>
      <c r="P367" s="55" t="s">
        <v>1376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3</v>
      </c>
      <c r="AJ367" s="10">
        <v>3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1116</v>
      </c>
      <c r="P368" s="55" t="s">
        <v>1376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5</v>
      </c>
      <c r="AJ368" s="10">
        <v>5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1117</v>
      </c>
      <c r="P369" s="55" t="s">
        <v>1377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8</v>
      </c>
      <c r="AJ369" s="10">
        <v>8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1118</v>
      </c>
      <c r="P370" s="55" t="s">
        <v>1377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10</v>
      </c>
      <c r="AJ370" s="10">
        <v>10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1119</v>
      </c>
      <c r="P371" s="55" t="s">
        <v>1378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15</v>
      </c>
      <c r="AJ371" s="10">
        <v>15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1119</v>
      </c>
      <c r="P372" s="55" t="s">
        <v>1378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30</v>
      </c>
      <c r="AJ372" s="10">
        <v>30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1427</v>
      </c>
      <c r="P373" s="55" t="s">
        <v>1429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60</v>
      </c>
      <c r="AJ373" s="10">
        <v>60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1427</v>
      </c>
      <c r="P374" s="55" t="s">
        <v>1429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180</v>
      </c>
      <c r="AJ374" s="10">
        <v>180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1426</v>
      </c>
      <c r="P375" s="55" t="s">
        <v>1428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360</v>
      </c>
      <c r="AJ375" s="10">
        <v>360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1426</v>
      </c>
      <c r="P376" s="55" t="s">
        <v>1428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540</v>
      </c>
      <c r="AJ376" s="10">
        <v>540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1426</v>
      </c>
      <c r="P377" s="55" t="s">
        <v>1428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720</v>
      </c>
      <c r="AJ377" s="10">
        <v>720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1426</v>
      </c>
      <c r="P378" s="55" t="s">
        <v>1428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900</v>
      </c>
      <c r="AJ378" s="10">
        <v>900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1426</v>
      </c>
      <c r="P379" s="55" t="s">
        <v>1428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3500000</v>
      </c>
      <c r="AC379" s="55">
        <v>12</v>
      </c>
      <c r="AE379" s="11">
        <f t="shared" ca="1" si="108"/>
        <v>1764000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1764000</v>
      </c>
      <c r="AG379" s="176">
        <f t="shared" ca="1" si="112"/>
        <v>2346000</v>
      </c>
      <c r="AI379" s="11">
        <f t="shared" si="110"/>
        <v>1080</v>
      </c>
      <c r="AJ379" s="10">
        <v>1080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1426</v>
      </c>
      <c r="P380" s="55" t="s">
        <v>1428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3612000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3612000</v>
      </c>
      <c r="AG380" s="176">
        <f t="shared" ca="1" si="112"/>
        <v>5376000</v>
      </c>
      <c r="AI380" s="11">
        <f t="shared" si="110"/>
        <v>1260</v>
      </c>
      <c r="AJ380" s="10">
        <v>1260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1426</v>
      </c>
      <c r="P381" s="55" t="s">
        <v>1428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6720000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6720000</v>
      </c>
      <c r="AG381" s="176">
        <f t="shared" ca="1" si="112"/>
        <v>10332000</v>
      </c>
      <c r="AI381" s="11">
        <f t="shared" si="110"/>
        <v>1440</v>
      </c>
      <c r="AJ381" s="10">
        <v>1440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1426</v>
      </c>
      <c r="P382" s="55" t="s">
        <v>1428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10920000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10920000</v>
      </c>
      <c r="AG382" s="176">
        <f t="shared" ca="1" si="112"/>
        <v>17640000</v>
      </c>
      <c r="AI382" s="11">
        <f t="shared" si="110"/>
        <v>1620</v>
      </c>
      <c r="AJ382" s="10">
        <v>1620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1426</v>
      </c>
      <c r="P383" s="55" t="s">
        <v>1428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16800000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16800000</v>
      </c>
      <c r="AG383" s="176">
        <f t="shared" ca="1" si="112"/>
        <v>27720000</v>
      </c>
      <c r="AI383" s="11">
        <f t="shared" si="110"/>
        <v>1800</v>
      </c>
      <c r="AJ383" s="10">
        <v>1800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1426</v>
      </c>
      <c r="P384" s="55" t="s">
        <v>1428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26880000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26880000</v>
      </c>
      <c r="AG384" s="176">
        <f t="shared" ca="1" si="112"/>
        <v>43680000</v>
      </c>
      <c r="AI384" s="11">
        <f t="shared" si="110"/>
        <v>1980</v>
      </c>
      <c r="AJ384" s="10">
        <v>1980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1379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1379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2</v>
      </c>
      <c r="AJ386" s="10">
        <v>2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1379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3</v>
      </c>
      <c r="AJ387" s="10">
        <v>3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1379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5</v>
      </c>
      <c r="AJ388" s="10">
        <v>5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1379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8</v>
      </c>
      <c r="AJ389" s="10">
        <v>8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1379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10</v>
      </c>
      <c r="AJ390" s="10">
        <v>10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1379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15</v>
      </c>
      <c r="AJ391" s="10">
        <v>15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1379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3500000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30</v>
      </c>
      <c r="AJ392" s="10">
        <v>30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1379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60</v>
      </c>
      <c r="AJ393" s="10">
        <v>60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1379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180</v>
      </c>
      <c r="AJ394" s="10">
        <v>180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1379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360</v>
      </c>
      <c r="AJ395" s="10">
        <v>360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1379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540</v>
      </c>
      <c r="AJ396" s="10">
        <v>540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1379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720</v>
      </c>
      <c r="AJ397" s="10">
        <v>720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1379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900</v>
      </c>
      <c r="AJ398" s="10">
        <v>900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1379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1080</v>
      </c>
      <c r="AJ399" s="10">
        <v>1080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1379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1260</v>
      </c>
      <c r="AJ400" s="10">
        <v>1260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1379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1440</v>
      </c>
      <c r="AJ401" s="10">
        <v>1440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1379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1620</v>
      </c>
      <c r="AJ402" s="10">
        <v>1620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1379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1800</v>
      </c>
      <c r="AJ403" s="10">
        <v>1800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1379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1980</v>
      </c>
      <c r="AJ404" s="10">
        <v>1980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1120</v>
      </c>
      <c r="P405" s="56" t="s">
        <v>1380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1438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1120</v>
      </c>
      <c r="P406" s="55" t="s">
        <v>1380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2</v>
      </c>
      <c r="AJ406" s="10">
        <v>2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1438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1121</v>
      </c>
      <c r="P407" s="55" t="s">
        <v>1381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3</v>
      </c>
      <c r="AJ407" s="10">
        <v>3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1438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1122</v>
      </c>
      <c r="P408" s="55" t="s">
        <v>1381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5</v>
      </c>
      <c r="AJ408" s="10">
        <v>5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1438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1123</v>
      </c>
      <c r="P409" s="55" t="s">
        <v>1382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8</v>
      </c>
      <c r="AJ409" s="10">
        <v>8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1438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1124</v>
      </c>
      <c r="P410" s="55" t="s">
        <v>1382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10</v>
      </c>
      <c r="AJ410" s="10">
        <v>10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1438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1125</v>
      </c>
      <c r="P411" s="55" t="s">
        <v>1383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15</v>
      </c>
      <c r="AJ411" s="10">
        <v>15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1438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1125</v>
      </c>
      <c r="P412" s="55" t="s">
        <v>1383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3500000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30</v>
      </c>
      <c r="AJ412" s="10">
        <v>30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1438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1431</v>
      </c>
      <c r="P413" s="55" t="s">
        <v>1433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60</v>
      </c>
      <c r="AJ413" s="10">
        <v>60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1438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1431</v>
      </c>
      <c r="P414" s="55" t="s">
        <v>1433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180</v>
      </c>
      <c r="AJ414" s="10">
        <v>180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1438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1430</v>
      </c>
      <c r="P415" s="55" t="s">
        <v>1432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360</v>
      </c>
      <c r="AJ415" s="10">
        <v>360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1438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1430</v>
      </c>
      <c r="P416" s="55" t="s">
        <v>1432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540</v>
      </c>
      <c r="AJ416" s="10">
        <v>540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1438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1430</v>
      </c>
      <c r="P417" s="55" t="s">
        <v>1432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720</v>
      </c>
      <c r="AJ417" s="10">
        <v>720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1438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1430</v>
      </c>
      <c r="P418" s="55" t="s">
        <v>1432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1824000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1824000</v>
      </c>
      <c r="AG418" s="176">
        <f t="shared" ca="1" si="119"/>
        <v>2802000</v>
      </c>
      <c r="AI418" s="11">
        <f t="shared" si="120"/>
        <v>900</v>
      </c>
      <c r="AJ418" s="10">
        <v>900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1439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1430</v>
      </c>
      <c r="P419" s="55" t="s">
        <v>1432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5310000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5310000</v>
      </c>
      <c r="AG419" s="176">
        <f t="shared" ca="1" si="119"/>
        <v>7134000</v>
      </c>
      <c r="AI419" s="11">
        <f t="shared" si="120"/>
        <v>1080</v>
      </c>
      <c r="AJ419" s="10">
        <v>1080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1439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1430</v>
      </c>
      <c r="P420" s="55" t="s">
        <v>1432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10460000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10460000</v>
      </c>
      <c r="AG420" s="176">
        <f t="shared" ca="1" si="119"/>
        <v>15770000</v>
      </c>
      <c r="AI420" s="11">
        <f t="shared" si="120"/>
        <v>1260</v>
      </c>
      <c r="AJ420" s="10">
        <v>1260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1439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1430</v>
      </c>
      <c r="P421" s="55" t="s">
        <v>1432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18910000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18910000</v>
      </c>
      <c r="AG421" s="176">
        <f t="shared" ca="1" si="119"/>
        <v>29370000</v>
      </c>
      <c r="AI421" s="11">
        <f t="shared" si="120"/>
        <v>1440</v>
      </c>
      <c r="AJ421" s="10">
        <v>1440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1439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1430</v>
      </c>
      <c r="P422" s="55" t="s">
        <v>1432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32300000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32300000</v>
      </c>
      <c r="AG422" s="176">
        <f t="shared" ca="1" si="119"/>
        <v>51210000</v>
      </c>
      <c r="AI422" s="11">
        <f t="shared" si="120"/>
        <v>1620</v>
      </c>
      <c r="AJ422" s="10">
        <v>1620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1439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1430</v>
      </c>
      <c r="P423" s="55" t="s">
        <v>1432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52900000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52900000</v>
      </c>
      <c r="AG423" s="176">
        <f t="shared" ca="1" si="119"/>
        <v>85200000</v>
      </c>
      <c r="AI423" s="11">
        <f t="shared" si="120"/>
        <v>1800</v>
      </c>
      <c r="AJ423" s="10">
        <v>1800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1439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1430</v>
      </c>
      <c r="P424" s="55" t="s">
        <v>1432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88000000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88000000</v>
      </c>
      <c r="AG424" s="176">
        <f t="shared" ca="1" si="119"/>
        <v>140900000</v>
      </c>
      <c r="AI424" s="11">
        <f t="shared" si="120"/>
        <v>1980</v>
      </c>
      <c r="AJ424" s="10">
        <v>1980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1439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2</v>
      </c>
      <c r="AJ426" s="10">
        <v>2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3</v>
      </c>
      <c r="AJ427" s="10">
        <v>3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5</v>
      </c>
      <c r="AJ428" s="10">
        <v>5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8</v>
      </c>
      <c r="AJ429" s="10">
        <v>8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10</v>
      </c>
      <c r="AJ430" s="10">
        <v>10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15</v>
      </c>
      <c r="AJ431" s="10">
        <v>15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210000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210000</v>
      </c>
      <c r="AG432" s="176">
        <f t="shared" ca="1" si="123"/>
        <v>270000</v>
      </c>
      <c r="AI432" s="11">
        <f t="shared" si="120"/>
        <v>30</v>
      </c>
      <c r="AJ432" s="10">
        <v>30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390000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390000</v>
      </c>
      <c r="AG433" s="176">
        <f t="shared" ca="1" si="123"/>
        <v>600000</v>
      </c>
      <c r="AI433" s="11">
        <f t="shared" si="120"/>
        <v>60</v>
      </c>
      <c r="AJ433" s="10">
        <v>60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650000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650000</v>
      </c>
      <c r="AG434" s="176">
        <f t="shared" ca="1" si="123"/>
        <v>1040000</v>
      </c>
      <c r="AI434" s="11">
        <f t="shared" si="120"/>
        <v>180</v>
      </c>
      <c r="AJ434" s="10">
        <v>180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1100000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1100000</v>
      </c>
      <c r="AG435" s="176">
        <f t="shared" ca="1" si="123"/>
        <v>1750000</v>
      </c>
      <c r="AI435" s="11">
        <f t="shared" si="120"/>
        <v>360</v>
      </c>
      <c r="AJ435" s="10">
        <v>360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1850000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1850000</v>
      </c>
      <c r="AG436" s="176">
        <f t="shared" ca="1" si="123"/>
        <v>2950000</v>
      </c>
      <c r="AI436" s="11">
        <f t="shared" si="120"/>
        <v>540</v>
      </c>
      <c r="AJ436" s="10">
        <v>540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3105000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3105000</v>
      </c>
      <c r="AG437" s="176">
        <f t="shared" ca="1" si="123"/>
        <v>4955000</v>
      </c>
      <c r="AI437" s="11">
        <f t="shared" si="120"/>
        <v>720</v>
      </c>
      <c r="AJ437" s="10">
        <v>720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4850000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4850000</v>
      </c>
      <c r="AG438" s="176">
        <f t="shared" ca="1" si="123"/>
        <v>7955000</v>
      </c>
      <c r="AI438" s="11">
        <f t="shared" si="120"/>
        <v>900</v>
      </c>
      <c r="AJ438" s="10">
        <v>900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10500000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10500000</v>
      </c>
      <c r="AG439" s="176">
        <f t="shared" ca="1" si="123"/>
        <v>15350000</v>
      </c>
      <c r="AI439" s="11">
        <f t="shared" si="120"/>
        <v>1080</v>
      </c>
      <c r="AJ439" s="10">
        <v>1080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21500000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21500000</v>
      </c>
      <c r="AG440" s="176">
        <f t="shared" ca="1" si="123"/>
        <v>32000000</v>
      </c>
      <c r="AI440" s="11">
        <f t="shared" si="120"/>
        <v>1260</v>
      </c>
      <c r="AJ440" s="10">
        <v>1260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40000000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40000000</v>
      </c>
      <c r="AG441" s="176">
        <f t="shared" ca="1" si="123"/>
        <v>61500000</v>
      </c>
      <c r="AI441" s="11">
        <f t="shared" si="120"/>
        <v>1440</v>
      </c>
      <c r="AJ441" s="10">
        <v>1440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65000000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65000000</v>
      </c>
      <c r="AG442" s="176">
        <f t="shared" ca="1" si="123"/>
        <v>105000000</v>
      </c>
      <c r="AI442" s="11">
        <f t="shared" si="120"/>
        <v>1620</v>
      </c>
      <c r="AJ442" s="10">
        <v>1620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100000000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100000000</v>
      </c>
      <c r="AG443" s="176">
        <f t="shared" ca="1" si="123"/>
        <v>165000000</v>
      </c>
      <c r="AI443" s="11">
        <f t="shared" si="120"/>
        <v>1800</v>
      </c>
      <c r="AJ443" s="10">
        <v>1800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160000000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160000000</v>
      </c>
      <c r="AG444" s="176">
        <f t="shared" ca="1" si="123"/>
        <v>260000000</v>
      </c>
      <c r="AI444" s="11">
        <f t="shared" si="120"/>
        <v>1980</v>
      </c>
      <c r="AJ444" s="10">
        <v>1980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1128</v>
      </c>
      <c r="P445" s="56" t="s">
        <v>1384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1324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1438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1126</v>
      </c>
      <c r="P446" s="55" t="s">
        <v>1384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2</v>
      </c>
      <c r="AJ446" s="10">
        <v>2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1324</v>
      </c>
      <c r="AS446" s="11">
        <v>10</v>
      </c>
      <c r="AV446" s="11">
        <f ca="1">IFERROR(OFFSET(ITEM_RES!$A$1,MATCH(AW446,ITEM_RES!$J:$J,0)-1,0),0)</f>
        <v>211020801</v>
      </c>
      <c r="AW446" s="10" t="s">
        <v>1438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1127</v>
      </c>
      <c r="P447" s="55" t="s">
        <v>1385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3</v>
      </c>
      <c r="AJ447" s="10">
        <v>3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1324</v>
      </c>
      <c r="AS447" s="11">
        <v>150</v>
      </c>
      <c r="AV447" s="11">
        <f ca="1">IFERROR(OFFSET(ITEM_RES!$A$1,MATCH(AW447,ITEM_RES!$J:$J,0)-1,0),0)</f>
        <v>211020801</v>
      </c>
      <c r="AW447" s="10" t="s">
        <v>1438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1127</v>
      </c>
      <c r="P448" s="55" t="s">
        <v>1385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5</v>
      </c>
      <c r="AJ448" s="10">
        <v>5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1324</v>
      </c>
      <c r="AS448" s="11">
        <v>600</v>
      </c>
      <c r="AV448" s="11">
        <f ca="1">IFERROR(OFFSET(ITEM_RES!$A$1,MATCH(AW448,ITEM_RES!$J:$J,0)-1,0),0)</f>
        <v>211020801</v>
      </c>
      <c r="AW448" s="10" t="s">
        <v>1438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1129</v>
      </c>
      <c r="P449" s="55" t="s">
        <v>1386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8</v>
      </c>
      <c r="AJ449" s="10">
        <v>8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1324</v>
      </c>
      <c r="AS449" s="11">
        <v>2700</v>
      </c>
      <c r="AV449" s="11">
        <f ca="1">IFERROR(OFFSET(ITEM_RES!$A$1,MATCH(AW449,ITEM_RES!$J:$J,0)-1,0),0)</f>
        <v>211020801</v>
      </c>
      <c r="AW449" s="10" t="s">
        <v>1438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1129</v>
      </c>
      <c r="P450" s="55" t="s">
        <v>1386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10</v>
      </c>
      <c r="AJ450" s="10">
        <v>10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1324</v>
      </c>
      <c r="AS450" s="11">
        <v>9000</v>
      </c>
      <c r="AV450" s="11">
        <f ca="1">IFERROR(OFFSET(ITEM_RES!$A$1,MATCH(AW450,ITEM_RES!$J:$J,0)-1,0),0)</f>
        <v>211020801</v>
      </c>
      <c r="AW450" s="10" t="s">
        <v>1438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1130</v>
      </c>
      <c r="P451" s="55" t="s">
        <v>1387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15</v>
      </c>
      <c r="AJ451" s="10">
        <v>15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1324</v>
      </c>
      <c r="AS451" s="11">
        <v>20000</v>
      </c>
      <c r="AV451" s="11">
        <f ca="1">IFERROR(OFFSET(ITEM_RES!$A$1,MATCH(AW451,ITEM_RES!$J:$J,0)-1,0),0)</f>
        <v>211020801</v>
      </c>
      <c r="AW451" s="10" t="s">
        <v>1438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1130</v>
      </c>
      <c r="P452" s="55" t="s">
        <v>1387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424860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424860</v>
      </c>
      <c r="AG452" s="176">
        <f t="shared" ca="1" si="128"/>
        <v>545940</v>
      </c>
      <c r="AI452" s="11">
        <f t="shared" si="120"/>
        <v>30</v>
      </c>
      <c r="AJ452" s="10">
        <v>30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1325</v>
      </c>
      <c r="AS452" s="11">
        <v>42000</v>
      </c>
      <c r="AV452" s="11">
        <f ca="1">IFERROR(OFFSET(ITEM_RES!$A$1,MATCH(AW452,ITEM_RES!$J:$J,0)-1,0),0)</f>
        <v>211020801</v>
      </c>
      <c r="AW452" s="10" t="s">
        <v>1438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1435</v>
      </c>
      <c r="P453" s="55" t="s">
        <v>1437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796200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796200</v>
      </c>
      <c r="AG453" s="176">
        <f t="shared" ca="1" si="128"/>
        <v>1221060</v>
      </c>
      <c r="AI453" s="11">
        <f t="shared" si="120"/>
        <v>60</v>
      </c>
      <c r="AJ453" s="10">
        <v>60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1325</v>
      </c>
      <c r="AS453" s="11">
        <v>78000</v>
      </c>
      <c r="AV453" s="11">
        <f ca="1">IFERROR(OFFSET(ITEM_RES!$A$1,MATCH(AW453,ITEM_RES!$J:$J,0)-1,0),0)</f>
        <v>211020801</v>
      </c>
      <c r="AW453" s="10" t="s">
        <v>1438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1435</v>
      </c>
      <c r="P454" s="55" t="s">
        <v>1437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1336000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1336000</v>
      </c>
      <c r="AG454" s="176">
        <f t="shared" ca="1" si="128"/>
        <v>2132200</v>
      </c>
      <c r="AI454" s="11">
        <f t="shared" si="120"/>
        <v>180</v>
      </c>
      <c r="AJ454" s="10">
        <v>180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1325</v>
      </c>
      <c r="AS454" s="11">
        <v>130000</v>
      </c>
      <c r="AV454" s="11">
        <f ca="1">IFERROR(OFFSET(ITEM_RES!$A$1,MATCH(AW454,ITEM_RES!$J:$J,0)-1,0),0)</f>
        <v>211020801</v>
      </c>
      <c r="AW454" s="10" t="s">
        <v>1438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1434</v>
      </c>
      <c r="P455" s="55" t="s">
        <v>1436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2275600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2275600</v>
      </c>
      <c r="AG455" s="176">
        <f t="shared" ca="1" si="128"/>
        <v>3611600</v>
      </c>
      <c r="AI455" s="11">
        <f t="shared" si="120"/>
        <v>360</v>
      </c>
      <c r="AJ455" s="10">
        <v>360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1325</v>
      </c>
      <c r="AS455" s="11">
        <v>220000</v>
      </c>
      <c r="AV455" s="11">
        <f ca="1">IFERROR(OFFSET(ITEM_RES!$A$1,MATCH(AW455,ITEM_RES!$J:$J,0)-1,0),0)</f>
        <v>211020801</v>
      </c>
      <c r="AW455" s="10" t="s">
        <v>1438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1434</v>
      </c>
      <c r="P456" s="55" t="s">
        <v>1436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4637000</v>
      </c>
      <c r="AI456" s="11">
        <f t="shared" si="120"/>
        <v>540</v>
      </c>
      <c r="AJ456" s="10">
        <v>540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1438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1434</v>
      </c>
      <c r="P457" s="55" t="s">
        <v>1436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720</v>
      </c>
      <c r="AJ457" s="10">
        <v>720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1438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1434</v>
      </c>
      <c r="P458" s="55" t="s">
        <v>1436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6480000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6480000</v>
      </c>
      <c r="AG458" s="176">
        <f t="shared" ca="1" si="128"/>
        <v>10434000</v>
      </c>
      <c r="AI458" s="11">
        <f t="shared" si="120"/>
        <v>900</v>
      </c>
      <c r="AJ458" s="10">
        <v>900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1439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1434</v>
      </c>
      <c r="P459" s="55" t="s">
        <v>1436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3500000</v>
      </c>
      <c r="AC459" s="55">
        <v>12</v>
      </c>
      <c r="AE459" s="11">
        <f t="shared" ca="1" si="121"/>
        <v>13710000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13710000</v>
      </c>
      <c r="AG459" s="176">
        <f t="shared" ca="1" si="128"/>
        <v>20190000</v>
      </c>
      <c r="AI459" s="11">
        <f t="shared" si="120"/>
        <v>1080</v>
      </c>
      <c r="AJ459" s="10">
        <v>1080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1439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1434</v>
      </c>
      <c r="P460" s="55" t="s">
        <v>1436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44860000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44860000</v>
      </c>
      <c r="AG460" s="176">
        <f t="shared" ca="1" si="128"/>
        <v>58570000</v>
      </c>
      <c r="AI460" s="11">
        <f t="shared" si="120"/>
        <v>1260</v>
      </c>
      <c r="AJ460" s="10">
        <v>1260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1439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1434</v>
      </c>
      <c r="P461" s="55" t="s">
        <v>1436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82910000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82910000</v>
      </c>
      <c r="AG461" s="176">
        <f t="shared" ca="1" si="128"/>
        <v>127770000</v>
      </c>
      <c r="AI461" s="11">
        <f t="shared" si="120"/>
        <v>1440</v>
      </c>
      <c r="AJ461" s="10">
        <v>1440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1439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1434</v>
      </c>
      <c r="P462" s="55" t="s">
        <v>1436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136300000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136300000</v>
      </c>
      <c r="AG462" s="176">
        <f t="shared" ca="1" si="128"/>
        <v>219210000</v>
      </c>
      <c r="AI462" s="11">
        <f t="shared" si="120"/>
        <v>1620</v>
      </c>
      <c r="AJ462" s="10">
        <v>1620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1439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1434</v>
      </c>
      <c r="P463" s="55" t="s">
        <v>1436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212900000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212900000</v>
      </c>
      <c r="AG463" s="176">
        <f t="shared" ca="1" si="128"/>
        <v>349200000</v>
      </c>
      <c r="AI463" s="11">
        <f t="shared" si="120"/>
        <v>1800</v>
      </c>
      <c r="AJ463" s="10">
        <v>1800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1439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1434</v>
      </c>
      <c r="P464" s="55" t="s">
        <v>1436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344000000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344000000</v>
      </c>
      <c r="AG464" s="176">
        <f t="shared" ca="1" si="128"/>
        <v>556900000</v>
      </c>
      <c r="AI464" s="11">
        <f t="shared" si="120"/>
        <v>1980</v>
      </c>
      <c r="AJ464" s="10">
        <v>1980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1439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1131</v>
      </c>
      <c r="P465" s="56" t="s">
        <v>1388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7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1132</v>
      </c>
      <c r="P466" s="55" t="s">
        <v>1388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7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2</v>
      </c>
      <c r="AJ466" s="10">
        <v>2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1133</v>
      </c>
      <c r="P467" s="55" t="s">
        <v>1389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7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3</v>
      </c>
      <c r="AJ467" s="10">
        <v>3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1133</v>
      </c>
      <c r="P468" s="55" t="s">
        <v>1389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7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5</v>
      </c>
      <c r="AJ468" s="10">
        <v>5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1133</v>
      </c>
      <c r="P469" s="55" t="s">
        <v>1389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7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8</v>
      </c>
      <c r="AJ469" s="10">
        <v>8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1133</v>
      </c>
      <c r="P470" s="55" t="s">
        <v>1389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7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10</v>
      </c>
      <c r="AJ470" s="10">
        <v>10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1133</v>
      </c>
      <c r="P471" s="55" t="s">
        <v>1389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15</v>
      </c>
      <c r="AJ471" s="10">
        <v>15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1133</v>
      </c>
      <c r="P472" s="55" t="s">
        <v>1389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30</v>
      </c>
      <c r="AJ472" s="10">
        <v>30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1134</v>
      </c>
      <c r="P473" s="55" t="s">
        <v>1390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60</v>
      </c>
      <c r="AJ473" s="10">
        <v>60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1134</v>
      </c>
      <c r="P474" s="55" t="s">
        <v>1390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180</v>
      </c>
      <c r="AJ474" s="10">
        <v>180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1134</v>
      </c>
      <c r="P475" s="55" t="s">
        <v>1390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360</v>
      </c>
      <c r="AJ475" s="10">
        <v>360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1134</v>
      </c>
      <c r="P476" s="55" t="s">
        <v>1390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540</v>
      </c>
      <c r="AJ476" s="10">
        <v>540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1135</v>
      </c>
      <c r="P477" s="55" t="s">
        <v>1391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720</v>
      </c>
      <c r="AJ477" s="10">
        <v>720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1135</v>
      </c>
      <c r="P478" s="55" t="s">
        <v>1391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900</v>
      </c>
      <c r="AJ478" s="10">
        <v>900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1136</v>
      </c>
      <c r="P479" s="55" t="s">
        <v>1392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3500000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1080</v>
      </c>
      <c r="AJ479" s="10">
        <v>1080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1136</v>
      </c>
      <c r="P480" s="55" t="s">
        <v>1392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17200000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17200000</v>
      </c>
      <c r="AG480" s="176">
        <f t="shared" ca="1" si="130"/>
        <v>22240000</v>
      </c>
      <c r="AI480" s="11">
        <f t="shared" si="131"/>
        <v>1260</v>
      </c>
      <c r="AJ480" s="10">
        <v>1260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1136</v>
      </c>
      <c r="P481" s="55" t="s">
        <v>1392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32000000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32000000</v>
      </c>
      <c r="AG481" s="176">
        <f t="shared" ca="1" si="130"/>
        <v>49200000</v>
      </c>
      <c r="AI481" s="11">
        <f t="shared" si="131"/>
        <v>1440</v>
      </c>
      <c r="AJ481" s="10">
        <v>1440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1136</v>
      </c>
      <c r="P482" s="55" t="s">
        <v>1392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52000000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52000000</v>
      </c>
      <c r="AG482" s="176">
        <f t="shared" ca="1" si="130"/>
        <v>84000000</v>
      </c>
      <c r="AI482" s="11">
        <f t="shared" si="131"/>
        <v>1620</v>
      </c>
      <c r="AJ482" s="10">
        <v>1620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1136</v>
      </c>
      <c r="P483" s="55" t="s">
        <v>1392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80000000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80000000</v>
      </c>
      <c r="AG483" s="176">
        <f t="shared" ca="1" si="130"/>
        <v>132000000</v>
      </c>
      <c r="AI483" s="11">
        <f t="shared" si="131"/>
        <v>1800</v>
      </c>
      <c r="AJ483" s="10">
        <v>1800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1136</v>
      </c>
      <c r="P484" s="55" t="s">
        <v>1392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128000000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128000000</v>
      </c>
      <c r="AG484" s="176">
        <f t="shared" ca="1" si="130"/>
        <v>208000000</v>
      </c>
      <c r="AI484" s="11">
        <f t="shared" si="131"/>
        <v>1980</v>
      </c>
      <c r="AJ484" s="10">
        <v>1980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1137</v>
      </c>
      <c r="P485" s="56" t="s">
        <v>1393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1138</v>
      </c>
      <c r="P486" s="55" t="s">
        <v>1393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2</v>
      </c>
      <c r="AJ486" s="10">
        <v>2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1138</v>
      </c>
      <c r="P487" s="55" t="s">
        <v>1393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3</v>
      </c>
      <c r="AJ487" s="10">
        <v>3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1139</v>
      </c>
      <c r="P488" s="55" t="s">
        <v>1394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5</v>
      </c>
      <c r="AJ488" s="10">
        <v>5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1139</v>
      </c>
      <c r="P489" s="55" t="s">
        <v>1394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8</v>
      </c>
      <c r="AJ489" s="10">
        <v>8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1139</v>
      </c>
      <c r="P490" s="55" t="s">
        <v>1394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10</v>
      </c>
      <c r="AJ490" s="10">
        <v>10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1140</v>
      </c>
      <c r="P491" s="55" t="s">
        <v>1395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15</v>
      </c>
      <c r="AJ491" s="10">
        <v>15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1140</v>
      </c>
      <c r="P492" s="55" t="s">
        <v>1395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30</v>
      </c>
      <c r="AJ492" s="10">
        <v>30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1140</v>
      </c>
      <c r="P493" s="55" t="s">
        <v>1395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60</v>
      </c>
      <c r="AJ493" s="10">
        <v>60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1140</v>
      </c>
      <c r="P494" s="55" t="s">
        <v>1395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180</v>
      </c>
      <c r="AJ494" s="10">
        <v>180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1141</v>
      </c>
      <c r="P495" s="55" t="s">
        <v>1396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360</v>
      </c>
      <c r="AJ495" s="10">
        <v>360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1141</v>
      </c>
      <c r="P496" s="55" t="s">
        <v>1396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540</v>
      </c>
      <c r="AJ496" s="10">
        <v>540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1141</v>
      </c>
      <c r="P497" s="55" t="s">
        <v>1396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720</v>
      </c>
      <c r="AJ497" s="10">
        <v>720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1141</v>
      </c>
      <c r="P498" s="55" t="s">
        <v>1396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900</v>
      </c>
      <c r="AJ498" s="10">
        <v>900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1141</v>
      </c>
      <c r="P499" s="55" t="s">
        <v>1396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3500000</v>
      </c>
      <c r="AC499" s="55">
        <v>12</v>
      </c>
      <c r="AE499" s="11">
        <f t="shared" ca="1" si="132"/>
        <v>1110000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1110000</v>
      </c>
      <c r="AG499" s="176">
        <f t="shared" ca="1" si="134"/>
        <v>1506000</v>
      </c>
      <c r="AI499" s="11">
        <f t="shared" si="131"/>
        <v>1080</v>
      </c>
      <c r="AJ499" s="10">
        <v>1080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1141</v>
      </c>
      <c r="P500" s="55" t="s">
        <v>1396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1860000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1860000</v>
      </c>
      <c r="AG500" s="176">
        <f t="shared" ca="1" si="134"/>
        <v>2970000</v>
      </c>
      <c r="AI500" s="11">
        <f t="shared" si="131"/>
        <v>1260</v>
      </c>
      <c r="AJ500" s="10">
        <v>1260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1141</v>
      </c>
      <c r="P501" s="55" t="s">
        <v>1396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2910000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2910000</v>
      </c>
      <c r="AG501" s="176">
        <f t="shared" ca="1" si="134"/>
        <v>4770000</v>
      </c>
      <c r="AI501" s="11">
        <f t="shared" si="131"/>
        <v>1440</v>
      </c>
      <c r="AJ501" s="10">
        <v>1440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1141</v>
      </c>
      <c r="P502" s="55" t="s">
        <v>1396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6300000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6300000</v>
      </c>
      <c r="AG502" s="176">
        <f t="shared" ca="1" si="134"/>
        <v>9210000</v>
      </c>
      <c r="AI502" s="11">
        <f t="shared" si="131"/>
        <v>1620</v>
      </c>
      <c r="AJ502" s="10">
        <v>1620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1141</v>
      </c>
      <c r="P503" s="55" t="s">
        <v>1396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12900000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12900000</v>
      </c>
      <c r="AG503" s="176">
        <f t="shared" ca="1" si="134"/>
        <v>19200000</v>
      </c>
      <c r="AI503" s="11">
        <f t="shared" si="131"/>
        <v>1800</v>
      </c>
      <c r="AJ503" s="10">
        <v>1800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1141</v>
      </c>
      <c r="P504" s="55" t="s">
        <v>1396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24000000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24000000</v>
      </c>
      <c r="AG504" s="176">
        <f t="shared" ca="1" si="134"/>
        <v>36900000</v>
      </c>
      <c r="AI504" s="11">
        <f t="shared" si="131"/>
        <v>1980</v>
      </c>
      <c r="AJ504" s="10">
        <v>1980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P61" sqref="P6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1249</v>
      </c>
      <c r="AG2" s="35" t="s">
        <v>1249</v>
      </c>
      <c r="AH2" s="35" t="s">
        <v>1249</v>
      </c>
      <c r="AI2" s="35" t="s">
        <v>1249</v>
      </c>
      <c r="AJ2" s="35" t="s">
        <v>1249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1161</v>
      </c>
      <c r="X3" s="1" t="s">
        <v>1162</v>
      </c>
      <c r="Y3" s="144" t="s">
        <v>1163</v>
      </c>
      <c r="Z3" s="144" t="s">
        <v>1159</v>
      </c>
      <c r="AA3" s="144" t="s">
        <v>1160</v>
      </c>
      <c r="AB3" s="1" t="s">
        <v>1164</v>
      </c>
      <c r="AC3" s="144" t="s">
        <v>1165</v>
      </c>
      <c r="AD3" s="1" t="s">
        <v>1166</v>
      </c>
      <c r="AE3" s="67"/>
      <c r="AF3" s="35" t="s">
        <v>1243</v>
      </c>
      <c r="AG3" s="35" t="s">
        <v>1244</v>
      </c>
      <c r="AH3" s="35" t="s">
        <v>1245</v>
      </c>
      <c r="AI3" s="35" t="s">
        <v>1246</v>
      </c>
      <c r="AJ3" s="35" t="s">
        <v>1248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1250</v>
      </c>
      <c r="X4" s="2" t="s">
        <v>821</v>
      </c>
      <c r="Y4" s="145" t="s">
        <v>1167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1168</v>
      </c>
      <c r="AE4" s="68" t="s">
        <v>1225</v>
      </c>
      <c r="AF4" s="79" t="s">
        <v>1239</v>
      </c>
      <c r="AG4" s="79" t="s">
        <v>1240</v>
      </c>
      <c r="AH4" s="79" t="s">
        <v>1241</v>
      </c>
      <c r="AI4" s="79" t="s">
        <v>1242</v>
      </c>
      <c r="AJ4" s="79" t="s">
        <v>1247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1169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1170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1454</v>
      </c>
      <c r="K7" s="61" t="s">
        <v>1171</v>
      </c>
      <c r="L7" s="39" t="s">
        <v>401</v>
      </c>
      <c r="M7" s="39" t="s">
        <v>398</v>
      </c>
      <c r="N7" s="66" t="s">
        <v>760</v>
      </c>
      <c r="O7" s="61"/>
      <c r="P7" s="38" t="s">
        <v>1455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1172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1173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1174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1175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1176</v>
      </c>
      <c r="L12" s="39" t="s">
        <v>398</v>
      </c>
      <c r="N12" s="34" t="s">
        <v>765</v>
      </c>
      <c r="P12" s="38" t="s">
        <v>823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1177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1178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1179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1180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1181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1182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1183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1184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1185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1186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1187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1188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1189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1190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1191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1192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1193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1194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1195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1196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1197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1198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1199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1200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1201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1202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1203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1204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1205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1206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1207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1208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1209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1210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1211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1212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1213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1226</v>
      </c>
      <c r="K50" s="35" t="s">
        <v>1229</v>
      </c>
      <c r="L50" s="36" t="s">
        <v>1232</v>
      </c>
      <c r="N50" s="34" t="s">
        <v>1233</v>
      </c>
      <c r="P50" s="38" t="s">
        <v>1236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1227</v>
      </c>
      <c r="K51" s="35" t="s">
        <v>1230</v>
      </c>
      <c r="L51" s="36" t="s">
        <v>1232</v>
      </c>
      <c r="N51" s="34" t="s">
        <v>1234</v>
      </c>
      <c r="P51" s="38" t="s">
        <v>1237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1228</v>
      </c>
      <c r="K52" s="35" t="s">
        <v>1231</v>
      </c>
      <c r="L52" s="36" t="s">
        <v>1232</v>
      </c>
      <c r="N52" s="34" t="s">
        <v>1235</v>
      </c>
      <c r="P52" s="38" t="s">
        <v>1238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1214</v>
      </c>
      <c r="L53" s="36" t="s">
        <v>400</v>
      </c>
      <c r="N53" s="34" t="s">
        <v>770</v>
      </c>
      <c r="P53" s="38" t="s">
        <v>730</v>
      </c>
      <c r="R53" s="37">
        <f t="shared" si="2"/>
        <v>1600</v>
      </c>
      <c r="S53" s="39">
        <v>1.6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1215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1216</v>
      </c>
      <c r="L55" s="36" t="s">
        <v>399</v>
      </c>
      <c r="N55" s="34" t="s">
        <v>772</v>
      </c>
      <c r="P55" s="38" t="s">
        <v>731</v>
      </c>
      <c r="R55" s="37">
        <f t="shared" si="2"/>
        <v>15000</v>
      </c>
      <c r="S55" s="39">
        <v>15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1217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1218</v>
      </c>
      <c r="L57" s="36" t="s">
        <v>399</v>
      </c>
      <c r="N57" s="34" t="s">
        <v>774</v>
      </c>
      <c r="P57" s="38" t="s">
        <v>733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1219</v>
      </c>
      <c r="L58" s="36" t="s">
        <v>399</v>
      </c>
      <c r="N58" s="34" t="s">
        <v>775</v>
      </c>
      <c r="P58" s="38" t="s">
        <v>734</v>
      </c>
      <c r="R58" s="37">
        <f t="shared" si="2"/>
        <v>10000</v>
      </c>
      <c r="S58" s="148">
        <v>10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1220</v>
      </c>
      <c r="L59" s="36" t="s">
        <v>399</v>
      </c>
      <c r="N59" s="34" t="s">
        <v>776</v>
      </c>
      <c r="P59" s="38" t="s">
        <v>735</v>
      </c>
      <c r="R59" s="37">
        <f t="shared" si="2"/>
        <v>5000</v>
      </c>
      <c r="S59" s="39">
        <v>5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A5" sqref="A5:A24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1169</v>
      </c>
      <c r="C3" s="61" t="s">
        <v>1170</v>
      </c>
      <c r="D3" s="61" t="s">
        <v>1171</v>
      </c>
      <c r="E3" s="61" t="s">
        <v>1172</v>
      </c>
      <c r="F3" s="35" t="s">
        <v>1173</v>
      </c>
      <c r="G3" s="35" t="s">
        <v>1174</v>
      </c>
      <c r="H3" s="35" t="s">
        <v>1175</v>
      </c>
      <c r="I3" s="61" t="s">
        <v>1176</v>
      </c>
      <c r="J3" s="35" t="s">
        <v>1177</v>
      </c>
      <c r="K3" s="35" t="s">
        <v>1178</v>
      </c>
      <c r="L3" s="35" t="s">
        <v>1179</v>
      </c>
      <c r="M3" s="35" t="s">
        <v>1180</v>
      </c>
      <c r="N3" s="35" t="s">
        <v>1181</v>
      </c>
      <c r="O3" s="35" t="s">
        <v>1182</v>
      </c>
      <c r="P3" s="35" t="s">
        <v>1183</v>
      </c>
      <c r="Q3" s="35" t="s">
        <v>1184</v>
      </c>
      <c r="R3" s="35" t="s">
        <v>1185</v>
      </c>
      <c r="S3" s="35" t="s">
        <v>1186</v>
      </c>
      <c r="T3" s="35" t="s">
        <v>1187</v>
      </c>
      <c r="U3" s="35" t="s">
        <v>1188</v>
      </c>
      <c r="V3" s="35" t="s">
        <v>1189</v>
      </c>
      <c r="W3" s="35" t="s">
        <v>1190</v>
      </c>
      <c r="X3" s="35" t="s">
        <v>1191</v>
      </c>
      <c r="Y3" s="35" t="s">
        <v>1192</v>
      </c>
      <c r="Z3" s="35" t="s">
        <v>1193</v>
      </c>
      <c r="AA3" s="35" t="s">
        <v>1194</v>
      </c>
      <c r="AB3" s="35" t="s">
        <v>1195</v>
      </c>
      <c r="AC3" s="35" t="s">
        <v>1196</v>
      </c>
      <c r="AD3" s="35" t="s">
        <v>1197</v>
      </c>
      <c r="AE3" s="35" t="s">
        <v>1198</v>
      </c>
      <c r="AF3" s="35" t="s">
        <v>1199</v>
      </c>
      <c r="AG3" s="35" t="s">
        <v>1200</v>
      </c>
      <c r="AH3" s="35" t="s">
        <v>1201</v>
      </c>
      <c r="AI3" s="35" t="s">
        <v>1202</v>
      </c>
      <c r="AJ3" s="35" t="s">
        <v>1203</v>
      </c>
      <c r="AK3" s="35" t="s">
        <v>1204</v>
      </c>
      <c r="AL3" s="35" t="s">
        <v>1205</v>
      </c>
      <c r="AM3" s="35" t="s">
        <v>1206</v>
      </c>
      <c r="AN3" s="35" t="s">
        <v>1207</v>
      </c>
      <c r="AO3" s="35" t="s">
        <v>1208</v>
      </c>
      <c r="AP3" s="35" t="s">
        <v>1209</v>
      </c>
      <c r="AQ3" s="35" t="s">
        <v>1210</v>
      </c>
      <c r="AR3" s="35" t="s">
        <v>1211</v>
      </c>
      <c r="AS3" s="35" t="s">
        <v>1212</v>
      </c>
      <c r="AT3" s="35" t="s">
        <v>1213</v>
      </c>
      <c r="AU3" s="35" t="s">
        <v>1260</v>
      </c>
      <c r="AV3" s="35" t="s">
        <v>1261</v>
      </c>
      <c r="AW3" s="35" t="s">
        <v>1262</v>
      </c>
      <c r="AX3" s="35" t="s">
        <v>1214</v>
      </c>
      <c r="AY3" s="35" t="s">
        <v>1215</v>
      </c>
      <c r="AZ3" s="35" t="s">
        <v>1216</v>
      </c>
      <c r="BA3" s="35" t="s">
        <v>1217</v>
      </c>
      <c r="BB3" s="35" t="s">
        <v>1218</v>
      </c>
      <c r="BC3" s="35" t="s">
        <v>1219</v>
      </c>
      <c r="BD3" s="35" t="s">
        <v>1220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1456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1263</v>
      </c>
      <c r="AV4" s="35" t="s">
        <v>1264</v>
      </c>
      <c r="AW4" s="35" t="s">
        <v>1265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2</v>
      </c>
      <c r="M12" s="91">
        <v>2</v>
      </c>
      <c r="N12" s="91">
        <v>2</v>
      </c>
      <c r="O12" s="91">
        <v>2</v>
      </c>
      <c r="P12" s="91">
        <v>2</v>
      </c>
      <c r="Q12" s="91">
        <v>2</v>
      </c>
      <c r="R12" s="91">
        <v>2</v>
      </c>
      <c r="S12" s="91">
        <v>2</v>
      </c>
      <c r="T12" s="91">
        <v>2</v>
      </c>
      <c r="U12" s="91">
        <v>2</v>
      </c>
      <c r="V12" s="91">
        <v>2</v>
      </c>
      <c r="W12" s="91">
        <v>2</v>
      </c>
      <c r="X12" s="91">
        <v>2</v>
      </c>
      <c r="Y12" s="91">
        <v>2</v>
      </c>
      <c r="Z12" s="91">
        <v>2</v>
      </c>
      <c r="AA12" s="91">
        <v>2</v>
      </c>
      <c r="AB12" s="91">
        <v>2</v>
      </c>
      <c r="AC12" s="91">
        <v>2</v>
      </c>
      <c r="AD12" s="91">
        <v>2</v>
      </c>
      <c r="AE12" s="91">
        <v>2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2</v>
      </c>
      <c r="M13" s="91">
        <v>2</v>
      </c>
      <c r="N13" s="91">
        <v>2</v>
      </c>
      <c r="O13" s="91">
        <v>2</v>
      </c>
      <c r="P13" s="91">
        <v>2</v>
      </c>
      <c r="Q13" s="91">
        <v>2</v>
      </c>
      <c r="R13" s="91">
        <v>2</v>
      </c>
      <c r="S13" s="91">
        <v>2</v>
      </c>
      <c r="T13" s="91">
        <v>2</v>
      </c>
      <c r="U13" s="91">
        <v>2</v>
      </c>
      <c r="V13" s="91">
        <v>2</v>
      </c>
      <c r="W13" s="91">
        <v>2</v>
      </c>
      <c r="X13" s="91">
        <v>2</v>
      </c>
      <c r="Y13" s="91">
        <v>2</v>
      </c>
      <c r="Z13" s="91">
        <v>2</v>
      </c>
      <c r="AA13" s="91">
        <v>2</v>
      </c>
      <c r="AB13" s="91">
        <v>2</v>
      </c>
      <c r="AC13" s="91">
        <v>2</v>
      </c>
      <c r="AD13" s="91">
        <v>2</v>
      </c>
      <c r="AE13" s="91">
        <v>2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2</v>
      </c>
      <c r="M14" s="91">
        <v>2</v>
      </c>
      <c r="N14" s="91">
        <v>2</v>
      </c>
      <c r="O14" s="91">
        <v>2</v>
      </c>
      <c r="P14" s="91">
        <v>2</v>
      </c>
      <c r="Q14" s="91">
        <v>2</v>
      </c>
      <c r="R14" s="91">
        <v>2</v>
      </c>
      <c r="S14" s="91">
        <v>2</v>
      </c>
      <c r="T14" s="91">
        <v>2</v>
      </c>
      <c r="U14" s="91">
        <v>2</v>
      </c>
      <c r="V14" s="91">
        <v>2</v>
      </c>
      <c r="W14" s="91">
        <v>2</v>
      </c>
      <c r="X14" s="91">
        <v>2</v>
      </c>
      <c r="Y14" s="91">
        <v>2</v>
      </c>
      <c r="Z14" s="91">
        <v>2</v>
      </c>
      <c r="AA14" s="91">
        <v>2</v>
      </c>
      <c r="AB14" s="91">
        <v>2</v>
      </c>
      <c r="AC14" s="91">
        <v>2</v>
      </c>
      <c r="AD14" s="91">
        <v>2</v>
      </c>
      <c r="AE14" s="91">
        <v>2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3</v>
      </c>
      <c r="M15" s="91">
        <v>3</v>
      </c>
      <c r="N15" s="91">
        <v>3</v>
      </c>
      <c r="O15" s="91">
        <v>3</v>
      </c>
      <c r="P15" s="91">
        <v>3</v>
      </c>
      <c r="Q15" s="91">
        <v>3</v>
      </c>
      <c r="R15" s="91">
        <v>3</v>
      </c>
      <c r="S15" s="91">
        <v>3</v>
      </c>
      <c r="T15" s="91">
        <v>3</v>
      </c>
      <c r="U15" s="91">
        <v>3</v>
      </c>
      <c r="V15" s="91">
        <v>3</v>
      </c>
      <c r="W15" s="91">
        <v>3</v>
      </c>
      <c r="X15" s="91">
        <v>3</v>
      </c>
      <c r="Y15" s="91">
        <v>3</v>
      </c>
      <c r="Z15" s="91">
        <v>3</v>
      </c>
      <c r="AA15" s="91">
        <v>3</v>
      </c>
      <c r="AB15" s="91">
        <v>3</v>
      </c>
      <c r="AC15" s="91">
        <v>3</v>
      </c>
      <c r="AD15" s="91">
        <v>3</v>
      </c>
      <c r="AE15" s="91">
        <v>3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3</v>
      </c>
      <c r="M16" s="91">
        <v>3</v>
      </c>
      <c r="N16" s="91">
        <v>3</v>
      </c>
      <c r="O16" s="91">
        <v>3</v>
      </c>
      <c r="P16" s="91">
        <v>3</v>
      </c>
      <c r="Q16" s="91">
        <v>3</v>
      </c>
      <c r="R16" s="91">
        <v>3</v>
      </c>
      <c r="S16" s="91">
        <v>3</v>
      </c>
      <c r="T16" s="91">
        <v>3</v>
      </c>
      <c r="U16" s="91">
        <v>3</v>
      </c>
      <c r="V16" s="91">
        <v>3</v>
      </c>
      <c r="W16" s="91">
        <v>3</v>
      </c>
      <c r="X16" s="91">
        <v>3</v>
      </c>
      <c r="Y16" s="91">
        <v>3</v>
      </c>
      <c r="Z16" s="91">
        <v>3</v>
      </c>
      <c r="AA16" s="91">
        <v>3</v>
      </c>
      <c r="AB16" s="91">
        <v>3</v>
      </c>
      <c r="AC16" s="91">
        <v>3</v>
      </c>
      <c r="AD16" s="91">
        <v>3</v>
      </c>
      <c r="AE16" s="91">
        <v>3</v>
      </c>
      <c r="AF16" s="91">
        <v>2</v>
      </c>
      <c r="AG16" s="91">
        <v>2</v>
      </c>
      <c r="AH16" s="91">
        <v>2</v>
      </c>
      <c r="AI16" s="91">
        <v>2</v>
      </c>
      <c r="AJ16" s="91">
        <v>2</v>
      </c>
      <c r="AK16" s="91">
        <v>2</v>
      </c>
      <c r="AL16" s="91">
        <v>2</v>
      </c>
      <c r="AM16" s="91">
        <v>2</v>
      </c>
      <c r="AN16" s="91">
        <v>2</v>
      </c>
      <c r="AO16" s="91">
        <v>2</v>
      </c>
      <c r="AP16" s="91">
        <v>2</v>
      </c>
      <c r="AQ16" s="91">
        <v>2</v>
      </c>
      <c r="AR16" s="91">
        <v>2</v>
      </c>
      <c r="AS16" s="91">
        <v>2</v>
      </c>
      <c r="AT16" s="91">
        <v>2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4</v>
      </c>
      <c r="M17" s="91">
        <v>4</v>
      </c>
      <c r="N17" s="91">
        <v>4</v>
      </c>
      <c r="O17" s="91">
        <v>4</v>
      </c>
      <c r="P17" s="91">
        <v>4</v>
      </c>
      <c r="Q17" s="91">
        <v>4</v>
      </c>
      <c r="R17" s="91">
        <v>4</v>
      </c>
      <c r="S17" s="91">
        <v>4</v>
      </c>
      <c r="T17" s="91">
        <v>4</v>
      </c>
      <c r="U17" s="91">
        <v>4</v>
      </c>
      <c r="V17" s="91">
        <v>4</v>
      </c>
      <c r="W17" s="91">
        <v>4</v>
      </c>
      <c r="X17" s="91">
        <v>4</v>
      </c>
      <c r="Y17" s="91">
        <v>4</v>
      </c>
      <c r="Z17" s="91">
        <v>4</v>
      </c>
      <c r="AA17" s="91">
        <v>4</v>
      </c>
      <c r="AB17" s="91">
        <v>4</v>
      </c>
      <c r="AC17" s="91">
        <v>4</v>
      </c>
      <c r="AD17" s="91">
        <v>4</v>
      </c>
      <c r="AE17" s="91">
        <v>4</v>
      </c>
      <c r="AF17" s="91">
        <v>3</v>
      </c>
      <c r="AG17" s="91">
        <v>3</v>
      </c>
      <c r="AH17" s="91">
        <v>3</v>
      </c>
      <c r="AI17" s="91">
        <v>3</v>
      </c>
      <c r="AJ17" s="91">
        <v>3</v>
      </c>
      <c r="AK17" s="91">
        <v>3</v>
      </c>
      <c r="AL17" s="91">
        <v>3</v>
      </c>
      <c r="AM17" s="91">
        <v>3</v>
      </c>
      <c r="AN17" s="91">
        <v>3</v>
      </c>
      <c r="AO17" s="91">
        <v>3</v>
      </c>
      <c r="AP17" s="91">
        <v>3</v>
      </c>
      <c r="AQ17" s="91">
        <v>3</v>
      </c>
      <c r="AR17" s="91">
        <v>3</v>
      </c>
      <c r="AS17" s="91">
        <v>3</v>
      </c>
      <c r="AT17" s="91">
        <v>3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5</v>
      </c>
      <c r="M18" s="91">
        <v>5</v>
      </c>
      <c r="N18" s="91">
        <v>5</v>
      </c>
      <c r="O18" s="91">
        <v>5</v>
      </c>
      <c r="P18" s="91">
        <v>5</v>
      </c>
      <c r="Q18" s="91">
        <v>5</v>
      </c>
      <c r="R18" s="91">
        <v>5</v>
      </c>
      <c r="S18" s="91">
        <v>5</v>
      </c>
      <c r="T18" s="91">
        <v>5</v>
      </c>
      <c r="U18" s="91">
        <v>5</v>
      </c>
      <c r="V18" s="91">
        <v>5</v>
      </c>
      <c r="W18" s="91">
        <v>5</v>
      </c>
      <c r="X18" s="91">
        <v>5</v>
      </c>
      <c r="Y18" s="91">
        <v>5</v>
      </c>
      <c r="Z18" s="91">
        <v>5</v>
      </c>
      <c r="AA18" s="91">
        <v>5</v>
      </c>
      <c r="AB18" s="91">
        <v>5</v>
      </c>
      <c r="AC18" s="91">
        <v>5</v>
      </c>
      <c r="AD18" s="91">
        <v>5</v>
      </c>
      <c r="AE18" s="91">
        <v>5</v>
      </c>
      <c r="AF18" s="91">
        <v>4</v>
      </c>
      <c r="AG18" s="91">
        <v>4</v>
      </c>
      <c r="AH18" s="91">
        <v>4</v>
      </c>
      <c r="AI18" s="91">
        <v>4</v>
      </c>
      <c r="AJ18" s="91">
        <v>4</v>
      </c>
      <c r="AK18" s="91">
        <v>4</v>
      </c>
      <c r="AL18" s="91">
        <v>4</v>
      </c>
      <c r="AM18" s="91">
        <v>4</v>
      </c>
      <c r="AN18" s="91">
        <v>4</v>
      </c>
      <c r="AO18" s="91">
        <v>4</v>
      </c>
      <c r="AP18" s="91">
        <v>4</v>
      </c>
      <c r="AQ18" s="91">
        <v>4</v>
      </c>
      <c r="AR18" s="91">
        <v>4</v>
      </c>
      <c r="AS18" s="91">
        <v>4</v>
      </c>
      <c r="AT18" s="91">
        <v>4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6</v>
      </c>
      <c r="M19" s="91">
        <v>6</v>
      </c>
      <c r="N19" s="91">
        <v>6</v>
      </c>
      <c r="O19" s="91">
        <v>6</v>
      </c>
      <c r="P19" s="91">
        <v>6</v>
      </c>
      <c r="Q19" s="91">
        <v>6</v>
      </c>
      <c r="R19" s="91">
        <v>6</v>
      </c>
      <c r="S19" s="91">
        <v>6</v>
      </c>
      <c r="T19" s="91">
        <v>6</v>
      </c>
      <c r="U19" s="91">
        <v>6</v>
      </c>
      <c r="V19" s="91">
        <v>6</v>
      </c>
      <c r="W19" s="91">
        <v>6</v>
      </c>
      <c r="X19" s="91">
        <v>6</v>
      </c>
      <c r="Y19" s="91">
        <v>6</v>
      </c>
      <c r="Z19" s="91">
        <v>6</v>
      </c>
      <c r="AA19" s="91">
        <v>6</v>
      </c>
      <c r="AB19" s="91">
        <v>6</v>
      </c>
      <c r="AC19" s="91">
        <v>6</v>
      </c>
      <c r="AD19" s="91">
        <v>6</v>
      </c>
      <c r="AE19" s="91">
        <v>6</v>
      </c>
      <c r="AF19" s="91">
        <v>5</v>
      </c>
      <c r="AG19" s="91">
        <v>5</v>
      </c>
      <c r="AH19" s="91">
        <v>5</v>
      </c>
      <c r="AI19" s="91">
        <v>5</v>
      </c>
      <c r="AJ19" s="91">
        <v>5</v>
      </c>
      <c r="AK19" s="91">
        <v>5</v>
      </c>
      <c r="AL19" s="91">
        <v>5</v>
      </c>
      <c r="AM19" s="91">
        <v>5</v>
      </c>
      <c r="AN19" s="91">
        <v>5</v>
      </c>
      <c r="AO19" s="91">
        <v>5</v>
      </c>
      <c r="AP19" s="91">
        <v>5</v>
      </c>
      <c r="AQ19" s="91">
        <v>5</v>
      </c>
      <c r="AR19" s="91">
        <v>5</v>
      </c>
      <c r="AS19" s="91">
        <v>5</v>
      </c>
      <c r="AT19" s="91">
        <v>5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7</v>
      </c>
      <c r="M20" s="91">
        <v>7</v>
      </c>
      <c r="N20" s="91">
        <v>7</v>
      </c>
      <c r="O20" s="91">
        <v>7</v>
      </c>
      <c r="P20" s="91">
        <v>7</v>
      </c>
      <c r="Q20" s="91">
        <v>7</v>
      </c>
      <c r="R20" s="91">
        <v>7</v>
      </c>
      <c r="S20" s="91">
        <v>7</v>
      </c>
      <c r="T20" s="91">
        <v>7</v>
      </c>
      <c r="U20" s="91">
        <v>7</v>
      </c>
      <c r="V20" s="91">
        <v>7</v>
      </c>
      <c r="W20" s="91">
        <v>7</v>
      </c>
      <c r="X20" s="91">
        <v>7</v>
      </c>
      <c r="Y20" s="91">
        <v>7</v>
      </c>
      <c r="Z20" s="91">
        <v>7</v>
      </c>
      <c r="AA20" s="91">
        <v>7</v>
      </c>
      <c r="AB20" s="91">
        <v>7</v>
      </c>
      <c r="AC20" s="91">
        <v>7</v>
      </c>
      <c r="AD20" s="91">
        <v>7</v>
      </c>
      <c r="AE20" s="91">
        <v>7</v>
      </c>
      <c r="AF20" s="91">
        <v>6</v>
      </c>
      <c r="AG20" s="91">
        <v>6</v>
      </c>
      <c r="AH20" s="91">
        <v>6</v>
      </c>
      <c r="AI20" s="91">
        <v>6</v>
      </c>
      <c r="AJ20" s="91">
        <v>6</v>
      </c>
      <c r="AK20" s="91">
        <v>6</v>
      </c>
      <c r="AL20" s="91">
        <v>6</v>
      </c>
      <c r="AM20" s="91">
        <v>6</v>
      </c>
      <c r="AN20" s="91">
        <v>6</v>
      </c>
      <c r="AO20" s="91">
        <v>6</v>
      </c>
      <c r="AP20" s="91">
        <v>6</v>
      </c>
      <c r="AQ20" s="91">
        <v>6</v>
      </c>
      <c r="AR20" s="91">
        <v>6</v>
      </c>
      <c r="AS20" s="91">
        <v>6</v>
      </c>
      <c r="AT20" s="91">
        <v>6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8</v>
      </c>
      <c r="M21" s="91">
        <v>8</v>
      </c>
      <c r="N21" s="91">
        <v>8</v>
      </c>
      <c r="O21" s="91">
        <v>8</v>
      </c>
      <c r="P21" s="91">
        <v>8</v>
      </c>
      <c r="Q21" s="91">
        <v>8</v>
      </c>
      <c r="R21" s="91">
        <v>8</v>
      </c>
      <c r="S21" s="91">
        <v>8</v>
      </c>
      <c r="T21" s="91">
        <v>8</v>
      </c>
      <c r="U21" s="91">
        <v>8</v>
      </c>
      <c r="V21" s="91">
        <v>8</v>
      </c>
      <c r="W21" s="91">
        <v>8</v>
      </c>
      <c r="X21" s="91">
        <v>8</v>
      </c>
      <c r="Y21" s="91">
        <v>8</v>
      </c>
      <c r="Z21" s="91">
        <v>8</v>
      </c>
      <c r="AA21" s="91">
        <v>8</v>
      </c>
      <c r="AB21" s="91">
        <v>8</v>
      </c>
      <c r="AC21" s="91">
        <v>8</v>
      </c>
      <c r="AD21" s="91">
        <v>8</v>
      </c>
      <c r="AE21" s="91">
        <v>8</v>
      </c>
      <c r="AF21" s="91">
        <v>7</v>
      </c>
      <c r="AG21" s="91">
        <v>7</v>
      </c>
      <c r="AH21" s="91">
        <v>7</v>
      </c>
      <c r="AI21" s="91">
        <v>7</v>
      </c>
      <c r="AJ21" s="91">
        <v>7</v>
      </c>
      <c r="AK21" s="91">
        <v>7</v>
      </c>
      <c r="AL21" s="91">
        <v>7</v>
      </c>
      <c r="AM21" s="91">
        <v>7</v>
      </c>
      <c r="AN21" s="91">
        <v>7</v>
      </c>
      <c r="AO21" s="91">
        <v>7</v>
      </c>
      <c r="AP21" s="91">
        <v>7</v>
      </c>
      <c r="AQ21" s="91">
        <v>7</v>
      </c>
      <c r="AR21" s="91">
        <v>7</v>
      </c>
      <c r="AS21" s="91">
        <v>7</v>
      </c>
      <c r="AT21" s="91">
        <v>7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9</v>
      </c>
      <c r="M22" s="91">
        <v>9</v>
      </c>
      <c r="N22" s="91">
        <v>9</v>
      </c>
      <c r="O22" s="91">
        <v>9</v>
      </c>
      <c r="P22" s="91">
        <v>9</v>
      </c>
      <c r="Q22" s="91">
        <v>9</v>
      </c>
      <c r="R22" s="91">
        <v>9</v>
      </c>
      <c r="S22" s="91">
        <v>9</v>
      </c>
      <c r="T22" s="91">
        <v>9</v>
      </c>
      <c r="U22" s="91">
        <v>9</v>
      </c>
      <c r="V22" s="91">
        <v>9</v>
      </c>
      <c r="W22" s="91">
        <v>9</v>
      </c>
      <c r="X22" s="91">
        <v>9</v>
      </c>
      <c r="Y22" s="91">
        <v>9</v>
      </c>
      <c r="Z22" s="91">
        <v>9</v>
      </c>
      <c r="AA22" s="91">
        <v>9</v>
      </c>
      <c r="AB22" s="91">
        <v>9</v>
      </c>
      <c r="AC22" s="91">
        <v>9</v>
      </c>
      <c r="AD22" s="91">
        <v>9</v>
      </c>
      <c r="AE22" s="91">
        <v>9</v>
      </c>
      <c r="AF22" s="91">
        <v>8</v>
      </c>
      <c r="AG22" s="91">
        <v>8</v>
      </c>
      <c r="AH22" s="91">
        <v>8</v>
      </c>
      <c r="AI22" s="91">
        <v>8</v>
      </c>
      <c r="AJ22" s="91">
        <v>8</v>
      </c>
      <c r="AK22" s="91">
        <v>8</v>
      </c>
      <c r="AL22" s="91">
        <v>8</v>
      </c>
      <c r="AM22" s="91">
        <v>8</v>
      </c>
      <c r="AN22" s="91">
        <v>8</v>
      </c>
      <c r="AO22" s="91">
        <v>8</v>
      </c>
      <c r="AP22" s="91">
        <v>8</v>
      </c>
      <c r="AQ22" s="91">
        <v>8</v>
      </c>
      <c r="AR22" s="91">
        <v>8</v>
      </c>
      <c r="AS22" s="91">
        <v>8</v>
      </c>
      <c r="AT22" s="91">
        <v>8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10</v>
      </c>
      <c r="M23" s="91">
        <v>10</v>
      </c>
      <c r="N23" s="91">
        <v>10</v>
      </c>
      <c r="O23" s="91">
        <v>10</v>
      </c>
      <c r="P23" s="91">
        <v>10</v>
      </c>
      <c r="Q23" s="91">
        <v>10</v>
      </c>
      <c r="R23" s="91">
        <v>10</v>
      </c>
      <c r="S23" s="91">
        <v>10</v>
      </c>
      <c r="T23" s="91">
        <v>10</v>
      </c>
      <c r="U23" s="91">
        <v>10</v>
      </c>
      <c r="V23" s="91">
        <v>10</v>
      </c>
      <c r="W23" s="91">
        <v>10</v>
      </c>
      <c r="X23" s="91">
        <v>10</v>
      </c>
      <c r="Y23" s="91">
        <v>10</v>
      </c>
      <c r="Z23" s="91">
        <v>10</v>
      </c>
      <c r="AA23" s="91">
        <v>10</v>
      </c>
      <c r="AB23" s="91">
        <v>10</v>
      </c>
      <c r="AC23" s="91">
        <v>10</v>
      </c>
      <c r="AD23" s="91">
        <v>10</v>
      </c>
      <c r="AE23" s="91">
        <v>10</v>
      </c>
      <c r="AF23" s="91">
        <v>9</v>
      </c>
      <c r="AG23" s="91">
        <v>9</v>
      </c>
      <c r="AH23" s="91">
        <v>9</v>
      </c>
      <c r="AI23" s="91">
        <v>9</v>
      </c>
      <c r="AJ23" s="91">
        <v>9</v>
      </c>
      <c r="AK23" s="91">
        <v>9</v>
      </c>
      <c r="AL23" s="91">
        <v>9</v>
      </c>
      <c r="AM23" s="91">
        <v>9</v>
      </c>
      <c r="AN23" s="91">
        <v>9</v>
      </c>
      <c r="AO23" s="91">
        <v>9</v>
      </c>
      <c r="AP23" s="91">
        <v>9</v>
      </c>
      <c r="AQ23" s="91">
        <v>9</v>
      </c>
      <c r="AR23" s="91">
        <v>9</v>
      </c>
      <c r="AS23" s="91">
        <v>9</v>
      </c>
      <c r="AT23" s="91">
        <v>9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11</v>
      </c>
      <c r="M24" s="91">
        <v>11</v>
      </c>
      <c r="N24" s="91">
        <v>11</v>
      </c>
      <c r="O24" s="91">
        <v>11</v>
      </c>
      <c r="P24" s="91">
        <v>11</v>
      </c>
      <c r="Q24" s="91">
        <v>11</v>
      </c>
      <c r="R24" s="91">
        <v>11</v>
      </c>
      <c r="S24" s="91">
        <v>11</v>
      </c>
      <c r="T24" s="91">
        <v>11</v>
      </c>
      <c r="U24" s="91">
        <v>11</v>
      </c>
      <c r="V24" s="91">
        <v>11</v>
      </c>
      <c r="W24" s="91">
        <v>11</v>
      </c>
      <c r="X24" s="91">
        <v>11</v>
      </c>
      <c r="Y24" s="91">
        <v>11</v>
      </c>
      <c r="Z24" s="91">
        <v>11</v>
      </c>
      <c r="AA24" s="91">
        <v>11</v>
      </c>
      <c r="AB24" s="91">
        <v>11</v>
      </c>
      <c r="AC24" s="91">
        <v>11</v>
      </c>
      <c r="AD24" s="91">
        <v>11</v>
      </c>
      <c r="AE24" s="91">
        <v>11</v>
      </c>
      <c r="AF24" s="91">
        <v>10</v>
      </c>
      <c r="AG24" s="91">
        <v>10</v>
      </c>
      <c r="AH24" s="91">
        <v>10</v>
      </c>
      <c r="AI24" s="91">
        <v>10</v>
      </c>
      <c r="AJ24" s="91">
        <v>10</v>
      </c>
      <c r="AK24" s="91">
        <v>10</v>
      </c>
      <c r="AL24" s="91">
        <v>10</v>
      </c>
      <c r="AM24" s="91">
        <v>10</v>
      </c>
      <c r="AN24" s="91">
        <v>10</v>
      </c>
      <c r="AO24" s="91">
        <v>10</v>
      </c>
      <c r="AP24" s="91">
        <v>10</v>
      </c>
      <c r="AQ24" s="91">
        <v>10</v>
      </c>
      <c r="AR24" s="91">
        <v>10</v>
      </c>
      <c r="AS24" s="91">
        <v>10</v>
      </c>
      <c r="AT24" s="91">
        <v>10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18" sqref="B18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3500000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1750000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E23" sqref="E23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1750000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1142</v>
      </c>
      <c r="B1" s="13"/>
      <c r="C1" s="12"/>
      <c r="D1" s="13"/>
      <c r="E1" s="13"/>
      <c r="F1" s="12"/>
      <c r="G1" s="55" t="s">
        <v>1143</v>
      </c>
      <c r="H1" s="55" t="s">
        <v>1143</v>
      </c>
      <c r="I1" s="55" t="s">
        <v>1143</v>
      </c>
      <c r="J1" s="55" t="s">
        <v>1143</v>
      </c>
      <c r="K1" s="55" t="s">
        <v>1143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1144</v>
      </c>
      <c r="B3" s="13"/>
      <c r="C3" s="12"/>
      <c r="D3" s="13"/>
      <c r="E3" s="13"/>
      <c r="F3" s="12"/>
      <c r="G3" s="55" t="s">
        <v>1145</v>
      </c>
      <c r="H3" s="55" t="s">
        <v>1146</v>
      </c>
      <c r="I3" s="55" t="s">
        <v>1147</v>
      </c>
      <c r="J3" s="55" t="s">
        <v>1148</v>
      </c>
      <c r="K3" s="55" t="s">
        <v>1149</v>
      </c>
      <c r="L3" s="10"/>
      <c r="M3" s="10"/>
      <c r="N3" s="189"/>
    </row>
    <row r="4" spans="1:23" s="181" customFormat="1" ht="57.75" customHeight="1" thickBot="1" x14ac:dyDescent="0.2">
      <c r="A4" s="94" t="s">
        <v>1150</v>
      </c>
      <c r="B4" s="106" t="s">
        <v>1151</v>
      </c>
      <c r="C4" s="107"/>
      <c r="D4" s="106"/>
      <c r="E4" s="106"/>
      <c r="F4" s="107"/>
      <c r="G4" s="89" t="s">
        <v>1152</v>
      </c>
      <c r="H4" s="89" t="s">
        <v>1153</v>
      </c>
      <c r="I4" s="89" t="s">
        <v>1154</v>
      </c>
      <c r="J4" s="89" t="s">
        <v>1155</v>
      </c>
      <c r="K4" s="89" t="s">
        <v>1156</v>
      </c>
      <c r="L4" s="90" t="s">
        <v>1157</v>
      </c>
      <c r="M4" s="90" t="s">
        <v>1158</v>
      </c>
      <c r="N4" s="190" t="s">
        <v>1458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Z41" activePane="bottomRight" state="frozen"/>
      <selection pane="topRight" activeCell="H1" sqref="H1"/>
      <selection pane="bottomLeft" activeCell="A5" sqref="A5"/>
      <selection pane="bottomRight" activeCell="AB59" sqref="AB59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1254</v>
      </c>
      <c r="AR1" s="55" t="s">
        <v>1254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1254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1253</v>
      </c>
      <c r="AR2" s="55" t="s">
        <v>1253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1253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1221</v>
      </c>
      <c r="AI3" s="55" t="s">
        <v>1222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1258</v>
      </c>
      <c r="AR3" s="61" t="s">
        <v>1252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1259</v>
      </c>
      <c r="BA3" s="61" t="s">
        <v>1256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1169</v>
      </c>
      <c r="BJ3" s="61" t="s">
        <v>1170</v>
      </c>
      <c r="BK3" s="61" t="s">
        <v>1171</v>
      </c>
      <c r="BL3" s="61" t="s">
        <v>1172</v>
      </c>
      <c r="BM3" s="35" t="s">
        <v>1173</v>
      </c>
      <c r="BN3" s="35" t="s">
        <v>1174</v>
      </c>
      <c r="BO3" s="35" t="s">
        <v>1175</v>
      </c>
      <c r="BP3" s="61" t="s">
        <v>1176</v>
      </c>
      <c r="BQ3" s="35" t="s">
        <v>1177</v>
      </c>
      <c r="BR3" s="35" t="s">
        <v>1178</v>
      </c>
      <c r="BS3" s="35" t="s">
        <v>1179</v>
      </c>
      <c r="BT3" s="36"/>
      <c r="BU3" s="35" t="s">
        <v>1180</v>
      </c>
      <c r="BV3" s="35" t="s">
        <v>1181</v>
      </c>
      <c r="BW3" s="35" t="s">
        <v>1182</v>
      </c>
      <c r="BX3" s="35" t="s">
        <v>1183</v>
      </c>
      <c r="BY3" s="35" t="s">
        <v>1184</v>
      </c>
      <c r="BZ3" s="35" t="s">
        <v>1185</v>
      </c>
      <c r="CA3" s="35" t="s">
        <v>1186</v>
      </c>
      <c r="CB3" s="35" t="s">
        <v>1187</v>
      </c>
      <c r="CC3" s="35" t="s">
        <v>1188</v>
      </c>
      <c r="CD3" s="35" t="s">
        <v>1189</v>
      </c>
      <c r="CE3" s="35" t="s">
        <v>1190</v>
      </c>
      <c r="CF3" s="35" t="s">
        <v>1191</v>
      </c>
      <c r="CG3" s="35" t="s">
        <v>1192</v>
      </c>
      <c r="CH3" s="35" t="s">
        <v>1193</v>
      </c>
      <c r="CI3" s="35" t="s">
        <v>1194</v>
      </c>
      <c r="CJ3" s="35" t="s">
        <v>1195</v>
      </c>
      <c r="CK3" s="35" t="s">
        <v>1196</v>
      </c>
      <c r="CL3" s="35" t="s">
        <v>1197</v>
      </c>
      <c r="CM3" s="35" t="s">
        <v>1198</v>
      </c>
      <c r="CN3" s="36"/>
      <c r="CO3" s="35" t="s">
        <v>1199</v>
      </c>
      <c r="CP3" s="35" t="s">
        <v>1200</v>
      </c>
      <c r="CQ3" s="35" t="s">
        <v>1201</v>
      </c>
      <c r="CR3" s="35" t="s">
        <v>1202</v>
      </c>
      <c r="CS3" s="35" t="s">
        <v>1203</v>
      </c>
      <c r="CT3" s="35" t="s">
        <v>1204</v>
      </c>
      <c r="CU3" s="35" t="s">
        <v>1205</v>
      </c>
      <c r="CV3" s="35" t="s">
        <v>1206</v>
      </c>
      <c r="CW3" s="35" t="s">
        <v>1207</v>
      </c>
      <c r="CX3" s="35" t="s">
        <v>1208</v>
      </c>
      <c r="CY3" s="35" t="s">
        <v>1209</v>
      </c>
      <c r="CZ3" s="35" t="s">
        <v>1210</v>
      </c>
      <c r="DA3" s="35" t="s">
        <v>1211</v>
      </c>
      <c r="DB3" s="35" t="s">
        <v>1212</v>
      </c>
      <c r="DC3" s="35" t="s">
        <v>1213</v>
      </c>
      <c r="DD3" s="35" t="s">
        <v>1446</v>
      </c>
      <c r="DE3" s="35" t="s">
        <v>1448</v>
      </c>
      <c r="DF3" s="35" t="s">
        <v>1447</v>
      </c>
      <c r="DG3" s="36"/>
      <c r="DH3" s="35" t="s">
        <v>1214</v>
      </c>
      <c r="DI3" s="35" t="s">
        <v>1215</v>
      </c>
      <c r="DJ3" s="35" t="s">
        <v>1216</v>
      </c>
      <c r="DK3" s="35" t="s">
        <v>1217</v>
      </c>
      <c r="DL3" s="35" t="s">
        <v>1218</v>
      </c>
      <c r="DM3" s="35" t="s">
        <v>1219</v>
      </c>
      <c r="DN3" s="35" t="s">
        <v>1220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1319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1322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1257</v>
      </c>
      <c r="AR4" s="61" t="s">
        <v>1251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1255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1442</v>
      </c>
      <c r="DE4" s="35" t="s">
        <v>1443</v>
      </c>
      <c r="DF4" s="35" t="s">
        <v>1444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1459</v>
      </c>
      <c r="J5" s="56" t="s">
        <v>1460</v>
      </c>
      <c r="K5" s="56" t="s">
        <v>1056</v>
      </c>
      <c r="L5" s="160">
        <v>240</v>
      </c>
      <c r="M5" s="17" t="s">
        <v>943</v>
      </c>
      <c r="N5" s="56" t="s">
        <v>1273</v>
      </c>
      <c r="O5" s="56">
        <v>160</v>
      </c>
      <c r="P5" s="17">
        <f>Q5*8</f>
        <v>160</v>
      </c>
      <c r="Q5" s="17">
        <v>20</v>
      </c>
      <c r="R5" s="156">
        <f>IF((1-(1-O5/100000)^1440)=0,"",1-(1-O5/100000)^1440)</f>
        <v>0.90032547671723928</v>
      </c>
      <c r="S5" s="172">
        <f>IF((O5/100000)*1440=0,"",(O5/100000)*1440)</f>
        <v>2.3040000000000003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1460</v>
      </c>
      <c r="L6" s="158">
        <v>240</v>
      </c>
      <c r="M6" s="10" t="s">
        <v>944</v>
      </c>
      <c r="N6" s="55" t="s">
        <v>1274</v>
      </c>
      <c r="O6" s="55">
        <v>120</v>
      </c>
      <c r="P6" s="10">
        <f t="shared" ref="P6:P69" si="3">Q6*8</f>
        <v>120</v>
      </c>
      <c r="Q6" s="10">
        <v>15</v>
      </c>
      <c r="R6" s="155">
        <f t="shared" ref="R6:R69" si="4">IF((1-(1-O6/100000)^1440)=0,"",1-(1-O6/100000)^1440)</f>
        <v>0.82254489474286463</v>
      </c>
      <c r="S6" s="171">
        <f t="shared" ref="S6:S69" si="5">IF((O6/100000)*1440=0,"",(O6/100000)*1440)</f>
        <v>1.7279999999999998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1043</v>
      </c>
      <c r="L7" s="158">
        <v>240</v>
      </c>
      <c r="M7" s="153" t="s">
        <v>945</v>
      </c>
      <c r="N7" s="55" t="s">
        <v>1275</v>
      </c>
      <c r="O7" s="55">
        <v>80</v>
      </c>
      <c r="P7" s="10">
        <f t="shared" si="3"/>
        <v>80</v>
      </c>
      <c r="Q7" s="10">
        <v>10</v>
      </c>
      <c r="R7" s="155">
        <f t="shared" si="4"/>
        <v>0.68414153013817525</v>
      </c>
      <c r="S7" s="171">
        <f t="shared" si="5"/>
        <v>1.1520000000000001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1044</v>
      </c>
      <c r="L8" s="158">
        <v>240</v>
      </c>
      <c r="N8" s="55" t="s">
        <v>1276</v>
      </c>
      <c r="O8" s="55">
        <v>160</v>
      </c>
      <c r="P8" s="10">
        <f t="shared" si="3"/>
        <v>160</v>
      </c>
      <c r="Q8" s="10">
        <v>20</v>
      </c>
      <c r="R8" s="155">
        <f t="shared" si="4"/>
        <v>0.90032547671723928</v>
      </c>
      <c r="S8" s="171">
        <f t="shared" si="5"/>
        <v>2.3040000000000003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1044</v>
      </c>
      <c r="L9" s="158">
        <v>240</v>
      </c>
      <c r="N9" s="55" t="s">
        <v>1277</v>
      </c>
      <c r="O9" s="55">
        <v>120</v>
      </c>
      <c r="P9" s="10">
        <f t="shared" si="3"/>
        <v>120</v>
      </c>
      <c r="Q9" s="10">
        <v>15</v>
      </c>
      <c r="R9" s="155">
        <f t="shared" si="4"/>
        <v>0.82254489474286463</v>
      </c>
      <c r="S9" s="171">
        <f t="shared" si="5"/>
        <v>1.7279999999999998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1044</v>
      </c>
      <c r="L10" s="158">
        <v>240</v>
      </c>
      <c r="N10" s="55" t="s">
        <v>1278</v>
      </c>
      <c r="O10" s="55">
        <v>80</v>
      </c>
      <c r="P10" s="10">
        <f t="shared" si="3"/>
        <v>80</v>
      </c>
      <c r="Q10" s="10">
        <v>10</v>
      </c>
      <c r="R10" s="155">
        <f t="shared" si="4"/>
        <v>0.68414153013817525</v>
      </c>
      <c r="S10" s="171">
        <f t="shared" si="5"/>
        <v>1.1520000000000001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1045</v>
      </c>
      <c r="L11" s="158">
        <v>240</v>
      </c>
      <c r="N11" s="55" t="s">
        <v>1279</v>
      </c>
      <c r="O11" s="55">
        <v>160</v>
      </c>
      <c r="P11" s="10">
        <f t="shared" si="3"/>
        <v>160</v>
      </c>
      <c r="Q11" s="10">
        <v>20</v>
      </c>
      <c r="R11" s="155">
        <f t="shared" si="4"/>
        <v>0.90032547671723928</v>
      </c>
      <c r="S11" s="171">
        <f t="shared" si="5"/>
        <v>2.3040000000000003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1045</v>
      </c>
      <c r="L12" s="158">
        <v>240</v>
      </c>
      <c r="N12" s="55" t="s">
        <v>1280</v>
      </c>
      <c r="O12" s="55">
        <v>120</v>
      </c>
      <c r="P12" s="10">
        <f t="shared" si="3"/>
        <v>120</v>
      </c>
      <c r="Q12" s="10">
        <v>15</v>
      </c>
      <c r="R12" s="155">
        <f t="shared" si="4"/>
        <v>0.82254489474286463</v>
      </c>
      <c r="S12" s="171">
        <f t="shared" si="5"/>
        <v>1.7279999999999998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1045</v>
      </c>
      <c r="L13" s="158">
        <v>240</v>
      </c>
      <c r="N13" s="55" t="s">
        <v>1281</v>
      </c>
      <c r="O13" s="55">
        <v>80</v>
      </c>
      <c r="P13" s="10">
        <f t="shared" si="3"/>
        <v>80</v>
      </c>
      <c r="Q13" s="10">
        <v>10</v>
      </c>
      <c r="R13" s="155">
        <f t="shared" si="4"/>
        <v>0.68414153013817525</v>
      </c>
      <c r="S13" s="171">
        <f t="shared" si="5"/>
        <v>1.1520000000000001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1046</v>
      </c>
      <c r="K25" s="56"/>
      <c r="L25" s="160">
        <v>420</v>
      </c>
      <c r="M25" s="17"/>
      <c r="N25" s="56" t="s">
        <v>1282</v>
      </c>
      <c r="O25" s="56">
        <v>200</v>
      </c>
      <c r="P25" s="17">
        <f>Q25*20</f>
        <v>200</v>
      </c>
      <c r="Q25" s="17">
        <v>10</v>
      </c>
      <c r="R25" s="156">
        <f t="shared" si="4"/>
        <v>0.94402688796415479</v>
      </c>
      <c r="S25" s="172">
        <f t="shared" si="5"/>
        <v>2.88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1046</v>
      </c>
      <c r="L26" s="158">
        <v>420</v>
      </c>
      <c r="N26" s="55" t="s">
        <v>1283</v>
      </c>
      <c r="O26" s="55">
        <v>160</v>
      </c>
      <c r="P26" s="10">
        <f t="shared" ref="P26:P30" si="6">Q26*20</f>
        <v>160</v>
      </c>
      <c r="Q26" s="10">
        <v>8</v>
      </c>
      <c r="R26" s="155">
        <f t="shared" si="4"/>
        <v>0.90032547671723928</v>
      </c>
      <c r="S26" s="171">
        <f t="shared" si="5"/>
        <v>2.3040000000000003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1046</v>
      </c>
      <c r="L27" s="158">
        <v>420</v>
      </c>
      <c r="N27" s="55" t="s">
        <v>1284</v>
      </c>
      <c r="O27" s="55">
        <v>100</v>
      </c>
      <c r="P27" s="10">
        <f t="shared" si="6"/>
        <v>100</v>
      </c>
      <c r="Q27" s="10">
        <v>5</v>
      </c>
      <c r="R27" s="155">
        <f t="shared" si="4"/>
        <v>0.76324288163593268</v>
      </c>
      <c r="S27" s="171">
        <f t="shared" si="5"/>
        <v>1.44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1048</v>
      </c>
      <c r="J28" s="55" t="s">
        <v>1047</v>
      </c>
      <c r="L28" s="158">
        <v>420</v>
      </c>
      <c r="N28" s="55" t="s">
        <v>1285</v>
      </c>
      <c r="O28" s="56">
        <v>200</v>
      </c>
      <c r="P28" s="10">
        <f t="shared" si="6"/>
        <v>200</v>
      </c>
      <c r="Q28" s="10">
        <v>10</v>
      </c>
      <c r="R28" s="155">
        <f t="shared" si="4"/>
        <v>0.94402688796415479</v>
      </c>
      <c r="S28" s="171">
        <f t="shared" si="5"/>
        <v>2.88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1048</v>
      </c>
      <c r="J29" s="55" t="s">
        <v>1047</v>
      </c>
      <c r="L29" s="158">
        <v>420</v>
      </c>
      <c r="N29" s="55" t="s">
        <v>1286</v>
      </c>
      <c r="O29" s="55">
        <v>160</v>
      </c>
      <c r="P29" s="10">
        <f t="shared" si="6"/>
        <v>160</v>
      </c>
      <c r="Q29" s="10">
        <v>8</v>
      </c>
      <c r="R29" s="155">
        <f t="shared" si="4"/>
        <v>0.90032547671723928</v>
      </c>
      <c r="S29" s="171">
        <f t="shared" si="5"/>
        <v>2.3040000000000003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1048</v>
      </c>
      <c r="J30" s="55" t="s">
        <v>1047</v>
      </c>
      <c r="L30" s="158">
        <v>420</v>
      </c>
      <c r="N30" s="55" t="s">
        <v>1287</v>
      </c>
      <c r="O30" s="55">
        <v>100</v>
      </c>
      <c r="P30" s="10">
        <f t="shared" si="6"/>
        <v>100</v>
      </c>
      <c r="Q30" s="10">
        <v>5</v>
      </c>
      <c r="R30" s="155">
        <f t="shared" si="4"/>
        <v>0.76324288163593268</v>
      </c>
      <c r="S30" s="171">
        <f t="shared" si="5"/>
        <v>1.44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1461</v>
      </c>
      <c r="J45" s="56" t="s">
        <v>1049</v>
      </c>
      <c r="K45" s="56"/>
      <c r="L45" s="160">
        <v>180</v>
      </c>
      <c r="M45" s="17"/>
      <c r="N45" s="56" t="s">
        <v>1288</v>
      </c>
      <c r="O45" s="56">
        <v>80</v>
      </c>
      <c r="P45" s="17">
        <f t="shared" si="3"/>
        <v>80</v>
      </c>
      <c r="Q45" s="17">
        <v>10</v>
      </c>
      <c r="R45" s="156">
        <f t="shared" si="4"/>
        <v>0.68414153013817525</v>
      </c>
      <c r="S45" s="172">
        <f t="shared" si="5"/>
        <v>1.1520000000000001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90</v>
      </c>
      <c r="AL45" s="150">
        <v>90</v>
      </c>
      <c r="AM45" s="150">
        <v>90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1461</v>
      </c>
      <c r="J46" s="55" t="s">
        <v>1049</v>
      </c>
      <c r="L46" s="158">
        <v>180</v>
      </c>
      <c r="N46" s="55" t="s">
        <v>1289</v>
      </c>
      <c r="O46" s="55">
        <v>64</v>
      </c>
      <c r="P46" s="10">
        <f t="shared" si="3"/>
        <v>64</v>
      </c>
      <c r="Q46" s="10">
        <v>8</v>
      </c>
      <c r="R46" s="155">
        <f t="shared" si="4"/>
        <v>0.60223545247529109</v>
      </c>
      <c r="S46" s="171">
        <f t="shared" si="5"/>
        <v>0.92160000000000009</v>
      </c>
      <c r="X46" s="155" t="str">
        <f t="shared" si="0"/>
        <v/>
      </c>
      <c r="Y46" s="171" t="str">
        <f t="shared" si="1"/>
        <v/>
      </c>
      <c r="AK46" s="149">
        <v>80</v>
      </c>
      <c r="AL46" s="149">
        <v>80</v>
      </c>
      <c r="AM46" s="149">
        <v>80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1461</v>
      </c>
      <c r="J47" s="55" t="s">
        <v>1049</v>
      </c>
      <c r="L47" s="158">
        <v>180</v>
      </c>
      <c r="N47" s="55" t="s">
        <v>1290</v>
      </c>
      <c r="O47" s="55">
        <v>20</v>
      </c>
      <c r="P47" s="10">
        <f t="shared" si="3"/>
        <v>40</v>
      </c>
      <c r="Q47" s="10">
        <v>5</v>
      </c>
      <c r="R47" s="155">
        <f t="shared" si="4"/>
        <v>0.25026000346329735</v>
      </c>
      <c r="S47" s="171">
        <f t="shared" si="5"/>
        <v>0.28800000000000003</v>
      </c>
      <c r="X47" s="155" t="str">
        <f t="shared" si="0"/>
        <v/>
      </c>
      <c r="Y47" s="171" t="str">
        <f t="shared" si="1"/>
        <v/>
      </c>
      <c r="AK47" s="149">
        <v>70</v>
      </c>
      <c r="AL47" s="149">
        <v>70</v>
      </c>
      <c r="AM47" s="149">
        <v>70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1462</v>
      </c>
      <c r="J48" s="55" t="s">
        <v>1051</v>
      </c>
      <c r="L48" s="158">
        <v>180</v>
      </c>
      <c r="N48" s="55" t="s">
        <v>1291</v>
      </c>
      <c r="O48" s="55">
        <v>80</v>
      </c>
      <c r="P48" s="10">
        <f t="shared" si="3"/>
        <v>80</v>
      </c>
      <c r="Q48" s="10">
        <v>10</v>
      </c>
      <c r="R48" s="155">
        <f t="shared" si="4"/>
        <v>0.68414153013817525</v>
      </c>
      <c r="S48" s="171">
        <f t="shared" si="5"/>
        <v>1.1520000000000001</v>
      </c>
      <c r="X48" s="155" t="str">
        <f t="shared" si="0"/>
        <v/>
      </c>
      <c r="Y48" s="171" t="str">
        <f t="shared" si="1"/>
        <v/>
      </c>
      <c r="AT48" s="149">
        <v>90</v>
      </c>
      <c r="AU48" s="149">
        <v>90</v>
      </c>
      <c r="AV48" s="149">
        <v>90</v>
      </c>
      <c r="AW48" s="149">
        <v>90</v>
      </c>
      <c r="AX48" s="149">
        <v>90</v>
      </c>
      <c r="AY48" s="149">
        <v>90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1038</v>
      </c>
      <c r="J49" s="55" t="s">
        <v>1051</v>
      </c>
      <c r="L49" s="158">
        <v>180</v>
      </c>
      <c r="N49" s="55" t="s">
        <v>1293</v>
      </c>
      <c r="O49" s="55">
        <v>64</v>
      </c>
      <c r="P49" s="10">
        <f t="shared" si="3"/>
        <v>64</v>
      </c>
      <c r="Q49" s="10">
        <v>8</v>
      </c>
      <c r="R49" s="155">
        <f t="shared" si="4"/>
        <v>0.60223545247529109</v>
      </c>
      <c r="S49" s="171">
        <f t="shared" si="5"/>
        <v>0.92160000000000009</v>
      </c>
      <c r="X49" s="155" t="str">
        <f t="shared" si="0"/>
        <v/>
      </c>
      <c r="Y49" s="171" t="str">
        <f t="shared" si="1"/>
        <v/>
      </c>
      <c r="AT49" s="149">
        <v>80</v>
      </c>
      <c r="AU49" s="149">
        <v>80</v>
      </c>
      <c r="AV49" s="149">
        <v>80</v>
      </c>
      <c r="AW49" s="149">
        <v>80</v>
      </c>
      <c r="AX49" s="149">
        <v>80</v>
      </c>
      <c r="AY49" s="149">
        <v>80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1038</v>
      </c>
      <c r="J50" s="55" t="s">
        <v>1051</v>
      </c>
      <c r="L50" s="158">
        <v>180</v>
      </c>
      <c r="N50" s="55" t="s">
        <v>1292</v>
      </c>
      <c r="O50" s="55">
        <v>20</v>
      </c>
      <c r="P50" s="10">
        <f t="shared" si="3"/>
        <v>40</v>
      </c>
      <c r="Q50" s="10">
        <v>5</v>
      </c>
      <c r="R50" s="155">
        <f t="shared" si="4"/>
        <v>0.25026000346329735</v>
      </c>
      <c r="S50" s="171">
        <f t="shared" si="5"/>
        <v>0.28800000000000003</v>
      </c>
      <c r="X50" s="155" t="str">
        <f t="shared" si="0"/>
        <v/>
      </c>
      <c r="Y50" s="171" t="str">
        <f t="shared" si="1"/>
        <v/>
      </c>
      <c r="AT50" s="149">
        <v>60</v>
      </c>
      <c r="AU50" s="149">
        <v>60</v>
      </c>
      <c r="AV50" s="149">
        <v>60</v>
      </c>
      <c r="AW50" s="149">
        <v>60</v>
      </c>
      <c r="AX50" s="149">
        <v>60</v>
      </c>
      <c r="AY50" s="149">
        <v>60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1463</v>
      </c>
      <c r="J51" s="55" t="s">
        <v>1050</v>
      </c>
      <c r="L51" s="158">
        <v>180</v>
      </c>
      <c r="N51" s="55" t="s">
        <v>1294</v>
      </c>
      <c r="O51" s="55">
        <v>80</v>
      </c>
      <c r="P51" s="10">
        <f t="shared" si="3"/>
        <v>80</v>
      </c>
      <c r="Q51" s="10">
        <v>10</v>
      </c>
      <c r="R51" s="155">
        <f t="shared" si="4"/>
        <v>0.68414153013817525</v>
      </c>
      <c r="S51" s="171">
        <f t="shared" si="5"/>
        <v>1.1520000000000001</v>
      </c>
      <c r="X51" s="155" t="str">
        <f t="shared" si="0"/>
        <v/>
      </c>
      <c r="Y51" s="171" t="str">
        <f t="shared" si="1"/>
        <v/>
      </c>
      <c r="AT51" s="149">
        <v>90</v>
      </c>
      <c r="AU51" s="149">
        <v>90</v>
      </c>
      <c r="AV51" s="149">
        <v>90</v>
      </c>
      <c r="AW51" s="149">
        <v>150</v>
      </c>
      <c r="AX51" s="149">
        <v>150</v>
      </c>
      <c r="AY51" s="149">
        <v>90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1463</v>
      </c>
      <c r="J52" s="55" t="s">
        <v>1050</v>
      </c>
      <c r="L52" s="158">
        <v>180</v>
      </c>
      <c r="N52" s="55" t="s">
        <v>1296</v>
      </c>
      <c r="O52" s="55">
        <v>64</v>
      </c>
      <c r="P52" s="10">
        <f t="shared" si="3"/>
        <v>64</v>
      </c>
      <c r="Q52" s="10">
        <v>8</v>
      </c>
      <c r="R52" s="155">
        <f t="shared" si="4"/>
        <v>0.60223545247529109</v>
      </c>
      <c r="S52" s="171">
        <f t="shared" si="5"/>
        <v>0.92160000000000009</v>
      </c>
      <c r="X52" s="155" t="str">
        <f t="shared" si="0"/>
        <v/>
      </c>
      <c r="Y52" s="171" t="str">
        <f t="shared" si="1"/>
        <v/>
      </c>
      <c r="AT52" s="149">
        <v>80</v>
      </c>
      <c r="AU52" s="149">
        <v>80</v>
      </c>
      <c r="AV52" s="149">
        <v>80</v>
      </c>
      <c r="AW52" s="149">
        <v>180</v>
      </c>
      <c r="AX52" s="149">
        <v>180</v>
      </c>
      <c r="AY52" s="149">
        <v>80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ht="17.25" thickBot="1" x14ac:dyDescent="0.2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1463</v>
      </c>
      <c r="J53" s="55" t="s">
        <v>1050</v>
      </c>
      <c r="L53" s="158">
        <v>180</v>
      </c>
      <c r="N53" s="55" t="s">
        <v>1295</v>
      </c>
      <c r="O53" s="55">
        <v>20</v>
      </c>
      <c r="P53" s="10">
        <f t="shared" si="3"/>
        <v>40</v>
      </c>
      <c r="Q53" s="10">
        <v>5</v>
      </c>
      <c r="R53" s="155">
        <f t="shared" si="4"/>
        <v>0.25026000346329735</v>
      </c>
      <c r="S53" s="171">
        <f t="shared" si="5"/>
        <v>0.28800000000000003</v>
      </c>
      <c r="X53" s="155" t="str">
        <f t="shared" si="0"/>
        <v/>
      </c>
      <c r="Y53" s="171" t="str">
        <f t="shared" si="1"/>
        <v/>
      </c>
      <c r="AT53" s="149">
        <v>60</v>
      </c>
      <c r="AU53" s="149">
        <v>60</v>
      </c>
      <c r="AV53" s="149">
        <v>60</v>
      </c>
      <c r="AW53" s="149">
        <v>200</v>
      </c>
      <c r="AX53" s="149">
        <v>200</v>
      </c>
      <c r="AY53" s="149">
        <v>60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1464</v>
      </c>
      <c r="J54" s="55" t="s">
        <v>1300</v>
      </c>
      <c r="L54" s="158">
        <v>180</v>
      </c>
      <c r="N54" s="55" t="s">
        <v>1297</v>
      </c>
      <c r="O54" s="55">
        <v>80</v>
      </c>
      <c r="P54" s="10">
        <f t="shared" si="3"/>
        <v>80</v>
      </c>
      <c r="Q54" s="10">
        <v>10</v>
      </c>
      <c r="R54" s="155">
        <f t="shared" si="4"/>
        <v>0.68414153013817525</v>
      </c>
      <c r="S54" s="171">
        <f t="shared" si="5"/>
        <v>1.1520000000000001</v>
      </c>
      <c r="X54" s="155" t="str">
        <f t="shared" si="0"/>
        <v/>
      </c>
      <c r="Y54" s="171" t="str">
        <f t="shared" si="1"/>
        <v/>
      </c>
      <c r="AB54" s="149">
        <v>80</v>
      </c>
      <c r="AK54" s="150">
        <v>90</v>
      </c>
      <c r="AL54" s="150">
        <v>90</v>
      </c>
      <c r="AM54" s="150">
        <v>90</v>
      </c>
      <c r="AP54" s="150">
        <v>90</v>
      </c>
      <c r="AQ54" s="149"/>
      <c r="AR54" s="149"/>
      <c r="AT54" s="149">
        <v>90</v>
      </c>
      <c r="AU54" s="149">
        <v>90</v>
      </c>
      <c r="AV54" s="149">
        <v>90</v>
      </c>
      <c r="AY54" s="149">
        <v>90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1464</v>
      </c>
      <c r="J55" s="55" t="s">
        <v>1300</v>
      </c>
      <c r="K55" s="55"/>
      <c r="L55" s="158">
        <v>180</v>
      </c>
      <c r="M55" s="10"/>
      <c r="N55" s="55" t="s">
        <v>1299</v>
      </c>
      <c r="O55" s="55">
        <v>64</v>
      </c>
      <c r="P55" s="10">
        <f t="shared" si="3"/>
        <v>64</v>
      </c>
      <c r="Q55" s="10">
        <v>8</v>
      </c>
      <c r="R55" s="155">
        <f t="shared" si="4"/>
        <v>0.60223545247529109</v>
      </c>
      <c r="S55" s="171">
        <f t="shared" si="5"/>
        <v>0.92160000000000009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70</v>
      </c>
      <c r="AC55" s="55"/>
      <c r="AD55" s="55"/>
      <c r="AE55" s="55"/>
      <c r="AF55" s="55"/>
      <c r="AG55" s="167"/>
      <c r="AH55" s="55"/>
      <c r="AI55" s="55"/>
      <c r="AJ55" s="165"/>
      <c r="AK55" s="149">
        <v>80</v>
      </c>
      <c r="AL55" s="149">
        <v>80</v>
      </c>
      <c r="AM55" s="149">
        <v>80</v>
      </c>
      <c r="AN55" s="55"/>
      <c r="AO55" s="55"/>
      <c r="AP55" s="149">
        <v>80</v>
      </c>
      <c r="AQ55" s="149"/>
      <c r="AR55" s="149"/>
      <c r="AS55" s="165"/>
      <c r="AT55" s="149">
        <v>80</v>
      </c>
      <c r="AU55" s="149">
        <v>80</v>
      </c>
      <c r="AV55" s="149">
        <v>80</v>
      </c>
      <c r="AW55" s="55"/>
      <c r="AX55" s="55"/>
      <c r="AY55" s="149">
        <v>80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1464</v>
      </c>
      <c r="J56" s="55" t="s">
        <v>1300</v>
      </c>
      <c r="K56" s="55"/>
      <c r="L56" s="158">
        <v>180</v>
      </c>
      <c r="M56" s="10"/>
      <c r="N56" s="55" t="s">
        <v>1298</v>
      </c>
      <c r="O56" s="55">
        <v>20</v>
      </c>
      <c r="P56" s="10">
        <f t="shared" si="3"/>
        <v>40</v>
      </c>
      <c r="Q56" s="10">
        <v>5</v>
      </c>
      <c r="R56" s="155">
        <f t="shared" si="4"/>
        <v>0.25026000346329735</v>
      </c>
      <c r="S56" s="171">
        <f t="shared" si="5"/>
        <v>0.28800000000000003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60</v>
      </c>
      <c r="AC56" s="55"/>
      <c r="AD56" s="55"/>
      <c r="AE56" s="55"/>
      <c r="AF56" s="55"/>
      <c r="AG56" s="167"/>
      <c r="AH56" s="55"/>
      <c r="AI56" s="55"/>
      <c r="AJ56" s="165"/>
      <c r="AK56" s="149">
        <v>70</v>
      </c>
      <c r="AL56" s="149">
        <v>70</v>
      </c>
      <c r="AM56" s="149">
        <v>70</v>
      </c>
      <c r="AN56" s="55"/>
      <c r="AO56" s="55"/>
      <c r="AP56" s="149">
        <v>70</v>
      </c>
      <c r="AQ56" s="149"/>
      <c r="AR56" s="149"/>
      <c r="AS56" s="165"/>
      <c r="AT56" s="149">
        <v>60</v>
      </c>
      <c r="AU56" s="149">
        <v>60</v>
      </c>
      <c r="AV56" s="149">
        <v>60</v>
      </c>
      <c r="AW56" s="55"/>
      <c r="AX56" s="55"/>
      <c r="AY56" s="149">
        <v>60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1039</v>
      </c>
      <c r="H57" s="55">
        <v>1</v>
      </c>
      <c r="I57" s="55" t="s">
        <v>1040</v>
      </c>
      <c r="J57" s="55" t="s">
        <v>1052</v>
      </c>
      <c r="K57" s="55"/>
      <c r="L57" s="158">
        <v>180</v>
      </c>
      <c r="M57" s="10"/>
      <c r="N57" s="55" t="s">
        <v>1301</v>
      </c>
      <c r="O57" s="55">
        <v>80</v>
      </c>
      <c r="P57" s="10">
        <f t="shared" si="3"/>
        <v>80</v>
      </c>
      <c r="Q57" s="10">
        <v>10</v>
      </c>
      <c r="R57" s="155">
        <f t="shared" si="4"/>
        <v>0.68414153013817525</v>
      </c>
      <c r="S57" s="171">
        <f t="shared" si="5"/>
        <v>1.1520000000000001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1040</v>
      </c>
      <c r="J58" s="55" t="s">
        <v>1052</v>
      </c>
      <c r="K58" s="55"/>
      <c r="L58" s="158">
        <v>180</v>
      </c>
      <c r="M58" s="10"/>
      <c r="N58" s="55" t="s">
        <v>1303</v>
      </c>
      <c r="O58" s="55">
        <v>64</v>
      </c>
      <c r="P58" s="10">
        <f t="shared" si="3"/>
        <v>64</v>
      </c>
      <c r="Q58" s="10">
        <v>8</v>
      </c>
      <c r="R58" s="155">
        <f t="shared" si="4"/>
        <v>0.60223545247529109</v>
      </c>
      <c r="S58" s="171">
        <f t="shared" si="5"/>
        <v>0.92160000000000009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ht="17.25" thickBot="1" x14ac:dyDescent="0.2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1040</v>
      </c>
      <c r="J59" s="55" t="s">
        <v>1052</v>
      </c>
      <c r="K59" s="55"/>
      <c r="L59" s="158">
        <v>180</v>
      </c>
      <c r="M59" s="10"/>
      <c r="N59" s="55" t="s">
        <v>1302</v>
      </c>
      <c r="O59" s="55">
        <v>20</v>
      </c>
      <c r="P59" s="10">
        <f t="shared" si="3"/>
        <v>40</v>
      </c>
      <c r="Q59" s="10">
        <v>5</v>
      </c>
      <c r="R59" s="155">
        <f t="shared" si="4"/>
        <v>0.25026000346329735</v>
      </c>
      <c r="S59" s="171">
        <f t="shared" si="5"/>
        <v>0.28800000000000003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1465</v>
      </c>
      <c r="J60" s="55" t="s">
        <v>1053</v>
      </c>
      <c r="K60" s="55"/>
      <c r="L60" s="158">
        <v>180</v>
      </c>
      <c r="M60" s="10"/>
      <c r="N60" s="55" t="s">
        <v>1304</v>
      </c>
      <c r="O60" s="55">
        <v>80</v>
      </c>
      <c r="P60" s="10">
        <f t="shared" si="3"/>
        <v>80</v>
      </c>
      <c r="Q60" s="10">
        <v>10</v>
      </c>
      <c r="R60" s="155">
        <f t="shared" si="4"/>
        <v>0.68414153013817525</v>
      </c>
      <c r="S60" s="171">
        <f t="shared" si="5"/>
        <v>1.1520000000000001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50">
        <v>90</v>
      </c>
      <c r="AL60" s="150">
        <v>90</v>
      </c>
      <c r="AM60" s="150">
        <v>90</v>
      </c>
      <c r="AN60" s="55"/>
      <c r="AO60" s="55"/>
      <c r="AP60" s="150">
        <v>90</v>
      </c>
      <c r="AQ60" s="149"/>
      <c r="AR60" s="149"/>
      <c r="AS60" s="165"/>
      <c r="AT60" s="149">
        <v>90</v>
      </c>
      <c r="AU60" s="149">
        <v>90</v>
      </c>
      <c r="AV60" s="149">
        <v>90</v>
      </c>
      <c r="AW60" s="55"/>
      <c r="AX60" s="55"/>
      <c r="AY60" s="149">
        <v>90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1465</v>
      </c>
      <c r="J61" s="55" t="s">
        <v>1053</v>
      </c>
      <c r="K61" s="55"/>
      <c r="L61" s="158">
        <v>180</v>
      </c>
      <c r="M61" s="10"/>
      <c r="N61" s="55" t="s">
        <v>1306</v>
      </c>
      <c r="O61" s="55">
        <v>64</v>
      </c>
      <c r="P61" s="10">
        <f t="shared" si="3"/>
        <v>64</v>
      </c>
      <c r="Q61" s="10">
        <v>8</v>
      </c>
      <c r="R61" s="155">
        <f t="shared" si="4"/>
        <v>0.60223545247529109</v>
      </c>
      <c r="S61" s="171">
        <f t="shared" si="5"/>
        <v>0.92160000000000009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80</v>
      </c>
      <c r="AL61" s="149">
        <v>80</v>
      </c>
      <c r="AM61" s="149">
        <v>80</v>
      </c>
      <c r="AN61" s="55"/>
      <c r="AO61" s="55"/>
      <c r="AP61" s="149">
        <v>80</v>
      </c>
      <c r="AQ61" s="149"/>
      <c r="AR61" s="149"/>
      <c r="AS61" s="165"/>
      <c r="AT61" s="149">
        <v>80</v>
      </c>
      <c r="AU61" s="149">
        <v>80</v>
      </c>
      <c r="AV61" s="149">
        <v>80</v>
      </c>
      <c r="AW61" s="55"/>
      <c r="AX61" s="55"/>
      <c r="AY61" s="149">
        <v>80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ht="17.25" thickBot="1" x14ac:dyDescent="0.2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1465</v>
      </c>
      <c r="J62" s="55" t="s">
        <v>1053</v>
      </c>
      <c r="K62" s="55"/>
      <c r="L62" s="158">
        <v>180</v>
      </c>
      <c r="M62" s="10"/>
      <c r="N62" s="55" t="s">
        <v>1305</v>
      </c>
      <c r="O62" s="55">
        <v>20</v>
      </c>
      <c r="P62" s="10">
        <f t="shared" si="3"/>
        <v>40</v>
      </c>
      <c r="Q62" s="10">
        <v>5</v>
      </c>
      <c r="R62" s="155">
        <f t="shared" si="4"/>
        <v>0.25026000346329735</v>
      </c>
      <c r="S62" s="171">
        <f t="shared" si="5"/>
        <v>0.28800000000000003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70</v>
      </c>
      <c r="AL62" s="149">
        <v>70</v>
      </c>
      <c r="AM62" s="149">
        <v>70</v>
      </c>
      <c r="AN62" s="55"/>
      <c r="AO62" s="55"/>
      <c r="AP62" s="149">
        <v>70</v>
      </c>
      <c r="AQ62" s="149"/>
      <c r="AR62" s="149"/>
      <c r="AS62" s="165"/>
      <c r="AT62" s="149">
        <v>60</v>
      </c>
      <c r="AU62" s="149">
        <v>60</v>
      </c>
      <c r="AV62" s="149">
        <v>60</v>
      </c>
      <c r="AW62" s="55"/>
      <c r="AX62" s="55"/>
      <c r="AY62" s="149">
        <v>60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1041</v>
      </c>
      <c r="J63" s="55" t="s">
        <v>1054</v>
      </c>
      <c r="K63" s="55"/>
      <c r="L63" s="158">
        <v>180</v>
      </c>
      <c r="M63" s="10"/>
      <c r="N63" s="55" t="s">
        <v>1307</v>
      </c>
      <c r="O63" s="55">
        <v>80</v>
      </c>
      <c r="P63" s="10">
        <f t="shared" si="3"/>
        <v>80</v>
      </c>
      <c r="Q63" s="10">
        <v>10</v>
      </c>
      <c r="R63" s="155">
        <f t="shared" si="4"/>
        <v>0.68414153013817525</v>
      </c>
      <c r="S63" s="171">
        <f t="shared" si="5"/>
        <v>1.1520000000000001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50">
        <v>90</v>
      </c>
      <c r="AL63" s="55"/>
      <c r="AM63" s="55"/>
      <c r="AN63" s="55"/>
      <c r="AO63" s="55"/>
      <c r="AP63" s="55"/>
      <c r="AQ63" s="55"/>
      <c r="AR63" s="55"/>
      <c r="AS63" s="165"/>
      <c r="AT63" s="149">
        <v>90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1041</v>
      </c>
      <c r="J64" s="55" t="s">
        <v>1054</v>
      </c>
      <c r="K64" s="55"/>
      <c r="L64" s="158">
        <v>180</v>
      </c>
      <c r="M64" s="10"/>
      <c r="N64" s="55" t="s">
        <v>1309</v>
      </c>
      <c r="O64" s="55">
        <v>64</v>
      </c>
      <c r="P64" s="10">
        <f t="shared" si="3"/>
        <v>64</v>
      </c>
      <c r="Q64" s="10">
        <v>8</v>
      </c>
      <c r="R64" s="155">
        <f t="shared" si="4"/>
        <v>0.60223545247529109</v>
      </c>
      <c r="S64" s="171">
        <f t="shared" si="5"/>
        <v>0.92160000000000009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80</v>
      </c>
      <c r="AL64" s="55"/>
      <c r="AM64" s="55"/>
      <c r="AN64" s="55"/>
      <c r="AO64" s="55"/>
      <c r="AP64" s="55"/>
      <c r="AQ64" s="55"/>
      <c r="AR64" s="55"/>
      <c r="AS64" s="165"/>
      <c r="AT64" s="149">
        <v>80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7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1041</v>
      </c>
      <c r="J65" s="55" t="s">
        <v>1054</v>
      </c>
      <c r="K65" s="55"/>
      <c r="L65" s="158">
        <v>180</v>
      </c>
      <c r="M65" s="10"/>
      <c r="N65" s="55" t="s">
        <v>1308</v>
      </c>
      <c r="O65" s="55">
        <v>20</v>
      </c>
      <c r="P65" s="10">
        <f t="shared" si="3"/>
        <v>40</v>
      </c>
      <c r="Q65" s="10">
        <v>5</v>
      </c>
      <c r="R65" s="155">
        <f t="shared" si="4"/>
        <v>0.25026000346329735</v>
      </c>
      <c r="S65" s="171">
        <f t="shared" si="5"/>
        <v>0.28800000000000003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70</v>
      </c>
      <c r="AL65" s="55"/>
      <c r="AM65" s="55"/>
      <c r="AN65" s="55"/>
      <c r="AO65" s="55"/>
      <c r="AP65" s="55"/>
      <c r="AQ65" s="55"/>
      <c r="AR65" s="55"/>
      <c r="AS65" s="165"/>
      <c r="AT65" s="149">
        <v>60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7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1042</v>
      </c>
      <c r="J66" s="55" t="s">
        <v>1055</v>
      </c>
      <c r="L66" s="158">
        <v>180</v>
      </c>
      <c r="N66" s="55" t="s">
        <v>1310</v>
      </c>
      <c r="O66" s="55">
        <v>200</v>
      </c>
      <c r="P66" s="10">
        <f t="shared" si="3"/>
        <v>200</v>
      </c>
      <c r="Q66" s="10">
        <v>25</v>
      </c>
      <c r="R66" s="155">
        <f t="shared" si="4"/>
        <v>0.94402688796415479</v>
      </c>
      <c r="S66" s="171">
        <f t="shared" si="5"/>
        <v>2.88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7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1042</v>
      </c>
      <c r="J67" s="55" t="s">
        <v>1055</v>
      </c>
      <c r="L67" s="158">
        <v>180</v>
      </c>
      <c r="N67" s="55" t="s">
        <v>1311</v>
      </c>
      <c r="O67" s="55">
        <v>160</v>
      </c>
      <c r="P67" s="10">
        <f t="shared" si="3"/>
        <v>160</v>
      </c>
      <c r="Q67" s="10">
        <v>20</v>
      </c>
      <c r="R67" s="155">
        <f t="shared" si="4"/>
        <v>0.90032547671723928</v>
      </c>
      <c r="S67" s="171">
        <f t="shared" si="5"/>
        <v>2.3040000000000003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7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1042</v>
      </c>
      <c r="J68" s="55" t="s">
        <v>1055</v>
      </c>
      <c r="L68" s="158">
        <v>180</v>
      </c>
      <c r="N68" s="55" t="s">
        <v>1312</v>
      </c>
      <c r="O68" s="55">
        <v>80</v>
      </c>
      <c r="P68" s="10">
        <f t="shared" si="3"/>
        <v>80</v>
      </c>
      <c r="Q68" s="10">
        <v>10</v>
      </c>
      <c r="R68" s="155">
        <f t="shared" si="4"/>
        <v>0.68414153013817525</v>
      </c>
      <c r="S68" s="171">
        <f t="shared" si="5"/>
        <v>1.1520000000000001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7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8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7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9">Q70*8</f>
        <v>0</v>
      </c>
      <c r="R70" s="155" t="str">
        <f t="shared" ref="R70:R133" si="10">IF((1-(1-O70/100000)^1440)=0,"",1-(1-O70/100000)^1440)</f>
        <v/>
      </c>
      <c r="S70" s="171" t="str">
        <f t="shared" ref="S70:S133" si="11">IF((O70/100000)*1440=0,"",(O70/100000)*1440)</f>
        <v/>
      </c>
      <c r="X70" s="155" t="str">
        <f t="shared" si="8"/>
        <v/>
      </c>
      <c r="Y70" s="171" t="str">
        <f t="shared" ref="Y70:Y84" si="12">IF((U70/100000)*L70=0,"",(U70/100000)*L70)</f>
        <v/>
      </c>
    </row>
    <row r="71" spans="1:117" x14ac:dyDescent="0.15">
      <c r="A71" s="11">
        <f t="shared" si="7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9"/>
        <v>0</v>
      </c>
      <c r="R71" s="155" t="str">
        <f t="shared" si="10"/>
        <v/>
      </c>
      <c r="S71" s="171" t="str">
        <f t="shared" si="11"/>
        <v/>
      </c>
      <c r="X71" s="155" t="str">
        <f t="shared" si="8"/>
        <v/>
      </c>
      <c r="Y71" s="171" t="str">
        <f t="shared" si="12"/>
        <v/>
      </c>
    </row>
    <row r="72" spans="1:117" x14ac:dyDescent="0.15">
      <c r="A72" s="11">
        <f t="shared" si="7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9"/>
        <v>0</v>
      </c>
      <c r="R72" s="155" t="str">
        <f t="shared" si="10"/>
        <v/>
      </c>
      <c r="S72" s="171" t="str">
        <f t="shared" si="11"/>
        <v/>
      </c>
      <c r="X72" s="155" t="str">
        <f t="shared" si="8"/>
        <v/>
      </c>
      <c r="Y72" s="171" t="str">
        <f t="shared" si="12"/>
        <v/>
      </c>
    </row>
    <row r="73" spans="1:117" x14ac:dyDescent="0.15">
      <c r="A73" s="11">
        <f t="shared" si="7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9"/>
        <v>0</v>
      </c>
      <c r="R73" s="155" t="str">
        <f t="shared" si="10"/>
        <v/>
      </c>
      <c r="S73" s="171" t="str">
        <f t="shared" si="11"/>
        <v/>
      </c>
      <c r="X73" s="155" t="str">
        <f t="shared" si="8"/>
        <v/>
      </c>
      <c r="Y73" s="171" t="str">
        <f t="shared" si="12"/>
        <v/>
      </c>
    </row>
    <row r="74" spans="1:117" x14ac:dyDescent="0.15">
      <c r="A74" s="11">
        <f t="shared" si="7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9"/>
        <v>0</v>
      </c>
      <c r="R74" s="155" t="str">
        <f t="shared" si="10"/>
        <v/>
      </c>
      <c r="S74" s="171" t="str">
        <f t="shared" si="11"/>
        <v/>
      </c>
      <c r="X74" s="155" t="str">
        <f t="shared" si="8"/>
        <v/>
      </c>
      <c r="Y74" s="171" t="str">
        <f t="shared" si="12"/>
        <v/>
      </c>
    </row>
    <row r="75" spans="1:117" s="93" customFormat="1" x14ac:dyDescent="0.15">
      <c r="A75" s="11">
        <f t="shared" si="7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9"/>
        <v>0</v>
      </c>
      <c r="Q75" s="10"/>
      <c r="R75" s="155" t="str">
        <f t="shared" si="10"/>
        <v/>
      </c>
      <c r="S75" s="171" t="str">
        <f t="shared" si="11"/>
        <v/>
      </c>
      <c r="T75" s="161"/>
      <c r="U75" s="55"/>
      <c r="V75" s="55"/>
      <c r="W75" s="55"/>
      <c r="X75" s="155" t="str">
        <f t="shared" si="8"/>
        <v/>
      </c>
      <c r="Y75" s="171" t="str">
        <f t="shared" si="12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7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9"/>
        <v>0</v>
      </c>
      <c r="Q76" s="10"/>
      <c r="R76" s="155" t="str">
        <f t="shared" si="10"/>
        <v/>
      </c>
      <c r="S76" s="171" t="str">
        <f t="shared" si="11"/>
        <v/>
      </c>
      <c r="T76" s="161"/>
      <c r="U76" s="55"/>
      <c r="V76" s="55"/>
      <c r="W76" s="55"/>
      <c r="X76" s="155" t="str">
        <f t="shared" si="8"/>
        <v/>
      </c>
      <c r="Y76" s="171" t="str">
        <f t="shared" si="12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7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9"/>
        <v>0</v>
      </c>
      <c r="Q77" s="10"/>
      <c r="R77" s="155" t="str">
        <f t="shared" si="10"/>
        <v/>
      </c>
      <c r="S77" s="171" t="str">
        <f t="shared" si="11"/>
        <v/>
      </c>
      <c r="T77" s="161"/>
      <c r="U77" s="55"/>
      <c r="V77" s="55"/>
      <c r="W77" s="55"/>
      <c r="X77" s="155" t="str">
        <f t="shared" si="8"/>
        <v/>
      </c>
      <c r="Y77" s="171" t="str">
        <f t="shared" si="12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7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9"/>
        <v>0</v>
      </c>
      <c r="Q78" s="10"/>
      <c r="R78" s="155" t="str">
        <f t="shared" si="10"/>
        <v/>
      </c>
      <c r="S78" s="171" t="str">
        <f t="shared" si="11"/>
        <v/>
      </c>
      <c r="T78" s="161"/>
      <c r="U78" s="55"/>
      <c r="V78" s="55"/>
      <c r="W78" s="55"/>
      <c r="X78" s="155" t="str">
        <f t="shared" si="8"/>
        <v/>
      </c>
      <c r="Y78" s="171" t="str">
        <f t="shared" si="12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7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9"/>
        <v>0</v>
      </c>
      <c r="Q79" s="10"/>
      <c r="R79" s="155" t="str">
        <f t="shared" si="10"/>
        <v/>
      </c>
      <c r="S79" s="171" t="str">
        <f t="shared" si="11"/>
        <v/>
      </c>
      <c r="T79" s="161"/>
      <c r="U79" s="55"/>
      <c r="V79" s="55"/>
      <c r="W79" s="55"/>
      <c r="X79" s="155" t="str">
        <f t="shared" si="8"/>
        <v/>
      </c>
      <c r="Y79" s="171" t="str">
        <f t="shared" si="12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7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9"/>
        <v>0</v>
      </c>
      <c r="Q80" s="10"/>
      <c r="R80" s="155" t="str">
        <f t="shared" si="10"/>
        <v/>
      </c>
      <c r="S80" s="171" t="str">
        <f t="shared" si="11"/>
        <v/>
      </c>
      <c r="T80" s="161"/>
      <c r="U80" s="55"/>
      <c r="V80" s="55"/>
      <c r="W80" s="55"/>
      <c r="X80" s="155" t="str">
        <f t="shared" si="8"/>
        <v/>
      </c>
      <c r="Y80" s="171" t="str">
        <f t="shared" si="12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7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9"/>
        <v>0</v>
      </c>
      <c r="Q81" s="10"/>
      <c r="R81" s="155" t="str">
        <f t="shared" si="10"/>
        <v/>
      </c>
      <c r="S81" s="171" t="str">
        <f t="shared" si="11"/>
        <v/>
      </c>
      <c r="T81" s="161"/>
      <c r="U81" s="55"/>
      <c r="V81" s="55"/>
      <c r="W81" s="55"/>
      <c r="X81" s="155" t="str">
        <f t="shared" si="8"/>
        <v/>
      </c>
      <c r="Y81" s="171" t="str">
        <f t="shared" si="12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7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9"/>
        <v>0</v>
      </c>
      <c r="Q82" s="10"/>
      <c r="R82" s="155" t="str">
        <f t="shared" si="10"/>
        <v/>
      </c>
      <c r="S82" s="171" t="str">
        <f t="shared" si="11"/>
        <v/>
      </c>
      <c r="T82" s="161"/>
      <c r="U82" s="55"/>
      <c r="V82" s="55"/>
      <c r="W82" s="55"/>
      <c r="X82" s="155" t="str">
        <f t="shared" si="8"/>
        <v/>
      </c>
      <c r="Y82" s="171" t="str">
        <f t="shared" si="12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7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9"/>
        <v>0</v>
      </c>
      <c r="Q83" s="10"/>
      <c r="R83" s="155" t="str">
        <f t="shared" si="10"/>
        <v/>
      </c>
      <c r="S83" s="171" t="str">
        <f t="shared" si="11"/>
        <v/>
      </c>
      <c r="T83" s="161"/>
      <c r="U83" s="55"/>
      <c r="V83" s="55"/>
      <c r="W83" s="55"/>
      <c r="X83" s="155" t="str">
        <f t="shared" si="8"/>
        <v/>
      </c>
      <c r="Y83" s="171" t="str">
        <f t="shared" si="12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7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9"/>
        <v>0</v>
      </c>
      <c r="Q84" s="10"/>
      <c r="R84" s="155" t="str">
        <f t="shared" si="10"/>
        <v/>
      </c>
      <c r="S84" s="171" t="str">
        <f t="shared" si="11"/>
        <v/>
      </c>
      <c r="T84" s="161"/>
      <c r="U84" s="55"/>
      <c r="V84" s="55"/>
      <c r="W84" s="55"/>
      <c r="X84" s="155" t="str">
        <f t="shared" si="8"/>
        <v/>
      </c>
      <c r="Y84" s="171" t="str">
        <f t="shared" si="12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1313</v>
      </c>
      <c r="O85" s="56">
        <v>0</v>
      </c>
      <c r="P85" s="17">
        <f t="shared" si="9"/>
        <v>0</v>
      </c>
      <c r="Q85" s="17">
        <v>0</v>
      </c>
      <c r="R85" s="156" t="str">
        <f t="shared" si="10"/>
        <v/>
      </c>
      <c r="S85" s="172" t="str">
        <f t="shared" si="11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1314</v>
      </c>
      <c r="O86" s="55">
        <v>0</v>
      </c>
      <c r="P86" s="10">
        <f t="shared" si="9"/>
        <v>0</v>
      </c>
      <c r="Q86" s="10">
        <v>0</v>
      </c>
      <c r="R86" s="155" t="str">
        <f t="shared" si="10"/>
        <v/>
      </c>
      <c r="S86" s="171" t="str">
        <f t="shared" si="11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3">IF((1-(1-U86/100000)^L86)=0,"",1-(1-U86/100000)^L86)</f>
        <v>0.21356115900559691</v>
      </c>
      <c r="Y86" s="171">
        <f t="shared" ref="Y86:Y149" si="14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1315</v>
      </c>
      <c r="O87" s="55">
        <v>0</v>
      </c>
      <c r="P87" s="10">
        <f t="shared" si="9"/>
        <v>0</v>
      </c>
      <c r="Q87" s="10">
        <v>0</v>
      </c>
      <c r="R87" s="155" t="str">
        <f t="shared" si="10"/>
        <v/>
      </c>
      <c r="S87" s="171" t="str">
        <f t="shared" si="11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3"/>
        <v>0.30270107222390907</v>
      </c>
      <c r="Y87" s="171">
        <f t="shared" si="14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1316</v>
      </c>
      <c r="O88" s="55">
        <v>0</v>
      </c>
      <c r="P88" s="10">
        <f t="shared" si="9"/>
        <v>0</v>
      </c>
      <c r="Q88" s="10">
        <v>0</v>
      </c>
      <c r="R88" s="155" t="str">
        <f t="shared" si="10"/>
        <v/>
      </c>
      <c r="S88" s="171" t="str">
        <f t="shared" si="11"/>
        <v/>
      </c>
      <c r="T88" s="95" t="s">
        <v>982</v>
      </c>
      <c r="U88" s="55">
        <v>100</v>
      </c>
      <c r="X88" s="155">
        <f t="shared" si="13"/>
        <v>0.11313281241393525</v>
      </c>
      <c r="Y88" s="171">
        <f t="shared" si="14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1317</v>
      </c>
      <c r="O89" s="55">
        <v>0</v>
      </c>
      <c r="P89" s="10">
        <f t="shared" si="9"/>
        <v>0</v>
      </c>
      <c r="Q89" s="10">
        <v>0</v>
      </c>
      <c r="R89" s="155" t="str">
        <f t="shared" si="10"/>
        <v/>
      </c>
      <c r="S89" s="171" t="str">
        <f t="shared" si="11"/>
        <v/>
      </c>
      <c r="T89" s="95" t="s">
        <v>982</v>
      </c>
      <c r="U89" s="55">
        <v>200</v>
      </c>
      <c r="X89" s="155">
        <f t="shared" si="13"/>
        <v>0.21356115900559691</v>
      </c>
      <c r="Y89" s="171">
        <f t="shared" si="14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5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1318</v>
      </c>
      <c r="O90" s="55">
        <v>0</v>
      </c>
      <c r="P90" s="10">
        <f t="shared" si="9"/>
        <v>0</v>
      </c>
      <c r="Q90" s="10">
        <v>0</v>
      </c>
      <c r="R90" s="155" t="str">
        <f t="shared" si="10"/>
        <v/>
      </c>
      <c r="S90" s="171" t="str">
        <f t="shared" si="11"/>
        <v/>
      </c>
      <c r="T90" s="95" t="s">
        <v>982</v>
      </c>
      <c r="U90" s="55">
        <v>300</v>
      </c>
      <c r="X90" s="155">
        <f t="shared" si="13"/>
        <v>0.30270107222390907</v>
      </c>
      <c r="Y90" s="171">
        <f t="shared" si="14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5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9"/>
        <v>0</v>
      </c>
      <c r="R91" s="155" t="str">
        <f t="shared" si="10"/>
        <v/>
      </c>
      <c r="S91" s="171" t="str">
        <f t="shared" si="11"/>
        <v/>
      </c>
      <c r="X91" s="155" t="str">
        <f t="shared" si="13"/>
        <v/>
      </c>
      <c r="Y91" s="171" t="str">
        <f t="shared" si="14"/>
        <v/>
      </c>
    </row>
    <row r="92" spans="1:114" x14ac:dyDescent="0.15">
      <c r="A92" s="11">
        <f t="shared" si="15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9"/>
        <v>0</v>
      </c>
      <c r="R92" s="155" t="str">
        <f t="shared" si="10"/>
        <v/>
      </c>
      <c r="S92" s="171" t="str">
        <f t="shared" si="11"/>
        <v/>
      </c>
      <c r="X92" s="155" t="str">
        <f t="shared" si="13"/>
        <v/>
      </c>
      <c r="Y92" s="171" t="str">
        <f t="shared" si="14"/>
        <v/>
      </c>
    </row>
    <row r="93" spans="1:114" x14ac:dyDescent="0.15">
      <c r="A93" s="11">
        <f t="shared" si="15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9"/>
        <v>0</v>
      </c>
      <c r="R93" s="155" t="str">
        <f t="shared" si="10"/>
        <v/>
      </c>
      <c r="S93" s="171" t="str">
        <f t="shared" si="11"/>
        <v/>
      </c>
      <c r="X93" s="155" t="str">
        <f t="shared" si="13"/>
        <v/>
      </c>
      <c r="Y93" s="171" t="str">
        <f t="shared" si="14"/>
        <v/>
      </c>
    </row>
    <row r="94" spans="1:114" x14ac:dyDescent="0.15">
      <c r="A94" s="11">
        <f t="shared" si="15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9"/>
        <v>0</v>
      </c>
      <c r="R94" s="155" t="str">
        <f t="shared" si="10"/>
        <v/>
      </c>
      <c r="S94" s="171" t="str">
        <f t="shared" si="11"/>
        <v/>
      </c>
      <c r="X94" s="155" t="str">
        <f t="shared" si="13"/>
        <v/>
      </c>
      <c r="Y94" s="171" t="str">
        <f t="shared" si="14"/>
        <v/>
      </c>
    </row>
    <row r="95" spans="1:114" s="93" customFormat="1" x14ac:dyDescent="0.15">
      <c r="A95" s="11">
        <f t="shared" si="15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9"/>
        <v>0</v>
      </c>
      <c r="Q95" s="10"/>
      <c r="R95" s="155" t="str">
        <f t="shared" si="10"/>
        <v/>
      </c>
      <c r="S95" s="171" t="str">
        <f t="shared" si="11"/>
        <v/>
      </c>
      <c r="T95" s="161"/>
      <c r="U95" s="55"/>
      <c r="V95" s="55"/>
      <c r="W95" s="55"/>
      <c r="X95" s="155" t="str">
        <f t="shared" si="13"/>
        <v/>
      </c>
      <c r="Y95" s="171" t="str">
        <f t="shared" si="14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5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9"/>
        <v>0</v>
      </c>
      <c r="Q96" s="10"/>
      <c r="R96" s="155" t="str">
        <f t="shared" si="10"/>
        <v/>
      </c>
      <c r="S96" s="171" t="str">
        <f t="shared" si="11"/>
        <v/>
      </c>
      <c r="T96" s="161"/>
      <c r="U96" s="55"/>
      <c r="V96" s="55"/>
      <c r="W96" s="55"/>
      <c r="X96" s="155" t="str">
        <f t="shared" si="13"/>
        <v/>
      </c>
      <c r="Y96" s="171" t="str">
        <f t="shared" si="14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5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9"/>
        <v>0</v>
      </c>
      <c r="Q97" s="10"/>
      <c r="R97" s="155" t="str">
        <f t="shared" si="10"/>
        <v/>
      </c>
      <c r="S97" s="171" t="str">
        <f t="shared" si="11"/>
        <v/>
      </c>
      <c r="T97" s="161"/>
      <c r="U97" s="55"/>
      <c r="V97" s="55"/>
      <c r="W97" s="55"/>
      <c r="X97" s="155" t="str">
        <f t="shared" si="13"/>
        <v/>
      </c>
      <c r="Y97" s="171" t="str">
        <f t="shared" si="14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5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9"/>
        <v>0</v>
      </c>
      <c r="Q98" s="10"/>
      <c r="R98" s="155" t="str">
        <f t="shared" si="10"/>
        <v/>
      </c>
      <c r="S98" s="171" t="str">
        <f t="shared" si="11"/>
        <v/>
      </c>
      <c r="T98" s="161"/>
      <c r="U98" s="55"/>
      <c r="V98" s="55"/>
      <c r="W98" s="55"/>
      <c r="X98" s="155" t="str">
        <f t="shared" si="13"/>
        <v/>
      </c>
      <c r="Y98" s="171" t="str">
        <f t="shared" si="14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5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9"/>
        <v>0</v>
      </c>
      <c r="Q99" s="10"/>
      <c r="R99" s="155" t="str">
        <f t="shared" si="10"/>
        <v/>
      </c>
      <c r="S99" s="171" t="str">
        <f t="shared" si="11"/>
        <v/>
      </c>
      <c r="T99" s="161"/>
      <c r="U99" s="55"/>
      <c r="V99" s="55"/>
      <c r="W99" s="55"/>
      <c r="X99" s="155" t="str">
        <f t="shared" si="13"/>
        <v/>
      </c>
      <c r="Y99" s="171" t="str">
        <f t="shared" si="14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5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9"/>
        <v>0</v>
      </c>
      <c r="Q100" s="10"/>
      <c r="R100" s="155" t="str">
        <f t="shared" si="10"/>
        <v/>
      </c>
      <c r="S100" s="171" t="str">
        <f t="shared" si="11"/>
        <v/>
      </c>
      <c r="T100" s="161"/>
      <c r="U100" s="55"/>
      <c r="V100" s="55"/>
      <c r="W100" s="55"/>
      <c r="X100" s="155" t="str">
        <f t="shared" si="13"/>
        <v/>
      </c>
      <c r="Y100" s="171" t="str">
        <f t="shared" si="14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5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9"/>
        <v>0</v>
      </c>
      <c r="Q101" s="10"/>
      <c r="R101" s="155" t="str">
        <f t="shared" si="10"/>
        <v/>
      </c>
      <c r="S101" s="171" t="str">
        <f t="shared" si="11"/>
        <v/>
      </c>
      <c r="T101" s="161"/>
      <c r="U101" s="55"/>
      <c r="V101" s="55"/>
      <c r="W101" s="55"/>
      <c r="X101" s="155" t="str">
        <f t="shared" si="13"/>
        <v/>
      </c>
      <c r="Y101" s="171" t="str">
        <f t="shared" si="14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5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9"/>
        <v>0</v>
      </c>
      <c r="Q102" s="10"/>
      <c r="R102" s="155" t="str">
        <f t="shared" si="10"/>
        <v/>
      </c>
      <c r="S102" s="171" t="str">
        <f t="shared" si="11"/>
        <v/>
      </c>
      <c r="T102" s="161"/>
      <c r="U102" s="55"/>
      <c r="V102" s="55"/>
      <c r="W102" s="55"/>
      <c r="X102" s="155" t="str">
        <f t="shared" si="13"/>
        <v/>
      </c>
      <c r="Y102" s="171" t="str">
        <f t="shared" si="14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5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9"/>
        <v>0</v>
      </c>
      <c r="Q103" s="10"/>
      <c r="R103" s="155" t="str">
        <f t="shared" si="10"/>
        <v/>
      </c>
      <c r="S103" s="171" t="str">
        <f t="shared" si="11"/>
        <v/>
      </c>
      <c r="T103" s="161"/>
      <c r="U103" s="55"/>
      <c r="V103" s="55"/>
      <c r="W103" s="55"/>
      <c r="X103" s="155" t="str">
        <f t="shared" si="13"/>
        <v/>
      </c>
      <c r="Y103" s="171" t="str">
        <f t="shared" si="14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5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9"/>
        <v>0</v>
      </c>
      <c r="Q104" s="10"/>
      <c r="R104" s="155" t="str">
        <f t="shared" si="10"/>
        <v/>
      </c>
      <c r="S104" s="171" t="str">
        <f t="shared" si="11"/>
        <v/>
      </c>
      <c r="T104" s="161"/>
      <c r="U104" s="55"/>
      <c r="V104" s="55"/>
      <c r="W104" s="55"/>
      <c r="X104" s="155" t="str">
        <f t="shared" si="13"/>
        <v/>
      </c>
      <c r="Y104" s="171" t="str">
        <f t="shared" si="14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5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9"/>
        <v>0</v>
      </c>
      <c r="Q105" s="17"/>
      <c r="R105" s="156" t="str">
        <f t="shared" si="10"/>
        <v/>
      </c>
      <c r="S105" s="172" t="str">
        <f t="shared" si="11"/>
        <v/>
      </c>
      <c r="T105" s="162"/>
      <c r="U105" s="56"/>
      <c r="V105" s="56"/>
      <c r="W105" s="56"/>
      <c r="X105" s="156" t="str">
        <f t="shared" si="13"/>
        <v/>
      </c>
      <c r="Y105" s="172" t="str">
        <f t="shared" si="14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5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9"/>
        <v>0</v>
      </c>
      <c r="R106" s="155" t="str">
        <f t="shared" si="10"/>
        <v/>
      </c>
      <c r="S106" s="171" t="str">
        <f t="shared" si="11"/>
        <v/>
      </c>
      <c r="X106" s="155" t="str">
        <f t="shared" si="13"/>
        <v/>
      </c>
      <c r="Y106" s="171" t="str">
        <f t="shared" si="14"/>
        <v/>
      </c>
      <c r="BM106" s="105"/>
    </row>
    <row r="107" spans="1:111" x14ac:dyDescent="0.15">
      <c r="A107" s="11">
        <f t="shared" si="15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9"/>
        <v>0</v>
      </c>
      <c r="R107" s="155" t="str">
        <f t="shared" si="10"/>
        <v/>
      </c>
      <c r="S107" s="171" t="str">
        <f t="shared" si="11"/>
        <v/>
      </c>
      <c r="X107" s="155" t="str">
        <f t="shared" si="13"/>
        <v/>
      </c>
      <c r="Y107" s="171" t="str">
        <f t="shared" si="14"/>
        <v/>
      </c>
      <c r="BM107" s="105"/>
    </row>
    <row r="108" spans="1:111" x14ac:dyDescent="0.15">
      <c r="A108" s="11">
        <f t="shared" si="15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9"/>
        <v>0</v>
      </c>
      <c r="R108" s="155" t="str">
        <f t="shared" si="10"/>
        <v/>
      </c>
      <c r="S108" s="171" t="str">
        <f t="shared" si="11"/>
        <v/>
      </c>
      <c r="X108" s="155" t="str">
        <f t="shared" si="13"/>
        <v/>
      </c>
      <c r="Y108" s="171" t="str">
        <f t="shared" si="14"/>
        <v/>
      </c>
    </row>
    <row r="109" spans="1:111" x14ac:dyDescent="0.15">
      <c r="A109" s="11">
        <f t="shared" si="15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9"/>
        <v>0</v>
      </c>
      <c r="R109" s="155" t="str">
        <f t="shared" si="10"/>
        <v/>
      </c>
      <c r="S109" s="171" t="str">
        <f t="shared" si="11"/>
        <v/>
      </c>
      <c r="X109" s="155" t="str">
        <f t="shared" si="13"/>
        <v/>
      </c>
      <c r="Y109" s="171" t="str">
        <f t="shared" si="14"/>
        <v/>
      </c>
    </row>
    <row r="110" spans="1:111" x14ac:dyDescent="0.15">
      <c r="A110" s="11">
        <f t="shared" si="15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9"/>
        <v>0</v>
      </c>
      <c r="R110" s="155" t="str">
        <f t="shared" si="10"/>
        <v/>
      </c>
      <c r="S110" s="171" t="str">
        <f t="shared" si="11"/>
        <v/>
      </c>
      <c r="X110" s="155" t="str">
        <f t="shared" si="13"/>
        <v/>
      </c>
      <c r="Y110" s="171" t="str">
        <f t="shared" si="14"/>
        <v/>
      </c>
    </row>
    <row r="111" spans="1:111" x14ac:dyDescent="0.15">
      <c r="A111" s="11">
        <f t="shared" si="15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9"/>
        <v>0</v>
      </c>
      <c r="R111" s="155" t="str">
        <f t="shared" si="10"/>
        <v/>
      </c>
      <c r="S111" s="171" t="str">
        <f t="shared" si="11"/>
        <v/>
      </c>
      <c r="X111" s="155" t="str">
        <f t="shared" si="13"/>
        <v/>
      </c>
      <c r="Y111" s="171" t="str">
        <f t="shared" si="14"/>
        <v/>
      </c>
    </row>
    <row r="112" spans="1:111" x14ac:dyDescent="0.15">
      <c r="A112" s="11">
        <f t="shared" si="15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9"/>
        <v>0</v>
      </c>
      <c r="R112" s="155" t="str">
        <f t="shared" si="10"/>
        <v/>
      </c>
      <c r="S112" s="171" t="str">
        <f t="shared" si="11"/>
        <v/>
      </c>
      <c r="X112" s="155" t="str">
        <f t="shared" si="13"/>
        <v/>
      </c>
      <c r="Y112" s="171" t="str">
        <f t="shared" si="14"/>
        <v/>
      </c>
    </row>
    <row r="113" spans="1:111" x14ac:dyDescent="0.15">
      <c r="A113" s="11">
        <f t="shared" si="15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9"/>
        <v>0</v>
      </c>
      <c r="R113" s="155" t="str">
        <f t="shared" si="10"/>
        <v/>
      </c>
      <c r="S113" s="171" t="str">
        <f t="shared" si="11"/>
        <v/>
      </c>
      <c r="X113" s="155" t="str">
        <f t="shared" si="13"/>
        <v/>
      </c>
      <c r="Y113" s="171" t="str">
        <f t="shared" si="14"/>
        <v/>
      </c>
    </row>
    <row r="114" spans="1:111" x14ac:dyDescent="0.15">
      <c r="A114" s="11">
        <f t="shared" si="15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9"/>
        <v>0</v>
      </c>
      <c r="R114" s="155" t="str">
        <f t="shared" si="10"/>
        <v/>
      </c>
      <c r="S114" s="171" t="str">
        <f t="shared" si="11"/>
        <v/>
      </c>
      <c r="X114" s="155" t="str">
        <f t="shared" si="13"/>
        <v/>
      </c>
      <c r="Y114" s="171" t="str">
        <f t="shared" si="14"/>
        <v/>
      </c>
    </row>
    <row r="115" spans="1:111" s="93" customFormat="1" x14ac:dyDescent="0.15">
      <c r="A115" s="11">
        <f t="shared" si="15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9"/>
        <v>0</v>
      </c>
      <c r="Q115" s="10"/>
      <c r="R115" s="155" t="str">
        <f t="shared" si="10"/>
        <v/>
      </c>
      <c r="S115" s="171" t="str">
        <f t="shared" si="11"/>
        <v/>
      </c>
      <c r="T115" s="161"/>
      <c r="U115" s="55"/>
      <c r="V115" s="55"/>
      <c r="W115" s="55"/>
      <c r="X115" s="155" t="str">
        <f t="shared" si="13"/>
        <v/>
      </c>
      <c r="Y115" s="171" t="str">
        <f t="shared" si="14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5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9"/>
        <v>0</v>
      </c>
      <c r="Q116" s="10"/>
      <c r="R116" s="155" t="str">
        <f t="shared" si="10"/>
        <v/>
      </c>
      <c r="S116" s="171" t="str">
        <f t="shared" si="11"/>
        <v/>
      </c>
      <c r="T116" s="161"/>
      <c r="U116" s="55"/>
      <c r="V116" s="55"/>
      <c r="W116" s="55"/>
      <c r="X116" s="155" t="str">
        <f t="shared" si="13"/>
        <v/>
      </c>
      <c r="Y116" s="171" t="str">
        <f t="shared" si="14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5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9"/>
        <v>0</v>
      </c>
      <c r="Q117" s="10"/>
      <c r="R117" s="155" t="str">
        <f t="shared" si="10"/>
        <v/>
      </c>
      <c r="S117" s="171" t="str">
        <f t="shared" si="11"/>
        <v/>
      </c>
      <c r="T117" s="161"/>
      <c r="U117" s="55"/>
      <c r="V117" s="55"/>
      <c r="W117" s="55"/>
      <c r="X117" s="155" t="str">
        <f t="shared" si="13"/>
        <v/>
      </c>
      <c r="Y117" s="171" t="str">
        <f t="shared" si="14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5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9"/>
        <v>0</v>
      </c>
      <c r="Q118" s="10"/>
      <c r="R118" s="155" t="str">
        <f t="shared" si="10"/>
        <v/>
      </c>
      <c r="S118" s="171" t="str">
        <f t="shared" si="11"/>
        <v/>
      </c>
      <c r="T118" s="161"/>
      <c r="U118" s="55"/>
      <c r="V118" s="55"/>
      <c r="W118" s="55"/>
      <c r="X118" s="155" t="str">
        <f t="shared" si="13"/>
        <v/>
      </c>
      <c r="Y118" s="171" t="str">
        <f t="shared" si="14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5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9"/>
        <v>0</v>
      </c>
      <c r="Q119" s="10"/>
      <c r="R119" s="155" t="str">
        <f t="shared" si="10"/>
        <v/>
      </c>
      <c r="S119" s="171" t="str">
        <f t="shared" si="11"/>
        <v/>
      </c>
      <c r="T119" s="161"/>
      <c r="U119" s="55"/>
      <c r="V119" s="55"/>
      <c r="W119" s="55"/>
      <c r="X119" s="155" t="str">
        <f t="shared" si="13"/>
        <v/>
      </c>
      <c r="Y119" s="171" t="str">
        <f t="shared" si="14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5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9"/>
        <v>0</v>
      </c>
      <c r="Q120" s="10"/>
      <c r="R120" s="155" t="str">
        <f t="shared" si="10"/>
        <v/>
      </c>
      <c r="S120" s="171" t="str">
        <f t="shared" si="11"/>
        <v/>
      </c>
      <c r="T120" s="161"/>
      <c r="U120" s="55"/>
      <c r="V120" s="55"/>
      <c r="W120" s="55"/>
      <c r="X120" s="155" t="str">
        <f t="shared" si="13"/>
        <v/>
      </c>
      <c r="Y120" s="171" t="str">
        <f t="shared" si="14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5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9"/>
        <v>0</v>
      </c>
      <c r="Q121" s="10"/>
      <c r="R121" s="155" t="str">
        <f t="shared" si="10"/>
        <v/>
      </c>
      <c r="S121" s="171" t="str">
        <f t="shared" si="11"/>
        <v/>
      </c>
      <c r="T121" s="161"/>
      <c r="U121" s="55"/>
      <c r="V121" s="55"/>
      <c r="W121" s="55"/>
      <c r="X121" s="155" t="str">
        <f t="shared" si="13"/>
        <v/>
      </c>
      <c r="Y121" s="171" t="str">
        <f t="shared" si="14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5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9"/>
        <v>0</v>
      </c>
      <c r="Q122" s="10"/>
      <c r="R122" s="155" t="str">
        <f t="shared" si="10"/>
        <v/>
      </c>
      <c r="S122" s="171" t="str">
        <f t="shared" si="11"/>
        <v/>
      </c>
      <c r="T122" s="161"/>
      <c r="U122" s="55"/>
      <c r="V122" s="55"/>
      <c r="W122" s="55"/>
      <c r="X122" s="155" t="str">
        <f t="shared" si="13"/>
        <v/>
      </c>
      <c r="Y122" s="171" t="str">
        <f t="shared" si="14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5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9"/>
        <v>0</v>
      </c>
      <c r="Q123" s="10"/>
      <c r="R123" s="155" t="str">
        <f t="shared" si="10"/>
        <v/>
      </c>
      <c r="S123" s="171" t="str">
        <f t="shared" si="11"/>
        <v/>
      </c>
      <c r="T123" s="161"/>
      <c r="U123" s="55"/>
      <c r="V123" s="55"/>
      <c r="W123" s="55"/>
      <c r="X123" s="155" t="str">
        <f t="shared" si="13"/>
        <v/>
      </c>
      <c r="Y123" s="171" t="str">
        <f t="shared" si="14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5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9"/>
        <v>0</v>
      </c>
      <c r="Q124" s="10"/>
      <c r="R124" s="155" t="str">
        <f t="shared" si="10"/>
        <v/>
      </c>
      <c r="S124" s="171" t="str">
        <f t="shared" si="11"/>
        <v/>
      </c>
      <c r="T124" s="161"/>
      <c r="U124" s="55"/>
      <c r="V124" s="55"/>
      <c r="W124" s="55"/>
      <c r="X124" s="155" t="str">
        <f t="shared" si="13"/>
        <v/>
      </c>
      <c r="Y124" s="171" t="str">
        <f t="shared" si="14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5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9"/>
        <v>0</v>
      </c>
      <c r="Q125" s="17"/>
      <c r="R125" s="156" t="str">
        <f t="shared" si="10"/>
        <v/>
      </c>
      <c r="S125" s="172" t="str">
        <f t="shared" si="11"/>
        <v/>
      </c>
      <c r="T125" s="162"/>
      <c r="U125" s="56"/>
      <c r="V125" s="56"/>
      <c r="W125" s="56"/>
      <c r="X125" s="156" t="str">
        <f t="shared" si="13"/>
        <v/>
      </c>
      <c r="Y125" s="172" t="str">
        <f t="shared" si="14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5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9"/>
        <v>0</v>
      </c>
      <c r="R126" s="155" t="str">
        <f t="shared" si="10"/>
        <v/>
      </c>
      <c r="S126" s="171" t="str">
        <f t="shared" si="11"/>
        <v/>
      </c>
      <c r="X126" s="155" t="str">
        <f t="shared" si="13"/>
        <v/>
      </c>
      <c r="Y126" s="171" t="str">
        <f t="shared" si="14"/>
        <v/>
      </c>
      <c r="BM126" s="105"/>
    </row>
    <row r="127" spans="1:111" x14ac:dyDescent="0.15">
      <c r="A127" s="11">
        <f t="shared" si="15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9"/>
        <v>0</v>
      </c>
      <c r="R127" s="155" t="str">
        <f t="shared" si="10"/>
        <v/>
      </c>
      <c r="S127" s="171" t="str">
        <f t="shared" si="11"/>
        <v/>
      </c>
      <c r="X127" s="155" t="str">
        <f t="shared" si="13"/>
        <v/>
      </c>
      <c r="Y127" s="171" t="str">
        <f t="shared" si="14"/>
        <v/>
      </c>
      <c r="BM127" s="105"/>
    </row>
    <row r="128" spans="1:111" x14ac:dyDescent="0.15">
      <c r="A128" s="11">
        <f t="shared" si="15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9"/>
        <v>0</v>
      </c>
      <c r="R128" s="155" t="str">
        <f t="shared" si="10"/>
        <v/>
      </c>
      <c r="S128" s="171" t="str">
        <f t="shared" si="11"/>
        <v/>
      </c>
      <c r="X128" s="155" t="str">
        <f t="shared" si="13"/>
        <v/>
      </c>
      <c r="Y128" s="171" t="str">
        <f t="shared" si="14"/>
        <v/>
      </c>
    </row>
    <row r="129" spans="1:111" x14ac:dyDescent="0.15">
      <c r="A129" s="11">
        <f t="shared" si="15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9"/>
        <v>0</v>
      </c>
      <c r="R129" s="155" t="str">
        <f t="shared" si="10"/>
        <v/>
      </c>
      <c r="S129" s="171" t="str">
        <f t="shared" si="11"/>
        <v/>
      </c>
      <c r="X129" s="155" t="str">
        <f t="shared" si="13"/>
        <v/>
      </c>
      <c r="Y129" s="171" t="str">
        <f t="shared" si="14"/>
        <v/>
      </c>
    </row>
    <row r="130" spans="1:111" x14ac:dyDescent="0.15">
      <c r="A130" s="11">
        <f t="shared" si="15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9"/>
        <v>0</v>
      </c>
      <c r="R130" s="155" t="str">
        <f t="shared" si="10"/>
        <v/>
      </c>
      <c r="S130" s="171" t="str">
        <f t="shared" si="11"/>
        <v/>
      </c>
      <c r="X130" s="155" t="str">
        <f t="shared" si="13"/>
        <v/>
      </c>
      <c r="Y130" s="171" t="str">
        <f t="shared" si="14"/>
        <v/>
      </c>
    </row>
    <row r="131" spans="1:111" x14ac:dyDescent="0.15">
      <c r="A131" s="11">
        <f t="shared" si="15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9"/>
        <v>0</v>
      </c>
      <c r="R131" s="155" t="str">
        <f t="shared" si="10"/>
        <v/>
      </c>
      <c r="S131" s="171" t="str">
        <f t="shared" si="11"/>
        <v/>
      </c>
      <c r="X131" s="155" t="str">
        <f t="shared" si="13"/>
        <v/>
      </c>
      <c r="Y131" s="171" t="str">
        <f t="shared" si="14"/>
        <v/>
      </c>
    </row>
    <row r="132" spans="1:111" x14ac:dyDescent="0.15">
      <c r="A132" s="11">
        <f t="shared" si="15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9"/>
        <v>0</v>
      </c>
      <c r="R132" s="155" t="str">
        <f t="shared" si="10"/>
        <v/>
      </c>
      <c r="S132" s="171" t="str">
        <f t="shared" si="11"/>
        <v/>
      </c>
      <c r="X132" s="155" t="str">
        <f t="shared" si="13"/>
        <v/>
      </c>
      <c r="Y132" s="171" t="str">
        <f t="shared" si="14"/>
        <v/>
      </c>
    </row>
    <row r="133" spans="1:111" x14ac:dyDescent="0.15">
      <c r="A133" s="11">
        <f t="shared" si="15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9"/>
        <v>0</v>
      </c>
      <c r="R133" s="155" t="str">
        <f t="shared" si="10"/>
        <v/>
      </c>
      <c r="S133" s="171" t="str">
        <f t="shared" si="11"/>
        <v/>
      </c>
      <c r="X133" s="155" t="str">
        <f t="shared" si="13"/>
        <v/>
      </c>
      <c r="Y133" s="171" t="str">
        <f t="shared" si="14"/>
        <v/>
      </c>
    </row>
    <row r="134" spans="1:111" x14ac:dyDescent="0.15">
      <c r="A134" s="11">
        <f t="shared" si="15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6">Q134*8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3"/>
        <v/>
      </c>
      <c r="Y134" s="171" t="str">
        <f t="shared" si="14"/>
        <v/>
      </c>
    </row>
    <row r="135" spans="1:111" s="93" customFormat="1" x14ac:dyDescent="0.15">
      <c r="A135" s="11">
        <f t="shared" si="15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6"/>
        <v>0</v>
      </c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3"/>
        <v/>
      </c>
      <c r="Y135" s="171" t="str">
        <f t="shared" si="14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5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6"/>
        <v>0</v>
      </c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3"/>
        <v/>
      </c>
      <c r="Y136" s="171" t="str">
        <f t="shared" si="14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5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6"/>
        <v>0</v>
      </c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3"/>
        <v/>
      </c>
      <c r="Y137" s="171" t="str">
        <f t="shared" si="14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5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6"/>
        <v>0</v>
      </c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3"/>
        <v/>
      </c>
      <c r="Y138" s="171" t="str">
        <f t="shared" si="14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5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6"/>
        <v>0</v>
      </c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3"/>
        <v/>
      </c>
      <c r="Y139" s="171" t="str">
        <f t="shared" si="14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5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6"/>
        <v>0</v>
      </c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3"/>
        <v/>
      </c>
      <c r="Y140" s="171" t="str">
        <f t="shared" si="14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5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6"/>
        <v>0</v>
      </c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3"/>
        <v/>
      </c>
      <c r="Y141" s="171" t="str">
        <f t="shared" si="14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5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6"/>
        <v>0</v>
      </c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3"/>
        <v/>
      </c>
      <c r="Y142" s="171" t="str">
        <f t="shared" si="14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5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6"/>
        <v>0</v>
      </c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3"/>
        <v/>
      </c>
      <c r="Y143" s="171" t="str">
        <f t="shared" si="14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5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6"/>
        <v>0</v>
      </c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3"/>
        <v/>
      </c>
      <c r="Y144" s="171" t="str">
        <f t="shared" si="14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5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6"/>
        <v>0</v>
      </c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3"/>
        <v/>
      </c>
      <c r="Y145" s="172" t="str">
        <f t="shared" si="14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5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3"/>
        <v/>
      </c>
      <c r="Y146" s="171" t="str">
        <f t="shared" si="14"/>
        <v/>
      </c>
      <c r="BM146" s="105"/>
    </row>
    <row r="147" spans="1:111" x14ac:dyDescent="0.15">
      <c r="A147" s="11">
        <f t="shared" si="15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3"/>
        <v/>
      </c>
      <c r="Y147" s="171" t="str">
        <f t="shared" si="14"/>
        <v/>
      </c>
      <c r="BM147" s="105"/>
    </row>
    <row r="148" spans="1:111" x14ac:dyDescent="0.15">
      <c r="A148" s="11">
        <f t="shared" si="15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3"/>
        <v/>
      </c>
      <c r="Y148" s="171" t="str">
        <f t="shared" si="14"/>
        <v/>
      </c>
    </row>
    <row r="149" spans="1:111" x14ac:dyDescent="0.15">
      <c r="A149" s="11">
        <f t="shared" si="15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3"/>
        <v/>
      </c>
      <c r="Y149" s="171" t="str">
        <f t="shared" si="14"/>
        <v/>
      </c>
    </row>
    <row r="150" spans="1:111" x14ac:dyDescent="0.15">
      <c r="A150" s="11">
        <f t="shared" si="15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5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5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5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6"/>
        <v>0</v>
      </c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6"/>
        <v>0</v>
      </c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6"/>
        <v>0</v>
      </c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6"/>
        <v>0</v>
      </c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6"/>
        <v>0</v>
      </c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6"/>
        <v>0</v>
      </c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6"/>
        <v>0</v>
      </c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6"/>
        <v>0</v>
      </c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6"/>
        <v>0</v>
      </c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6"/>
        <v>0</v>
      </c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6"/>
        <v>0</v>
      </c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6"/>
        <v>0</v>
      </c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6"/>
        <v>0</v>
      </c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6"/>
        <v>0</v>
      </c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6"/>
        <v>0</v>
      </c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6"/>
        <v>0</v>
      </c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6"/>
        <v>0</v>
      </c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6"/>
        <v>0</v>
      </c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6"/>
        <v>0</v>
      </c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6"/>
        <v>0</v>
      </c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6"/>
        <v>0</v>
      </c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6"/>
        <v>0</v>
      </c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6"/>
        <v>0</v>
      </c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6"/>
        <v>0</v>
      </c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6"/>
        <v>0</v>
      </c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2">Q198*8</f>
        <v>0</v>
      </c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2"/>
        <v>0</v>
      </c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2"/>
        <v>0</v>
      </c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2"/>
        <v>0</v>
      </c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2"/>
        <v>0</v>
      </c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2"/>
        <v>0</v>
      </c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2"/>
        <v>0</v>
      </c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2"/>
        <v>0</v>
      </c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2"/>
        <v>0</v>
      </c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2"/>
        <v>0</v>
      </c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2"/>
        <v>0</v>
      </c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2"/>
        <v>0</v>
      </c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2"/>
        <v>0</v>
      </c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2"/>
        <v>0</v>
      </c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2"/>
        <v>0</v>
      </c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2"/>
        <v>0</v>
      </c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2"/>
        <v>0</v>
      </c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2"/>
        <v>0</v>
      </c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H1" workbookViewId="0">
      <selection activeCell="N23" sqref="N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1323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1440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1224</v>
      </c>
      <c r="H6" s="11" t="s">
        <v>1223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1441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1453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30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10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30</v>
      </c>
      <c r="N15" s="10">
        <f>IF((1-(1-M15/10000)^1440)=0,"",1-(1-M15/10000)^1440)</f>
        <v>0.98678619270966395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1326</v>
      </c>
      <c r="H19" s="11" t="s">
        <v>1327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6" sqref="G1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1449</v>
      </c>
      <c r="B3" s="91" t="s">
        <v>1450</v>
      </c>
    </row>
    <row r="4" spans="1:3" ht="45.75" customHeight="1" thickBot="1" x14ac:dyDescent="0.2">
      <c r="A4" s="91" t="s">
        <v>1451</v>
      </c>
      <c r="B4" s="91" t="s">
        <v>1452</v>
      </c>
    </row>
    <row r="5" spans="1:3" s="110" customFormat="1" x14ac:dyDescent="0.15">
      <c r="A5" s="110">
        <v>1</v>
      </c>
      <c r="B5" s="110">
        <f>C5*1000</f>
        <v>17000</v>
      </c>
      <c r="C5" s="110">
        <v>17</v>
      </c>
    </row>
    <row r="6" spans="1:3" x14ac:dyDescent="0.15">
      <c r="A6" s="91">
        <v>2</v>
      </c>
      <c r="B6" s="91">
        <f t="shared" ref="B6:B24" si="0">C6*1000</f>
        <v>12000</v>
      </c>
      <c r="C6" s="91">
        <v>12</v>
      </c>
    </row>
    <row r="7" spans="1:3" x14ac:dyDescent="0.15">
      <c r="A7" s="91">
        <v>3</v>
      </c>
      <c r="B7" s="91">
        <f t="shared" si="0"/>
        <v>8000</v>
      </c>
      <c r="C7" s="91">
        <v>8</v>
      </c>
    </row>
    <row r="8" spans="1:3" x14ac:dyDescent="0.15">
      <c r="A8" s="91">
        <v>4</v>
      </c>
      <c r="B8" s="91">
        <f t="shared" si="0"/>
        <v>5000</v>
      </c>
      <c r="C8" s="91">
        <v>5</v>
      </c>
    </row>
    <row r="9" spans="1:3" x14ac:dyDescent="0.15">
      <c r="A9" s="91">
        <v>5</v>
      </c>
      <c r="B9" s="91">
        <f t="shared" si="0"/>
        <v>4000</v>
      </c>
      <c r="C9" s="91">
        <v>4</v>
      </c>
    </row>
    <row r="10" spans="1:3" x14ac:dyDescent="0.15">
      <c r="A10" s="91">
        <v>6</v>
      </c>
      <c r="B10" s="91">
        <f t="shared" si="0"/>
        <v>3000</v>
      </c>
      <c r="C10" s="91">
        <v>3</v>
      </c>
    </row>
    <row r="11" spans="1:3" x14ac:dyDescent="0.15">
      <c r="A11" s="91">
        <v>7</v>
      </c>
      <c r="B11" s="91">
        <f t="shared" si="0"/>
        <v>1000</v>
      </c>
      <c r="C11" s="91">
        <v>1</v>
      </c>
    </row>
    <row r="12" spans="1:3" x14ac:dyDescent="0.15">
      <c r="A12" s="91">
        <v>8</v>
      </c>
      <c r="B12" s="91">
        <f t="shared" si="0"/>
        <v>500</v>
      </c>
      <c r="C12" s="91">
        <v>0.5</v>
      </c>
    </row>
    <row r="13" spans="1:3" x14ac:dyDescent="0.15">
      <c r="A13" s="91">
        <v>9</v>
      </c>
      <c r="B13" s="91">
        <f t="shared" si="0"/>
        <v>350</v>
      </c>
      <c r="C13" s="91">
        <v>0.35</v>
      </c>
    </row>
    <row r="14" spans="1:3" x14ac:dyDescent="0.15">
      <c r="A14" s="91">
        <v>10</v>
      </c>
      <c r="B14" s="91">
        <f t="shared" si="0"/>
        <v>300</v>
      </c>
      <c r="C14" s="91">
        <v>0.3</v>
      </c>
    </row>
    <row r="15" spans="1:3" x14ac:dyDescent="0.15">
      <c r="A15" s="91">
        <v>11</v>
      </c>
      <c r="B15" s="91">
        <f t="shared" si="0"/>
        <v>280</v>
      </c>
      <c r="C15" s="91">
        <v>0.28000000000000003</v>
      </c>
    </row>
    <row r="16" spans="1:3" x14ac:dyDescent="0.15">
      <c r="A16" s="91">
        <v>12</v>
      </c>
      <c r="B16" s="91">
        <f t="shared" si="0"/>
        <v>270</v>
      </c>
      <c r="C16" s="91">
        <v>0.27</v>
      </c>
    </row>
    <row r="17" spans="1:3" x14ac:dyDescent="0.15">
      <c r="A17" s="91">
        <v>13</v>
      </c>
      <c r="B17" s="91">
        <f t="shared" si="0"/>
        <v>260</v>
      </c>
      <c r="C17" s="91">
        <v>0.26</v>
      </c>
    </row>
    <row r="18" spans="1:3" x14ac:dyDescent="0.15">
      <c r="A18" s="91">
        <v>14</v>
      </c>
      <c r="B18" s="91">
        <f t="shared" si="0"/>
        <v>250</v>
      </c>
      <c r="C18" s="91">
        <v>0.25</v>
      </c>
    </row>
    <row r="19" spans="1:3" x14ac:dyDescent="0.15">
      <c r="A19" s="91">
        <v>15</v>
      </c>
      <c r="B19" s="91">
        <f t="shared" si="0"/>
        <v>240</v>
      </c>
      <c r="C19" s="91">
        <v>0.24</v>
      </c>
    </row>
    <row r="20" spans="1:3" x14ac:dyDescent="0.15">
      <c r="A20" s="91">
        <v>16</v>
      </c>
      <c r="B20" s="91">
        <f t="shared" si="0"/>
        <v>230</v>
      </c>
      <c r="C20" s="91">
        <v>0.23</v>
      </c>
    </row>
    <row r="21" spans="1:3" x14ac:dyDescent="0.15">
      <c r="A21" s="91">
        <v>17</v>
      </c>
      <c r="B21" s="91">
        <f t="shared" si="0"/>
        <v>220</v>
      </c>
      <c r="C21" s="91">
        <v>0.22</v>
      </c>
    </row>
    <row r="22" spans="1:3" x14ac:dyDescent="0.15">
      <c r="A22" s="91">
        <v>18</v>
      </c>
      <c r="B22" s="91">
        <f t="shared" si="0"/>
        <v>210</v>
      </c>
      <c r="C22" s="91">
        <v>0.21</v>
      </c>
    </row>
    <row r="23" spans="1:3" x14ac:dyDescent="0.15">
      <c r="A23" s="91">
        <v>19</v>
      </c>
      <c r="B23" s="91">
        <f t="shared" si="0"/>
        <v>200</v>
      </c>
      <c r="C23" s="91">
        <v>0.2</v>
      </c>
    </row>
    <row r="24" spans="1:3" x14ac:dyDescent="0.15">
      <c r="A24" s="91">
        <v>20</v>
      </c>
      <c r="B24" s="91">
        <f t="shared" si="0"/>
        <v>190</v>
      </c>
      <c r="C24" s="91">
        <v>0.19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2018-09-25T13:31:19Z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