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1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G236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G94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G102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398" i="9" l="1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<sst xmlns="http://schemas.openxmlformats.org/spreadsheetml/2006/main" count="5515" uniqueCount="1463">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</sst>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16" zoomScaleNormal="100" workbookViewId="0">
      <pane xSplit="12" topLeftCell="M1" activePane="topRight" state="frozen"/>
      <selection pane="topRight" activeCell="Z465" sqref="Z46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1</v>
      </c>
      <c r="AJ5" s="17">
        <v>1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1</v>
      </c>
      <c r="AJ6" s="10">
        <v>1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3550000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3550000</v>
      </c>
      <c r="AG20" s="176">
        <f t="shared" ca="1" si="9"/>
        <v>5974431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6585000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6585000</v>
      </c>
      <c r="AG21" s="176">
        <f t="shared" ca="1" si="9"/>
        <v>12559431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10710000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10710000</v>
      </c>
      <c r="AG22" s="176">
        <f t="shared" ca="1" si="9"/>
        <v>23269431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16485000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16485000</v>
      </c>
      <c r="AG23" s="176">
        <f t="shared" ca="1" si="9"/>
        <v>39754431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26650000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26650000</v>
      </c>
      <c r="AG24" s="176">
        <f t="shared" ca="1" si="9"/>
        <v>66404431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1</v>
      </c>
      <c r="AJ25" s="17">
        <v>1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1</v>
      </c>
      <c r="AJ26" s="10">
        <v>1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3425000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3425000</v>
      </c>
      <c r="AG39" s="176">
        <f t="shared" ca="1" si="11"/>
        <v>4434000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6990000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6990000</v>
      </c>
      <c r="AG40" s="176">
        <f t="shared" ca="1" si="11"/>
        <v>10415000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12985000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12985000</v>
      </c>
      <c r="AG41" s="176">
        <f t="shared" ca="1" si="11"/>
        <v>19975000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21110000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21110000</v>
      </c>
      <c r="AG42" s="176">
        <f t="shared" ca="1" si="11"/>
        <v>34095000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32485000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32485000</v>
      </c>
      <c r="AG43" s="176">
        <f t="shared" ca="1" si="11"/>
        <v>53595000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52250000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52250000</v>
      </c>
      <c r="AG44" s="176">
        <f t="shared" ca="1" si="11"/>
        <v>84735000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1</v>
      </c>
      <c r="AJ45" s="17">
        <v>1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1</v>
      </c>
      <c r="AJ46" s="10">
        <v>1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1591000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1591000</v>
      </c>
      <c r="AG58" s="176">
        <f t="shared" ca="1" si="12"/>
        <v>2232000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3425000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3425000</v>
      </c>
      <c r="AG59" s="176">
        <f t="shared" ca="1" si="12"/>
        <v>5016000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6990000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6990000</v>
      </c>
      <c r="AG60" s="176">
        <f t="shared" ca="1" si="12"/>
        <v>10415000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12985000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12985000</v>
      </c>
      <c r="AG61" s="176">
        <f t="shared" ca="1" si="12"/>
        <v>19975000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21110000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21110000</v>
      </c>
      <c r="AG62" s="176">
        <f t="shared" ca="1" si="12"/>
        <v>34095000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32485000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32485000</v>
      </c>
      <c r="AG63" s="176">
        <f t="shared" ca="1" si="12"/>
        <v>53595000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52250000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52250000</v>
      </c>
      <c r="AG64" s="176">
        <f t="shared" ca="1" si="12"/>
        <v>84735000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1</v>
      </c>
      <c r="AJ65" s="17">
        <v>1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1</v>
      </c>
      <c r="AJ66" s="10">
        <v>1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5368000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1</v>
      </c>
      <c r="AJ85" s="17">
        <v>1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1</v>
      </c>
      <c r="AJ86" s="10">
        <v>1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230000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230000</v>
      </c>
      <c r="AG91" s="176">
        <f t="shared" ca="1" si="40"/>
        <v>297500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483000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483000</v>
      </c>
      <c r="AG92" s="176">
        <f t="shared" ca="1" si="40"/>
        <v>713000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897000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897000</v>
      </c>
      <c r="AG93" s="176">
        <f t="shared" ca="1" si="40"/>
        <v>1380000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1495000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1495000</v>
      </c>
      <c r="AG94" s="176">
        <f t="shared" ca="1" si="40"/>
        <v>2392000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2530000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2530000</v>
      </c>
      <c r="AG95" s="176">
        <f t="shared" ca="1" si="40"/>
        <v>4025000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4260000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4260000</v>
      </c>
      <c r="AG96" s="176">
        <f t="shared" ca="1" si="40"/>
        <v>6790000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7130000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7130000</v>
      </c>
      <c r="AG97" s="176">
        <f t="shared" ca="1" si="40"/>
        <v>11390000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11155000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11155000</v>
      </c>
      <c r="AG98" s="176">
        <f t="shared" ca="1" si="40"/>
        <v>18285000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26250000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26250000</v>
      </c>
      <c r="AG99" s="176">
        <f t="shared" ca="1" si="40"/>
        <v>37405000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53750000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53750000</v>
      </c>
      <c r="AG100" s="176">
        <f t="shared" ca="1" si="40"/>
        <v>80000000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100000000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100000000</v>
      </c>
      <c r="AG101" s="176">
        <f t="shared" ca="1" si="40"/>
        <v>153750000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162500000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162500000</v>
      </c>
      <c r="AG102" s="176">
        <f t="shared" ca="1" si="40"/>
        <v>262500000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250000000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250000000</v>
      </c>
      <c r="AG103" s="176">
        <f t="shared" ca="1" si="40"/>
        <v>412500000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400000000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400000000</v>
      </c>
      <c r="AG104" s="176">
        <f t="shared" ca="1" si="40"/>
        <v>650000000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1</v>
      </c>
      <c r="AJ105" s="17">
        <v>1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1</v>
      </c>
      <c r="AJ106" s="10">
        <v>1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1144000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1144000</v>
      </c>
      <c r="AG115" s="176">
        <f t="shared" ca="1" si="47"/>
        <v>1612000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1924000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1924000</v>
      </c>
      <c r="AG116" s="176">
        <f t="shared" ca="1" si="47"/>
        <v>3068000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3224000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3224000</v>
      </c>
      <c r="AG117" s="176">
        <f t="shared" ca="1" si="47"/>
        <v>5148000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5044000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5044000</v>
      </c>
      <c r="AG118" s="176">
        <f t="shared" ca="1" si="47"/>
        <v>8268000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12600000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12600000</v>
      </c>
      <c r="AG119" s="176">
        <f t="shared" ca="1" si="47"/>
        <v>17644000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25800000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25800000</v>
      </c>
      <c r="AG120" s="176">
        <f t="shared" ca="1" si="47"/>
        <v>38400000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48000000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48000000</v>
      </c>
      <c r="AG121" s="176">
        <f t="shared" ca="1" si="47"/>
        <v>73800000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78000000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78000000</v>
      </c>
      <c r="AG122" s="176">
        <f t="shared" ca="1" si="47"/>
        <v>126000000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120000000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120000000</v>
      </c>
      <c r="AG123" s="176">
        <f t="shared" ca="1" si="47"/>
        <v>198000000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192000000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192000000</v>
      </c>
      <c r="AG124" s="176">
        <f t="shared" ca="1" si="47"/>
        <v>312000000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1</v>
      </c>
      <c r="AJ125" s="17">
        <v>1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1</v>
      </c>
      <c r="AJ126" s="10">
        <v>1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1</v>
      </c>
      <c r="AJ145" s="17">
        <v>1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1</v>
      </c>
      <c r="AJ146" s="10">
        <v>1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3100000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3100000</v>
      </c>
      <c r="AG157" s="176">
        <f t="shared" ca="1" si="52"/>
        <v>4210000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4850000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4850000</v>
      </c>
      <c r="AG158" s="176">
        <f t="shared" ca="1" si="52"/>
        <v>7950000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10500000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10500000</v>
      </c>
      <c r="AG159" s="176">
        <f t="shared" ca="1" si="52"/>
        <v>15350000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21500000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21500000</v>
      </c>
      <c r="AG160" s="176">
        <f t="shared" ca="1" si="52"/>
        <v>32000000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40000000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40000000</v>
      </c>
      <c r="AG161" s="176">
        <f t="shared" ca="1" si="52"/>
        <v>61500000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65000000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65000000</v>
      </c>
      <c r="AG162" s="176">
        <f t="shared" ca="1" si="52"/>
        <v>105000000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100000000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100000000</v>
      </c>
      <c r="AG163" s="176">
        <f t="shared" ca="1" si="52"/>
        <v>165000000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160000000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160000000</v>
      </c>
      <c r="AG164" s="176">
        <f t="shared" ca="1" si="52"/>
        <v>260000000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1</v>
      </c>
      <c r="AJ165" s="17">
        <v>1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1</v>
      </c>
      <c r="AJ166" s="10">
        <v>1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40000000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40000000</v>
      </c>
      <c r="AG181" s="176">
        <f t="shared" ca="1" si="59"/>
        <v>52900000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65000000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65000000</v>
      </c>
      <c r="AG182" s="176">
        <f t="shared" ca="1" si="59"/>
        <v>105000000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100000000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100000000</v>
      </c>
      <c r="AG183" s="176">
        <f t="shared" ca="1" si="59"/>
        <v>165000000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160000000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160000000</v>
      </c>
      <c r="AG184" s="176">
        <f t="shared" ca="1" si="59"/>
        <v>260000000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1</v>
      </c>
      <c r="AJ185" s="17">
        <v>1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1</v>
      </c>
      <c r="AJ186" s="10">
        <v>1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2960000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2960000</v>
      </c>
      <c r="AG196" s="176">
        <f t="shared" ca="1" si="67"/>
        <v>3620000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4960000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4960000</v>
      </c>
      <c r="AG197" s="176">
        <f t="shared" ca="1" si="67"/>
        <v>7920000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7760000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7760000</v>
      </c>
      <c r="AG198" s="176">
        <f t="shared" ca="1" si="67"/>
        <v>12720000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16800000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16800000</v>
      </c>
      <c r="AG199" s="176">
        <f t="shared" ca="1" si="67"/>
        <v>24560000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34400000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34400000</v>
      </c>
      <c r="AG200" s="176">
        <f t="shared" ca="1" si="67"/>
        <v>51200000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64000000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64000000</v>
      </c>
      <c r="AG201" s="176">
        <f t="shared" ca="1" si="67"/>
        <v>98400000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104000000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104000000</v>
      </c>
      <c r="AG202" s="176">
        <f t="shared" ca="1" si="67"/>
        <v>168000000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150000000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150000000</v>
      </c>
      <c r="AG203" s="176">
        <f t="shared" ca="1" si="67"/>
        <v>254000000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240000000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240000000</v>
      </c>
      <c r="AG204" s="176">
        <f t="shared" ca="1" si="67"/>
        <v>390000000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1</v>
      </c>
      <c r="AJ205" s="17">
        <v>1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1</v>
      </c>
      <c r="AJ206" s="10">
        <v>1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2960000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2960000</v>
      </c>
      <c r="AG216" s="176">
        <f t="shared" ca="1" si="76"/>
        <v>3620000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4960000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4960000</v>
      </c>
      <c r="AG217" s="176">
        <f t="shared" ca="1" si="76"/>
        <v>7920000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7760000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7760000</v>
      </c>
      <c r="AG218" s="176">
        <f t="shared" ca="1" si="76"/>
        <v>12720000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16800000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16800000</v>
      </c>
      <c r="AG219" s="176">
        <f t="shared" ca="1" si="76"/>
        <v>24560000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34400000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34400000</v>
      </c>
      <c r="AG220" s="176">
        <f t="shared" ca="1" si="76"/>
        <v>51200000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64000000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64000000</v>
      </c>
      <c r="AG221" s="176">
        <f t="shared" ca="1" si="76"/>
        <v>98400000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104000000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104000000</v>
      </c>
      <c r="AG222" s="176">
        <f t="shared" ca="1" si="76"/>
        <v>168000000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150000000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150000000</v>
      </c>
      <c r="AG223" s="176">
        <f t="shared" ca="1" si="76"/>
        <v>254000000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240000000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240000000</v>
      </c>
      <c r="AG224" s="176">
        <f t="shared" ca="1" si="76"/>
        <v>390000000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1</v>
      </c>
      <c r="AJ225" s="17">
        <v>1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1</v>
      </c>
      <c r="AJ226" s="10">
        <v>1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1824000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1824000</v>
      </c>
      <c r="AG238" s="176">
        <f t="shared" ca="1" si="78"/>
        <v>2802000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3630000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3630000</v>
      </c>
      <c r="AG239" s="176">
        <f t="shared" ca="1" si="78"/>
        <v>5454000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10460000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10460000</v>
      </c>
      <c r="AG240" s="176">
        <f t="shared" ca="1" si="78"/>
        <v>14090000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18910000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18910000</v>
      </c>
      <c r="AG241" s="176">
        <f t="shared" ca="1" si="78"/>
        <v>29370000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32300000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32300000</v>
      </c>
      <c r="AG242" s="176">
        <f t="shared" ca="1" si="78"/>
        <v>51210000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52900000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52900000</v>
      </c>
      <c r="AG243" s="176">
        <f t="shared" ca="1" si="78"/>
        <v>85200000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88000000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88000000</v>
      </c>
      <c r="AG244" s="176">
        <f t="shared" ca="1" si="78"/>
        <v>140900000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13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15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1</v>
      </c>
      <c r="AJ245" s="17">
        <v>1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15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1</v>
      </c>
      <c r="AJ246" s="10">
        <v>1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15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15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15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15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15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16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16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16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16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16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16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6200000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6200000</v>
      </c>
      <c r="AG257" s="176">
        <f t="shared" ca="1" si="81"/>
        <v>8420000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17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9700000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9700000</v>
      </c>
      <c r="AG258" s="176">
        <f t="shared" ca="1" si="81"/>
        <v>15900000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17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21000000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21000000</v>
      </c>
      <c r="AG259" s="176">
        <f t="shared" ca="1" si="81"/>
        <v>30700000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17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43000000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43000000</v>
      </c>
      <c r="AG260" s="176">
        <f t="shared" ca="1" si="81"/>
        <v>64000000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18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80000000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80000000</v>
      </c>
      <c r="AG261" s="176">
        <f t="shared" ca="1" si="81"/>
        <v>123000000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130000000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130000000</v>
      </c>
      <c r="AG262" s="176">
        <f t="shared" ca="1" si="81"/>
        <v>210000000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200000000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200000000</v>
      </c>
      <c r="AG263" s="176">
        <f t="shared" ca="1" si="81"/>
        <v>330000000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320000000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320000000</v>
      </c>
      <c r="AG264" s="176">
        <f t="shared" ca="1" si="81"/>
        <v>520000000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1</v>
      </c>
      <c r="AJ265" s="17">
        <v>1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1</v>
      </c>
      <c r="AJ266" s="10">
        <v>1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104000000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104000000</v>
      </c>
      <c r="AG281" s="176">
        <f t="shared" ca="1" si="88"/>
        <v>142700000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195000000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195000000</v>
      </c>
      <c r="AG282" s="176">
        <f t="shared" ca="1" si="88"/>
        <v>299000000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300000000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300000000</v>
      </c>
      <c r="AG283" s="176">
        <f t="shared" ca="1" si="88"/>
        <v>495000000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480000000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480000000</v>
      </c>
      <c r="AG284" s="176">
        <f t="shared" ca="1" si="88"/>
        <v>780000000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1</v>
      </c>
      <c r="AJ285" s="17">
        <v>1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1</v>
      </c>
      <c r="AJ286" s="10">
        <v>1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80000000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80000000</v>
      </c>
      <c r="AG301" s="176">
        <f t="shared" ca="1" si="97"/>
        <v>105800000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130000000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130000000</v>
      </c>
      <c r="AG302" s="176">
        <f t="shared" ca="1" si="97"/>
        <v>210000000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200000000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200000000</v>
      </c>
      <c r="AG303" s="176">
        <f t="shared" ca="1" si="97"/>
        <v>330000000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320000000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320000000</v>
      </c>
      <c r="AG304" s="176">
        <f t="shared" ca="1" si="97"/>
        <v>520000000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14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16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1</v>
      </c>
      <c r="AJ305" s="17">
        <v>1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16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1</v>
      </c>
      <c r="AJ306" s="10">
        <v>1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16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16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16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16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16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16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16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16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16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16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16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17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17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17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18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12900000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12900000</v>
      </c>
      <c r="AG323" s="176">
        <f t="shared" ca="1" si="101"/>
        <v>16680000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24000000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24000000</v>
      </c>
      <c r="AG324" s="176">
        <f t="shared" ca="1" si="101"/>
        <v>36900000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1</v>
      </c>
      <c r="AJ325" s="17">
        <v>1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1</v>
      </c>
      <c r="AJ326" s="10">
        <v>1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172200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172200</v>
      </c>
      <c r="AG333" s="176">
        <f t="shared" ca="1" si="107"/>
        <v>232460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296000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296000</v>
      </c>
      <c r="AG334" s="176">
        <f t="shared" ca="1" si="107"/>
        <v>468200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515600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515600</v>
      </c>
      <c r="AG335" s="176">
        <f t="shared" ca="1" si="107"/>
        <v>811600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880400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880400</v>
      </c>
      <c r="AG336" s="176">
        <f t="shared" ca="1" si="107"/>
        <v>1396000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1474000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1474000</v>
      </c>
      <c r="AG337" s="176">
        <f t="shared" ca="1" si="107"/>
        <v>2354400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2336000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2336000</v>
      </c>
      <c r="AG338" s="176">
        <f t="shared" ca="1" si="107"/>
        <v>3810000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4866000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4866000</v>
      </c>
      <c r="AG339" s="176">
        <f t="shared" ca="1" si="107"/>
        <v>7202000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9716000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9716000</v>
      </c>
      <c r="AG340" s="176">
        <f t="shared" ca="1" si="107"/>
        <v>14582000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17746000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17746000</v>
      </c>
      <c r="AG341" s="176">
        <f t="shared" ca="1" si="107"/>
        <v>27462000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29780000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29780000</v>
      </c>
      <c r="AG342" s="176">
        <f t="shared" ca="1" si="107"/>
        <v>47526000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47740000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47740000</v>
      </c>
      <c r="AG343" s="176">
        <f t="shared" ca="1" si="107"/>
        <v>77520000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78400000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78400000</v>
      </c>
      <c r="AG344" s="176">
        <f t="shared" ca="1" si="107"/>
        <v>126140000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11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6000000</v>
      </c>
      <c r="AC345" s="56">
        <v>13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1</v>
      </c>
      <c r="AJ345" s="17">
        <v>1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6000000</v>
      </c>
      <c r="AC346" s="55">
        <v>13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1</v>
      </c>
      <c r="AJ346" s="10">
        <v>1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6000000</v>
      </c>
      <c r="AC347" s="55">
        <v>13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880400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880400</v>
      </c>
      <c r="AG356" s="176">
        <f t="shared" ca="1" si="109"/>
        <v>1220000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1474000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1474000</v>
      </c>
      <c r="AG357" s="176">
        <f t="shared" ca="1" si="109"/>
        <v>2354400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2336000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2336000</v>
      </c>
      <c r="AG358" s="176">
        <f t="shared" ca="1" si="109"/>
        <v>3810000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4866000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4866000</v>
      </c>
      <c r="AG359" s="176">
        <f t="shared" ca="1" si="109"/>
        <v>7202000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9716000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9716000</v>
      </c>
      <c r="AG360" s="176">
        <f t="shared" ca="1" si="109"/>
        <v>14582000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17746000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17746000</v>
      </c>
      <c r="AG361" s="176">
        <f t="shared" ca="1" si="109"/>
        <v>27462000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29780000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29780000</v>
      </c>
      <c r="AG362" s="176">
        <f t="shared" ca="1" si="109"/>
        <v>47526000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47740000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47740000</v>
      </c>
      <c r="AG363" s="176">
        <f t="shared" ca="1" si="109"/>
        <v>77520000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78400000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78400000</v>
      </c>
      <c r="AG364" s="176">
        <f t="shared" ca="1" si="109"/>
        <v>126140000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1</v>
      </c>
      <c r="AJ365" s="17">
        <v>1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1</v>
      </c>
      <c r="AJ366" s="10">
        <v>1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1764000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1764000</v>
      </c>
      <c r="AG379" s="176">
        <f t="shared" ca="1" si="112"/>
        <v>2346000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3612000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3612000</v>
      </c>
      <c r="AG380" s="176">
        <f t="shared" ca="1" si="112"/>
        <v>5376000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6720000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6720000</v>
      </c>
      <c r="AG381" s="176">
        <f t="shared" ca="1" si="112"/>
        <v>10332000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10920000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10920000</v>
      </c>
      <c r="AG382" s="176">
        <f t="shared" ca="1" si="112"/>
        <v>17640000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16800000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16800000</v>
      </c>
      <c r="AG383" s="176">
        <f t="shared" ca="1" si="112"/>
        <v>27720000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26880000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26880000</v>
      </c>
      <c r="AG384" s="176">
        <f t="shared" ca="1" si="112"/>
        <v>43680000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1</v>
      </c>
      <c r="AJ385" s="17">
        <v>1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1</v>
      </c>
      <c r="AJ386" s="10">
        <v>1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1</v>
      </c>
      <c r="AJ405" s="17">
        <v>1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1</v>
      </c>
      <c r="AJ406" s="10">
        <v>1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1824000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1824000</v>
      </c>
      <c r="AG418" s="176">
        <f t="shared" ca="1" si="119"/>
        <v>2802000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5310000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5310000</v>
      </c>
      <c r="AG419" s="176">
        <f t="shared" ca="1" si="119"/>
        <v>7134000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10460000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10460000</v>
      </c>
      <c r="AG420" s="176">
        <f t="shared" ca="1" si="119"/>
        <v>15770000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18910000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18910000</v>
      </c>
      <c r="AG421" s="176">
        <f t="shared" ca="1" si="119"/>
        <v>29370000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32300000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32300000</v>
      </c>
      <c r="AG422" s="176">
        <f t="shared" ca="1" si="119"/>
        <v>51210000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52900000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52900000</v>
      </c>
      <c r="AG423" s="176">
        <f t="shared" ca="1" si="119"/>
        <v>85200000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88000000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88000000</v>
      </c>
      <c r="AG424" s="176">
        <f t="shared" ca="1" si="119"/>
        <v>140900000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1</v>
      </c>
      <c r="AJ425" s="17">
        <v>1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1</v>
      </c>
      <c r="AJ426" s="10">
        <v>1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210000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210000</v>
      </c>
      <c r="AG432" s="176">
        <f t="shared" ca="1" si="123"/>
        <v>270000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390000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390000</v>
      </c>
      <c r="AG433" s="176">
        <f t="shared" ca="1" si="123"/>
        <v>600000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650000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650000</v>
      </c>
      <c r="AG434" s="176">
        <f t="shared" ca="1" si="123"/>
        <v>1040000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1100000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1100000</v>
      </c>
      <c r="AG435" s="176">
        <f t="shared" ca="1" si="123"/>
        <v>1750000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1850000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1850000</v>
      </c>
      <c r="AG436" s="176">
        <f t="shared" ca="1" si="123"/>
        <v>2950000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3105000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3105000</v>
      </c>
      <c r="AG437" s="176">
        <f t="shared" ca="1" si="123"/>
        <v>4955000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4850000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4850000</v>
      </c>
      <c r="AG438" s="176">
        <f t="shared" ca="1" si="123"/>
        <v>7955000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10500000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10500000</v>
      </c>
      <c r="AG439" s="176">
        <f t="shared" ca="1" si="123"/>
        <v>15350000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21500000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21500000</v>
      </c>
      <c r="AG440" s="176">
        <f t="shared" ca="1" si="123"/>
        <v>32000000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40000000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40000000</v>
      </c>
      <c r="AG441" s="176">
        <f t="shared" ca="1" si="123"/>
        <v>61500000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65000000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65000000</v>
      </c>
      <c r="AG442" s="176">
        <f t="shared" ca="1" si="123"/>
        <v>105000000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100000000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100000000</v>
      </c>
      <c r="AG443" s="176">
        <f t="shared" ca="1" si="123"/>
        <v>165000000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160000000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160000000</v>
      </c>
      <c r="AG444" s="176">
        <f t="shared" ca="1" si="123"/>
        <v>260000000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1</v>
      </c>
      <c r="AJ445" s="17">
        <v>1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1</v>
      </c>
      <c r="AJ446" s="10">
        <v>1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424860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424860</v>
      </c>
      <c r="AG452" s="176">
        <f t="shared" ca="1" si="128"/>
        <v>545940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796200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796200</v>
      </c>
      <c r="AG453" s="176">
        <f t="shared" ca="1" si="128"/>
        <v>1221060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1336000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1336000</v>
      </c>
      <c r="AG454" s="176">
        <f t="shared" ca="1" si="128"/>
        <v>2132200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2275600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2275600</v>
      </c>
      <c r="AG455" s="176">
        <f t="shared" ca="1" si="128"/>
        <v>3611600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4637000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6480000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6480000</v>
      </c>
      <c r="AG458" s="176">
        <f t="shared" ca="1" si="128"/>
        <v>10434000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13710000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13710000</v>
      </c>
      <c r="AG459" s="176">
        <f t="shared" ca="1" si="128"/>
        <v>20190000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44860000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44860000</v>
      </c>
      <c r="AG460" s="176">
        <f t="shared" ca="1" si="128"/>
        <v>58570000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82910000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82910000</v>
      </c>
      <c r="AG461" s="176">
        <f t="shared" ca="1" si="128"/>
        <v>127770000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136300000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136300000</v>
      </c>
      <c r="AG462" s="176">
        <f t="shared" ca="1" si="128"/>
        <v>219210000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212900000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212900000</v>
      </c>
      <c r="AG463" s="176">
        <f t="shared" ca="1" si="128"/>
        <v>349200000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344000000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344000000</v>
      </c>
      <c r="AG464" s="176">
        <f t="shared" ca="1" si="128"/>
        <v>556900000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7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1</v>
      </c>
      <c r="AJ465" s="17">
        <v>1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7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1</v>
      </c>
      <c r="AJ466" s="10">
        <v>1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7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7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7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7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17200000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17200000</v>
      </c>
      <c r="AG480" s="176">
        <f t="shared" ca="1" si="130"/>
        <v>22240000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32000000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32000000</v>
      </c>
      <c r="AG481" s="176">
        <f t="shared" ca="1" si="130"/>
        <v>49200000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52000000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52000000</v>
      </c>
      <c r="AG482" s="176">
        <f t="shared" ca="1" si="130"/>
        <v>84000000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80000000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80000000</v>
      </c>
      <c r="AG483" s="176">
        <f t="shared" ca="1" si="130"/>
        <v>132000000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128000000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128000000</v>
      </c>
      <c r="AG484" s="176">
        <f t="shared" ca="1" si="130"/>
        <v>208000000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1</v>
      </c>
      <c r="AJ485" s="17">
        <v>1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1</v>
      </c>
      <c r="AJ486" s="10">
        <v>1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1110000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1110000</v>
      </c>
      <c r="AG499" s="176">
        <f t="shared" ca="1" si="134"/>
        <v>1506000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1860000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1860000</v>
      </c>
      <c r="AG500" s="176">
        <f t="shared" ca="1" si="134"/>
        <v>2970000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2910000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2910000</v>
      </c>
      <c r="AG501" s="176">
        <f t="shared" ca="1" si="134"/>
        <v>4770000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6300000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6300000</v>
      </c>
      <c r="AG502" s="176">
        <f t="shared" ca="1" si="134"/>
        <v>9210000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12900000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12900000</v>
      </c>
      <c r="AG503" s="176">
        <f t="shared" ca="1" si="134"/>
        <v>19200000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24000000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24000000</v>
      </c>
      <c r="AG504" s="176">
        <f t="shared" ca="1" si="134"/>
        <v>36900000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P61" sqref="P6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1600</v>
      </c>
      <c r="S53" s="39">
        <v>1.6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15000</v>
      </c>
      <c r="S55" s="39">
        <v>15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10000</v>
      </c>
      <c r="S58" s="148">
        <v>10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5000</v>
      </c>
      <c r="S59" s="39">
        <v>5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A5" sqref="A5:A24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2</v>
      </c>
      <c r="M12" s="91">
        <v>2</v>
      </c>
      <c r="N12" s="91">
        <v>2</v>
      </c>
      <c r="O12" s="91">
        <v>2</v>
      </c>
      <c r="P12" s="91">
        <v>2</v>
      </c>
      <c r="Q12" s="91">
        <v>2</v>
      </c>
      <c r="R12" s="91">
        <v>2</v>
      </c>
      <c r="S12" s="91">
        <v>2</v>
      </c>
      <c r="T12" s="91">
        <v>2</v>
      </c>
      <c r="U12" s="91">
        <v>2</v>
      </c>
      <c r="V12" s="91">
        <v>2</v>
      </c>
      <c r="W12" s="91">
        <v>2</v>
      </c>
      <c r="X12" s="91">
        <v>2</v>
      </c>
      <c r="Y12" s="91">
        <v>2</v>
      </c>
      <c r="Z12" s="91">
        <v>2</v>
      </c>
      <c r="AA12" s="91">
        <v>2</v>
      </c>
      <c r="AB12" s="91">
        <v>2</v>
      </c>
      <c r="AC12" s="91">
        <v>2</v>
      </c>
      <c r="AD12" s="91">
        <v>2</v>
      </c>
      <c r="AE12" s="91">
        <v>2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2</v>
      </c>
      <c r="M13" s="91">
        <v>2</v>
      </c>
      <c r="N13" s="91">
        <v>2</v>
      </c>
      <c r="O13" s="91">
        <v>2</v>
      </c>
      <c r="P13" s="91">
        <v>2</v>
      </c>
      <c r="Q13" s="91">
        <v>2</v>
      </c>
      <c r="R13" s="91">
        <v>2</v>
      </c>
      <c r="S13" s="91">
        <v>2</v>
      </c>
      <c r="T13" s="91">
        <v>2</v>
      </c>
      <c r="U13" s="91">
        <v>2</v>
      </c>
      <c r="V13" s="91">
        <v>2</v>
      </c>
      <c r="W13" s="91">
        <v>2</v>
      </c>
      <c r="X13" s="91">
        <v>2</v>
      </c>
      <c r="Y13" s="91">
        <v>2</v>
      </c>
      <c r="Z13" s="91">
        <v>2</v>
      </c>
      <c r="AA13" s="91">
        <v>2</v>
      </c>
      <c r="AB13" s="91">
        <v>2</v>
      </c>
      <c r="AC13" s="91">
        <v>2</v>
      </c>
      <c r="AD13" s="91">
        <v>2</v>
      </c>
      <c r="AE13" s="91">
        <v>2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2</v>
      </c>
      <c r="M14" s="91">
        <v>2</v>
      </c>
      <c r="N14" s="91">
        <v>2</v>
      </c>
      <c r="O14" s="91">
        <v>2</v>
      </c>
      <c r="P14" s="91">
        <v>2</v>
      </c>
      <c r="Q14" s="91">
        <v>2</v>
      </c>
      <c r="R14" s="91">
        <v>2</v>
      </c>
      <c r="S14" s="91">
        <v>2</v>
      </c>
      <c r="T14" s="91">
        <v>2</v>
      </c>
      <c r="U14" s="91">
        <v>2</v>
      </c>
      <c r="V14" s="91">
        <v>2</v>
      </c>
      <c r="W14" s="91">
        <v>2</v>
      </c>
      <c r="X14" s="91">
        <v>2</v>
      </c>
      <c r="Y14" s="91">
        <v>2</v>
      </c>
      <c r="Z14" s="91">
        <v>2</v>
      </c>
      <c r="AA14" s="91">
        <v>2</v>
      </c>
      <c r="AB14" s="91">
        <v>2</v>
      </c>
      <c r="AC14" s="91">
        <v>2</v>
      </c>
      <c r="AD14" s="91">
        <v>2</v>
      </c>
      <c r="AE14" s="91">
        <v>2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3</v>
      </c>
      <c r="M15" s="91">
        <v>3</v>
      </c>
      <c r="N15" s="91">
        <v>3</v>
      </c>
      <c r="O15" s="91">
        <v>3</v>
      </c>
      <c r="P15" s="91">
        <v>3</v>
      </c>
      <c r="Q15" s="91">
        <v>3</v>
      </c>
      <c r="R15" s="91">
        <v>3</v>
      </c>
      <c r="S15" s="91">
        <v>3</v>
      </c>
      <c r="T15" s="91">
        <v>3</v>
      </c>
      <c r="U15" s="91">
        <v>3</v>
      </c>
      <c r="V15" s="91">
        <v>3</v>
      </c>
      <c r="W15" s="91">
        <v>3</v>
      </c>
      <c r="X15" s="91">
        <v>3</v>
      </c>
      <c r="Y15" s="91">
        <v>3</v>
      </c>
      <c r="Z15" s="91">
        <v>3</v>
      </c>
      <c r="AA15" s="91">
        <v>3</v>
      </c>
      <c r="AB15" s="91">
        <v>3</v>
      </c>
      <c r="AC15" s="91">
        <v>3</v>
      </c>
      <c r="AD15" s="91">
        <v>3</v>
      </c>
      <c r="AE15" s="91">
        <v>3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3</v>
      </c>
      <c r="M16" s="91">
        <v>3</v>
      </c>
      <c r="N16" s="91">
        <v>3</v>
      </c>
      <c r="O16" s="91">
        <v>3</v>
      </c>
      <c r="P16" s="91">
        <v>3</v>
      </c>
      <c r="Q16" s="91">
        <v>3</v>
      </c>
      <c r="R16" s="91">
        <v>3</v>
      </c>
      <c r="S16" s="91">
        <v>3</v>
      </c>
      <c r="T16" s="91">
        <v>3</v>
      </c>
      <c r="U16" s="91">
        <v>3</v>
      </c>
      <c r="V16" s="91">
        <v>3</v>
      </c>
      <c r="W16" s="91">
        <v>3</v>
      </c>
      <c r="X16" s="91">
        <v>3</v>
      </c>
      <c r="Y16" s="91">
        <v>3</v>
      </c>
      <c r="Z16" s="91">
        <v>3</v>
      </c>
      <c r="AA16" s="91">
        <v>3</v>
      </c>
      <c r="AB16" s="91">
        <v>3</v>
      </c>
      <c r="AC16" s="91">
        <v>3</v>
      </c>
      <c r="AD16" s="91">
        <v>3</v>
      </c>
      <c r="AE16" s="91">
        <v>3</v>
      </c>
      <c r="AF16" s="91">
        <v>2</v>
      </c>
      <c r="AG16" s="91">
        <v>2</v>
      </c>
      <c r="AH16" s="91">
        <v>2</v>
      </c>
      <c r="AI16" s="91">
        <v>2</v>
      </c>
      <c r="AJ16" s="91">
        <v>2</v>
      </c>
      <c r="AK16" s="91">
        <v>2</v>
      </c>
      <c r="AL16" s="91">
        <v>2</v>
      </c>
      <c r="AM16" s="91">
        <v>2</v>
      </c>
      <c r="AN16" s="91">
        <v>2</v>
      </c>
      <c r="AO16" s="91">
        <v>2</v>
      </c>
      <c r="AP16" s="91">
        <v>2</v>
      </c>
      <c r="AQ16" s="91">
        <v>2</v>
      </c>
      <c r="AR16" s="91">
        <v>2</v>
      </c>
      <c r="AS16" s="91">
        <v>2</v>
      </c>
      <c r="AT16" s="91">
        <v>2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4</v>
      </c>
      <c r="M17" s="91">
        <v>4</v>
      </c>
      <c r="N17" s="91">
        <v>4</v>
      </c>
      <c r="O17" s="91">
        <v>4</v>
      </c>
      <c r="P17" s="91">
        <v>4</v>
      </c>
      <c r="Q17" s="91">
        <v>4</v>
      </c>
      <c r="R17" s="91">
        <v>4</v>
      </c>
      <c r="S17" s="91">
        <v>4</v>
      </c>
      <c r="T17" s="91">
        <v>4</v>
      </c>
      <c r="U17" s="91">
        <v>4</v>
      </c>
      <c r="V17" s="91">
        <v>4</v>
      </c>
      <c r="W17" s="91">
        <v>4</v>
      </c>
      <c r="X17" s="91">
        <v>4</v>
      </c>
      <c r="Y17" s="91">
        <v>4</v>
      </c>
      <c r="Z17" s="91">
        <v>4</v>
      </c>
      <c r="AA17" s="91">
        <v>4</v>
      </c>
      <c r="AB17" s="91">
        <v>4</v>
      </c>
      <c r="AC17" s="91">
        <v>4</v>
      </c>
      <c r="AD17" s="91">
        <v>4</v>
      </c>
      <c r="AE17" s="91">
        <v>4</v>
      </c>
      <c r="AF17" s="91">
        <v>3</v>
      </c>
      <c r="AG17" s="91">
        <v>3</v>
      </c>
      <c r="AH17" s="91">
        <v>3</v>
      </c>
      <c r="AI17" s="91">
        <v>3</v>
      </c>
      <c r="AJ17" s="91">
        <v>3</v>
      </c>
      <c r="AK17" s="91">
        <v>3</v>
      </c>
      <c r="AL17" s="91">
        <v>3</v>
      </c>
      <c r="AM17" s="91">
        <v>3</v>
      </c>
      <c r="AN17" s="91">
        <v>3</v>
      </c>
      <c r="AO17" s="91">
        <v>3</v>
      </c>
      <c r="AP17" s="91">
        <v>3</v>
      </c>
      <c r="AQ17" s="91">
        <v>3</v>
      </c>
      <c r="AR17" s="91">
        <v>3</v>
      </c>
      <c r="AS17" s="91">
        <v>3</v>
      </c>
      <c r="AT17" s="91">
        <v>3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5</v>
      </c>
      <c r="M18" s="91">
        <v>5</v>
      </c>
      <c r="N18" s="91">
        <v>5</v>
      </c>
      <c r="O18" s="91">
        <v>5</v>
      </c>
      <c r="P18" s="91">
        <v>5</v>
      </c>
      <c r="Q18" s="91">
        <v>5</v>
      </c>
      <c r="R18" s="91">
        <v>5</v>
      </c>
      <c r="S18" s="91">
        <v>5</v>
      </c>
      <c r="T18" s="91">
        <v>5</v>
      </c>
      <c r="U18" s="91">
        <v>5</v>
      </c>
      <c r="V18" s="91">
        <v>5</v>
      </c>
      <c r="W18" s="91">
        <v>5</v>
      </c>
      <c r="X18" s="91">
        <v>5</v>
      </c>
      <c r="Y18" s="91">
        <v>5</v>
      </c>
      <c r="Z18" s="91">
        <v>5</v>
      </c>
      <c r="AA18" s="91">
        <v>5</v>
      </c>
      <c r="AB18" s="91">
        <v>5</v>
      </c>
      <c r="AC18" s="91">
        <v>5</v>
      </c>
      <c r="AD18" s="91">
        <v>5</v>
      </c>
      <c r="AE18" s="91">
        <v>5</v>
      </c>
      <c r="AF18" s="91">
        <v>4</v>
      </c>
      <c r="AG18" s="91">
        <v>4</v>
      </c>
      <c r="AH18" s="91">
        <v>4</v>
      </c>
      <c r="AI18" s="91">
        <v>4</v>
      </c>
      <c r="AJ18" s="91">
        <v>4</v>
      </c>
      <c r="AK18" s="91">
        <v>4</v>
      </c>
      <c r="AL18" s="91">
        <v>4</v>
      </c>
      <c r="AM18" s="91">
        <v>4</v>
      </c>
      <c r="AN18" s="91">
        <v>4</v>
      </c>
      <c r="AO18" s="91">
        <v>4</v>
      </c>
      <c r="AP18" s="91">
        <v>4</v>
      </c>
      <c r="AQ18" s="91">
        <v>4</v>
      </c>
      <c r="AR18" s="91">
        <v>4</v>
      </c>
      <c r="AS18" s="91">
        <v>4</v>
      </c>
      <c r="AT18" s="91">
        <v>4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6</v>
      </c>
      <c r="M19" s="91">
        <v>6</v>
      </c>
      <c r="N19" s="91">
        <v>6</v>
      </c>
      <c r="O19" s="91">
        <v>6</v>
      </c>
      <c r="P19" s="91">
        <v>6</v>
      </c>
      <c r="Q19" s="91">
        <v>6</v>
      </c>
      <c r="R19" s="91">
        <v>6</v>
      </c>
      <c r="S19" s="91">
        <v>6</v>
      </c>
      <c r="T19" s="91">
        <v>6</v>
      </c>
      <c r="U19" s="91">
        <v>6</v>
      </c>
      <c r="V19" s="91">
        <v>6</v>
      </c>
      <c r="W19" s="91">
        <v>6</v>
      </c>
      <c r="X19" s="91">
        <v>6</v>
      </c>
      <c r="Y19" s="91">
        <v>6</v>
      </c>
      <c r="Z19" s="91">
        <v>6</v>
      </c>
      <c r="AA19" s="91">
        <v>6</v>
      </c>
      <c r="AB19" s="91">
        <v>6</v>
      </c>
      <c r="AC19" s="91">
        <v>6</v>
      </c>
      <c r="AD19" s="91">
        <v>6</v>
      </c>
      <c r="AE19" s="91">
        <v>6</v>
      </c>
      <c r="AF19" s="91">
        <v>5</v>
      </c>
      <c r="AG19" s="91">
        <v>5</v>
      </c>
      <c r="AH19" s="91">
        <v>5</v>
      </c>
      <c r="AI19" s="91">
        <v>5</v>
      </c>
      <c r="AJ19" s="91">
        <v>5</v>
      </c>
      <c r="AK19" s="91">
        <v>5</v>
      </c>
      <c r="AL19" s="91">
        <v>5</v>
      </c>
      <c r="AM19" s="91">
        <v>5</v>
      </c>
      <c r="AN19" s="91">
        <v>5</v>
      </c>
      <c r="AO19" s="91">
        <v>5</v>
      </c>
      <c r="AP19" s="91">
        <v>5</v>
      </c>
      <c r="AQ19" s="91">
        <v>5</v>
      </c>
      <c r="AR19" s="91">
        <v>5</v>
      </c>
      <c r="AS19" s="91">
        <v>5</v>
      </c>
      <c r="AT19" s="91">
        <v>5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7</v>
      </c>
      <c r="M20" s="91">
        <v>7</v>
      </c>
      <c r="N20" s="91">
        <v>7</v>
      </c>
      <c r="O20" s="91">
        <v>7</v>
      </c>
      <c r="P20" s="91">
        <v>7</v>
      </c>
      <c r="Q20" s="91">
        <v>7</v>
      </c>
      <c r="R20" s="91">
        <v>7</v>
      </c>
      <c r="S20" s="91">
        <v>7</v>
      </c>
      <c r="T20" s="91">
        <v>7</v>
      </c>
      <c r="U20" s="91">
        <v>7</v>
      </c>
      <c r="V20" s="91">
        <v>7</v>
      </c>
      <c r="W20" s="91">
        <v>7</v>
      </c>
      <c r="X20" s="91">
        <v>7</v>
      </c>
      <c r="Y20" s="91">
        <v>7</v>
      </c>
      <c r="Z20" s="91">
        <v>7</v>
      </c>
      <c r="AA20" s="91">
        <v>7</v>
      </c>
      <c r="AB20" s="91">
        <v>7</v>
      </c>
      <c r="AC20" s="91">
        <v>7</v>
      </c>
      <c r="AD20" s="91">
        <v>7</v>
      </c>
      <c r="AE20" s="91">
        <v>7</v>
      </c>
      <c r="AF20" s="91">
        <v>6</v>
      </c>
      <c r="AG20" s="91">
        <v>6</v>
      </c>
      <c r="AH20" s="91">
        <v>6</v>
      </c>
      <c r="AI20" s="91">
        <v>6</v>
      </c>
      <c r="AJ20" s="91">
        <v>6</v>
      </c>
      <c r="AK20" s="91">
        <v>6</v>
      </c>
      <c r="AL20" s="91">
        <v>6</v>
      </c>
      <c r="AM20" s="91">
        <v>6</v>
      </c>
      <c r="AN20" s="91">
        <v>6</v>
      </c>
      <c r="AO20" s="91">
        <v>6</v>
      </c>
      <c r="AP20" s="91">
        <v>6</v>
      </c>
      <c r="AQ20" s="91">
        <v>6</v>
      </c>
      <c r="AR20" s="91">
        <v>6</v>
      </c>
      <c r="AS20" s="91">
        <v>6</v>
      </c>
      <c r="AT20" s="91">
        <v>6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8</v>
      </c>
      <c r="M21" s="91">
        <v>8</v>
      </c>
      <c r="N21" s="91">
        <v>8</v>
      </c>
      <c r="O21" s="91">
        <v>8</v>
      </c>
      <c r="P21" s="91">
        <v>8</v>
      </c>
      <c r="Q21" s="91">
        <v>8</v>
      </c>
      <c r="R21" s="91">
        <v>8</v>
      </c>
      <c r="S21" s="91">
        <v>8</v>
      </c>
      <c r="T21" s="91">
        <v>8</v>
      </c>
      <c r="U21" s="91">
        <v>8</v>
      </c>
      <c r="V21" s="91">
        <v>8</v>
      </c>
      <c r="W21" s="91">
        <v>8</v>
      </c>
      <c r="X21" s="91">
        <v>8</v>
      </c>
      <c r="Y21" s="91">
        <v>8</v>
      </c>
      <c r="Z21" s="91">
        <v>8</v>
      </c>
      <c r="AA21" s="91">
        <v>8</v>
      </c>
      <c r="AB21" s="91">
        <v>8</v>
      </c>
      <c r="AC21" s="91">
        <v>8</v>
      </c>
      <c r="AD21" s="91">
        <v>8</v>
      </c>
      <c r="AE21" s="91">
        <v>8</v>
      </c>
      <c r="AF21" s="91">
        <v>7</v>
      </c>
      <c r="AG21" s="91">
        <v>7</v>
      </c>
      <c r="AH21" s="91">
        <v>7</v>
      </c>
      <c r="AI21" s="91">
        <v>7</v>
      </c>
      <c r="AJ21" s="91">
        <v>7</v>
      </c>
      <c r="AK21" s="91">
        <v>7</v>
      </c>
      <c r="AL21" s="91">
        <v>7</v>
      </c>
      <c r="AM21" s="91">
        <v>7</v>
      </c>
      <c r="AN21" s="91">
        <v>7</v>
      </c>
      <c r="AO21" s="91">
        <v>7</v>
      </c>
      <c r="AP21" s="91">
        <v>7</v>
      </c>
      <c r="AQ21" s="91">
        <v>7</v>
      </c>
      <c r="AR21" s="91">
        <v>7</v>
      </c>
      <c r="AS21" s="91">
        <v>7</v>
      </c>
      <c r="AT21" s="91">
        <v>7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9</v>
      </c>
      <c r="M22" s="91">
        <v>9</v>
      </c>
      <c r="N22" s="91">
        <v>9</v>
      </c>
      <c r="O22" s="91">
        <v>9</v>
      </c>
      <c r="P22" s="91">
        <v>9</v>
      </c>
      <c r="Q22" s="91">
        <v>9</v>
      </c>
      <c r="R22" s="91">
        <v>9</v>
      </c>
      <c r="S22" s="91">
        <v>9</v>
      </c>
      <c r="T22" s="91">
        <v>9</v>
      </c>
      <c r="U22" s="91">
        <v>9</v>
      </c>
      <c r="V22" s="91">
        <v>9</v>
      </c>
      <c r="W22" s="91">
        <v>9</v>
      </c>
      <c r="X22" s="91">
        <v>9</v>
      </c>
      <c r="Y22" s="91">
        <v>9</v>
      </c>
      <c r="Z22" s="91">
        <v>9</v>
      </c>
      <c r="AA22" s="91">
        <v>9</v>
      </c>
      <c r="AB22" s="91">
        <v>9</v>
      </c>
      <c r="AC22" s="91">
        <v>9</v>
      </c>
      <c r="AD22" s="91">
        <v>9</v>
      </c>
      <c r="AE22" s="91">
        <v>9</v>
      </c>
      <c r="AF22" s="91">
        <v>8</v>
      </c>
      <c r="AG22" s="91">
        <v>8</v>
      </c>
      <c r="AH22" s="91">
        <v>8</v>
      </c>
      <c r="AI22" s="91">
        <v>8</v>
      </c>
      <c r="AJ22" s="91">
        <v>8</v>
      </c>
      <c r="AK22" s="91">
        <v>8</v>
      </c>
      <c r="AL22" s="91">
        <v>8</v>
      </c>
      <c r="AM22" s="91">
        <v>8</v>
      </c>
      <c r="AN22" s="91">
        <v>8</v>
      </c>
      <c r="AO22" s="91">
        <v>8</v>
      </c>
      <c r="AP22" s="91">
        <v>8</v>
      </c>
      <c r="AQ22" s="91">
        <v>8</v>
      </c>
      <c r="AR22" s="91">
        <v>8</v>
      </c>
      <c r="AS22" s="91">
        <v>8</v>
      </c>
      <c r="AT22" s="91">
        <v>8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10</v>
      </c>
      <c r="M23" s="91">
        <v>10</v>
      </c>
      <c r="N23" s="91">
        <v>10</v>
      </c>
      <c r="O23" s="91">
        <v>10</v>
      </c>
      <c r="P23" s="91">
        <v>10</v>
      </c>
      <c r="Q23" s="91">
        <v>10</v>
      </c>
      <c r="R23" s="91">
        <v>10</v>
      </c>
      <c r="S23" s="91">
        <v>10</v>
      </c>
      <c r="T23" s="91">
        <v>10</v>
      </c>
      <c r="U23" s="91">
        <v>10</v>
      </c>
      <c r="V23" s="91">
        <v>10</v>
      </c>
      <c r="W23" s="91">
        <v>10</v>
      </c>
      <c r="X23" s="91">
        <v>10</v>
      </c>
      <c r="Y23" s="91">
        <v>10</v>
      </c>
      <c r="Z23" s="91">
        <v>10</v>
      </c>
      <c r="AA23" s="91">
        <v>10</v>
      </c>
      <c r="AB23" s="91">
        <v>10</v>
      </c>
      <c r="AC23" s="91">
        <v>10</v>
      </c>
      <c r="AD23" s="91">
        <v>10</v>
      </c>
      <c r="AE23" s="91">
        <v>10</v>
      </c>
      <c r="AF23" s="91">
        <v>9</v>
      </c>
      <c r="AG23" s="91">
        <v>9</v>
      </c>
      <c r="AH23" s="91">
        <v>9</v>
      </c>
      <c r="AI23" s="91">
        <v>9</v>
      </c>
      <c r="AJ23" s="91">
        <v>9</v>
      </c>
      <c r="AK23" s="91">
        <v>9</v>
      </c>
      <c r="AL23" s="91">
        <v>9</v>
      </c>
      <c r="AM23" s="91">
        <v>9</v>
      </c>
      <c r="AN23" s="91">
        <v>9</v>
      </c>
      <c r="AO23" s="91">
        <v>9</v>
      </c>
      <c r="AP23" s="91">
        <v>9</v>
      </c>
      <c r="AQ23" s="91">
        <v>9</v>
      </c>
      <c r="AR23" s="91">
        <v>9</v>
      </c>
      <c r="AS23" s="91">
        <v>9</v>
      </c>
      <c r="AT23" s="91">
        <v>9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11</v>
      </c>
      <c r="M24" s="91">
        <v>11</v>
      </c>
      <c r="N24" s="91">
        <v>11</v>
      </c>
      <c r="O24" s="91">
        <v>11</v>
      </c>
      <c r="P24" s="91">
        <v>11</v>
      </c>
      <c r="Q24" s="91">
        <v>11</v>
      </c>
      <c r="R24" s="91">
        <v>11</v>
      </c>
      <c r="S24" s="91">
        <v>11</v>
      </c>
      <c r="T24" s="91">
        <v>11</v>
      </c>
      <c r="U24" s="91">
        <v>11</v>
      </c>
      <c r="V24" s="91">
        <v>11</v>
      </c>
      <c r="W24" s="91">
        <v>11</v>
      </c>
      <c r="X24" s="91">
        <v>11</v>
      </c>
      <c r="Y24" s="91">
        <v>11</v>
      </c>
      <c r="Z24" s="91">
        <v>11</v>
      </c>
      <c r="AA24" s="91">
        <v>11</v>
      </c>
      <c r="AB24" s="91">
        <v>11</v>
      </c>
      <c r="AC24" s="91">
        <v>11</v>
      </c>
      <c r="AD24" s="91">
        <v>11</v>
      </c>
      <c r="AE24" s="91">
        <v>11</v>
      </c>
      <c r="AF24" s="91">
        <v>10</v>
      </c>
      <c r="AG24" s="91">
        <v>10</v>
      </c>
      <c r="AH24" s="91">
        <v>10</v>
      </c>
      <c r="AI24" s="91">
        <v>10</v>
      </c>
      <c r="AJ24" s="91">
        <v>10</v>
      </c>
      <c r="AK24" s="91">
        <v>10</v>
      </c>
      <c r="AL24" s="91">
        <v>10</v>
      </c>
      <c r="AM24" s="91">
        <v>10</v>
      </c>
      <c r="AN24" s="91">
        <v>10</v>
      </c>
      <c r="AO24" s="91">
        <v>10</v>
      </c>
      <c r="AP24" s="91">
        <v>10</v>
      </c>
      <c r="AQ24" s="91">
        <v>10</v>
      </c>
      <c r="AR24" s="91">
        <v>10</v>
      </c>
      <c r="AS24" s="91">
        <v>10</v>
      </c>
      <c r="AT24" s="91">
        <v>10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L20" sqref="L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240</v>
      </c>
      <c r="M5" s="17" t="s">
        <v>943</v>
      </c>
      <c r="N5" s="56" t="s">
        <v>1276</v>
      </c>
      <c r="O5" s="56">
        <v>140</v>
      </c>
      <c r="P5" s="17">
        <f>Q5*7</f>
        <v>140</v>
      </c>
      <c r="Q5" s="17">
        <v>20</v>
      </c>
      <c r="R5" s="156">
        <f>IF((1-(1-O5/100000)^1440)=0,"",1-(1-O5/100000)^1440)</f>
        <v>0.86700084690727164</v>
      </c>
      <c r="S5" s="172">
        <f>IF((O5/100000)*1440=0,"",(O5/100000)*1440)</f>
        <v>2.016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240</v>
      </c>
      <c r="M6" s="10" t="s">
        <v>944</v>
      </c>
      <c r="N6" s="55" t="s">
        <v>1277</v>
      </c>
      <c r="O6" s="55">
        <v>105</v>
      </c>
      <c r="P6" s="10">
        <f t="shared" ref="P6:P69" si="3">Q6*7</f>
        <v>105</v>
      </c>
      <c r="Q6" s="10">
        <v>15</v>
      </c>
      <c r="R6" s="155">
        <f t="shared" ref="R6:R69" si="4">IF((1-(1-O6/100000)^1440)=0,"",1-(1-O6/100000)^1440)</f>
        <v>0.77970646150782086</v>
      </c>
      <c r="S6" s="171">
        <f t="shared" ref="S6:S69" si="5">IF((O6/100000)*1440=0,"",(O6/100000)*1440)</f>
        <v>1.512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240</v>
      </c>
      <c r="M7" s="153" t="s">
        <v>945</v>
      </c>
      <c r="N7" s="55" t="s">
        <v>1278</v>
      </c>
      <c r="O7" s="55">
        <v>70</v>
      </c>
      <c r="P7" s="10">
        <f t="shared" si="3"/>
        <v>70</v>
      </c>
      <c r="Q7" s="10">
        <v>10</v>
      </c>
      <c r="R7" s="155">
        <f t="shared" si="4"/>
        <v>0.63518064463751056</v>
      </c>
      <c r="S7" s="171">
        <f t="shared" si="5"/>
        <v>1.008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240</v>
      </c>
      <c r="N8" s="55" t="s">
        <v>1279</v>
      </c>
      <c r="O8" s="55">
        <v>140</v>
      </c>
      <c r="P8" s="10">
        <f t="shared" si="3"/>
        <v>140</v>
      </c>
      <c r="Q8" s="10">
        <v>20</v>
      </c>
      <c r="R8" s="155">
        <f t="shared" si="4"/>
        <v>0.86700084690727164</v>
      </c>
      <c r="S8" s="171">
        <f t="shared" si="5"/>
        <v>2.016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240</v>
      </c>
      <c r="N9" s="55" t="s">
        <v>1280</v>
      </c>
      <c r="O9" s="55">
        <v>105</v>
      </c>
      <c r="P9" s="10">
        <f t="shared" si="3"/>
        <v>105</v>
      </c>
      <c r="Q9" s="10">
        <v>15</v>
      </c>
      <c r="R9" s="155">
        <f t="shared" si="4"/>
        <v>0.77970646150782086</v>
      </c>
      <c r="S9" s="171">
        <f t="shared" si="5"/>
        <v>1.512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240</v>
      </c>
      <c r="N10" s="55" t="s">
        <v>1281</v>
      </c>
      <c r="O10" s="55">
        <v>70</v>
      </c>
      <c r="P10" s="10">
        <f t="shared" si="3"/>
        <v>70</v>
      </c>
      <c r="Q10" s="10">
        <v>10</v>
      </c>
      <c r="R10" s="155">
        <f t="shared" si="4"/>
        <v>0.63518064463751056</v>
      </c>
      <c r="S10" s="171">
        <f t="shared" si="5"/>
        <v>1.008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240</v>
      </c>
      <c r="N11" s="55" t="s">
        <v>1282</v>
      </c>
      <c r="O11" s="55">
        <v>140</v>
      </c>
      <c r="P11" s="10">
        <f t="shared" si="3"/>
        <v>140</v>
      </c>
      <c r="Q11" s="10">
        <v>20</v>
      </c>
      <c r="R11" s="155">
        <f t="shared" si="4"/>
        <v>0.86700084690727164</v>
      </c>
      <c r="S11" s="171">
        <f t="shared" si="5"/>
        <v>2.016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240</v>
      </c>
      <c r="N12" s="55" t="s">
        <v>1283</v>
      </c>
      <c r="O12" s="55">
        <v>105</v>
      </c>
      <c r="P12" s="10">
        <f t="shared" si="3"/>
        <v>105</v>
      </c>
      <c r="Q12" s="10">
        <v>15</v>
      </c>
      <c r="R12" s="155">
        <f t="shared" si="4"/>
        <v>0.77970646150782086</v>
      </c>
      <c r="S12" s="171">
        <f t="shared" si="5"/>
        <v>1.512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240</v>
      </c>
      <c r="N13" s="55" t="s">
        <v>1284</v>
      </c>
      <c r="O13" s="55">
        <v>70</v>
      </c>
      <c r="P13" s="10">
        <f t="shared" si="3"/>
        <v>70</v>
      </c>
      <c r="Q13" s="10">
        <v>10</v>
      </c>
      <c r="R13" s="155">
        <f t="shared" si="4"/>
        <v>0.63518064463751056</v>
      </c>
      <c r="S13" s="171">
        <f t="shared" si="5"/>
        <v>1.008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300</v>
      </c>
      <c r="M25" s="17"/>
      <c r="N25" s="56" t="s">
        <v>1285</v>
      </c>
      <c r="O25" s="56">
        <v>70</v>
      </c>
      <c r="P25" s="17">
        <f t="shared" si="3"/>
        <v>70</v>
      </c>
      <c r="Q25" s="17">
        <v>10</v>
      </c>
      <c r="R25" s="156">
        <f t="shared" si="4"/>
        <v>0.63518064463751056</v>
      </c>
      <c r="S25" s="172">
        <f t="shared" si="5"/>
        <v>1.008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300</v>
      </c>
      <c r="N26" s="55" t="s">
        <v>1286</v>
      </c>
      <c r="O26" s="55">
        <v>56</v>
      </c>
      <c r="P26" s="10">
        <f t="shared" si="3"/>
        <v>56</v>
      </c>
      <c r="Q26" s="10">
        <v>8</v>
      </c>
      <c r="R26" s="155">
        <f t="shared" si="4"/>
        <v>0.55363839250588387</v>
      </c>
      <c r="S26" s="171">
        <f t="shared" si="5"/>
        <v>0.80639999999999989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300</v>
      </c>
      <c r="N27" s="55" t="s">
        <v>1287</v>
      </c>
      <c r="O27" s="55">
        <v>35</v>
      </c>
      <c r="P27" s="10">
        <f t="shared" si="3"/>
        <v>35</v>
      </c>
      <c r="Q27" s="10">
        <v>5</v>
      </c>
      <c r="R27" s="155">
        <f t="shared" si="4"/>
        <v>0.39594390967671056</v>
      </c>
      <c r="S27" s="171">
        <f t="shared" si="5"/>
        <v>0.504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300</v>
      </c>
      <c r="N28" s="55" t="s">
        <v>1288</v>
      </c>
      <c r="O28" s="56">
        <v>70</v>
      </c>
      <c r="P28" s="10">
        <f t="shared" si="3"/>
        <v>70</v>
      </c>
      <c r="Q28" s="10">
        <v>10</v>
      </c>
      <c r="R28" s="155">
        <f t="shared" si="4"/>
        <v>0.63518064463751056</v>
      </c>
      <c r="S28" s="171">
        <f t="shared" si="5"/>
        <v>1.008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300</v>
      </c>
      <c r="N29" s="55" t="s">
        <v>1289</v>
      </c>
      <c r="O29" s="55">
        <v>56</v>
      </c>
      <c r="P29" s="10">
        <f t="shared" si="3"/>
        <v>56</v>
      </c>
      <c r="Q29" s="10">
        <v>8</v>
      </c>
      <c r="R29" s="155">
        <f t="shared" si="4"/>
        <v>0.55363839250588387</v>
      </c>
      <c r="S29" s="171">
        <f t="shared" si="5"/>
        <v>0.80639999999999989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300</v>
      </c>
      <c r="N30" s="55" t="s">
        <v>1290</v>
      </c>
      <c r="O30" s="55">
        <v>35</v>
      </c>
      <c r="P30" s="10">
        <f t="shared" si="3"/>
        <v>35</v>
      </c>
      <c r="Q30" s="10">
        <v>5</v>
      </c>
      <c r="R30" s="155">
        <f t="shared" si="4"/>
        <v>0.39594390967671056</v>
      </c>
      <c r="S30" s="171">
        <f t="shared" si="5"/>
        <v>0.504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300</v>
      </c>
      <c r="M45" s="17"/>
      <c r="N45" s="56" t="s">
        <v>1291</v>
      </c>
      <c r="O45" s="56">
        <v>70</v>
      </c>
      <c r="P45" s="17">
        <f t="shared" si="3"/>
        <v>70</v>
      </c>
      <c r="Q45" s="17">
        <v>10</v>
      </c>
      <c r="R45" s="156">
        <f t="shared" si="4"/>
        <v>0.63518064463751056</v>
      </c>
      <c r="S45" s="172">
        <f t="shared" si="5"/>
        <v>1.008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300</v>
      </c>
      <c r="N46" s="55" t="s">
        <v>1292</v>
      </c>
      <c r="O46" s="55">
        <v>56</v>
      </c>
      <c r="P46" s="10">
        <f t="shared" si="3"/>
        <v>56</v>
      </c>
      <c r="Q46" s="10">
        <v>8</v>
      </c>
      <c r="R46" s="155">
        <f t="shared" si="4"/>
        <v>0.55363839250588387</v>
      </c>
      <c r="S46" s="171">
        <f t="shared" si="5"/>
        <v>0.80639999999999989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300</v>
      </c>
      <c r="N47" s="55" t="s">
        <v>1293</v>
      </c>
      <c r="O47" s="55">
        <v>35</v>
      </c>
      <c r="P47" s="10">
        <f t="shared" si="3"/>
        <v>35</v>
      </c>
      <c r="Q47" s="10">
        <v>5</v>
      </c>
      <c r="R47" s="155">
        <f t="shared" si="4"/>
        <v>0.39594390967671056</v>
      </c>
      <c r="S47" s="171">
        <f t="shared" si="5"/>
        <v>0.504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300</v>
      </c>
      <c r="N48" s="55" t="s">
        <v>1294</v>
      </c>
      <c r="O48" s="55">
        <v>70</v>
      </c>
      <c r="P48" s="10">
        <f t="shared" si="3"/>
        <v>70</v>
      </c>
      <c r="Q48" s="10">
        <v>10</v>
      </c>
      <c r="R48" s="155">
        <f t="shared" si="4"/>
        <v>0.63518064463751056</v>
      </c>
      <c r="S48" s="171">
        <f t="shared" si="5"/>
        <v>1.008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300</v>
      </c>
      <c r="N49" s="55" t="s">
        <v>1296</v>
      </c>
      <c r="O49" s="55">
        <v>56</v>
      </c>
      <c r="P49" s="10">
        <f t="shared" si="3"/>
        <v>56</v>
      </c>
      <c r="Q49" s="10">
        <v>8</v>
      </c>
      <c r="R49" s="155">
        <f t="shared" si="4"/>
        <v>0.55363839250588387</v>
      </c>
      <c r="S49" s="171">
        <f t="shared" si="5"/>
        <v>0.80639999999999989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300</v>
      </c>
      <c r="N50" s="55" t="s">
        <v>1295</v>
      </c>
      <c r="O50" s="55">
        <v>35</v>
      </c>
      <c r="P50" s="10">
        <f t="shared" si="3"/>
        <v>35</v>
      </c>
      <c r="Q50" s="10">
        <v>5</v>
      </c>
      <c r="R50" s="155">
        <f t="shared" si="4"/>
        <v>0.39594390967671056</v>
      </c>
      <c r="S50" s="171">
        <f t="shared" si="5"/>
        <v>0.504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300</v>
      </c>
      <c r="N51" s="55" t="s">
        <v>1297</v>
      </c>
      <c r="O51" s="55">
        <v>70</v>
      </c>
      <c r="P51" s="10">
        <f t="shared" si="3"/>
        <v>70</v>
      </c>
      <c r="Q51" s="10">
        <v>10</v>
      </c>
      <c r="R51" s="155">
        <f t="shared" si="4"/>
        <v>0.63518064463751056</v>
      </c>
      <c r="S51" s="171">
        <f t="shared" si="5"/>
        <v>1.008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300</v>
      </c>
      <c r="N52" s="55" t="s">
        <v>1299</v>
      </c>
      <c r="O52" s="55">
        <v>56</v>
      </c>
      <c r="P52" s="10">
        <f t="shared" si="3"/>
        <v>56</v>
      </c>
      <c r="Q52" s="10">
        <v>8</v>
      </c>
      <c r="R52" s="155">
        <f t="shared" si="4"/>
        <v>0.55363839250588387</v>
      </c>
      <c r="S52" s="171">
        <f t="shared" si="5"/>
        <v>0.80639999999999989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300</v>
      </c>
      <c r="N53" s="55" t="s">
        <v>1298</v>
      </c>
      <c r="O53" s="55">
        <v>35</v>
      </c>
      <c r="P53" s="10">
        <f t="shared" si="3"/>
        <v>35</v>
      </c>
      <c r="Q53" s="10">
        <v>5</v>
      </c>
      <c r="R53" s="155">
        <f t="shared" si="4"/>
        <v>0.39594390967671056</v>
      </c>
      <c r="S53" s="171">
        <f t="shared" si="5"/>
        <v>0.504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300</v>
      </c>
      <c r="N54" s="55" t="s">
        <v>1300</v>
      </c>
      <c r="O54" s="55">
        <v>70</v>
      </c>
      <c r="P54" s="10">
        <f t="shared" si="3"/>
        <v>70</v>
      </c>
      <c r="Q54" s="10">
        <v>10</v>
      </c>
      <c r="R54" s="155">
        <f t="shared" si="4"/>
        <v>0.63518064463751056</v>
      </c>
      <c r="S54" s="171">
        <f t="shared" si="5"/>
        <v>1.008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300</v>
      </c>
      <c r="M55" s="10"/>
      <c r="N55" s="55" t="s">
        <v>1302</v>
      </c>
      <c r="O55" s="55">
        <v>56</v>
      </c>
      <c r="P55" s="10">
        <f t="shared" si="3"/>
        <v>56</v>
      </c>
      <c r="Q55" s="10">
        <v>8</v>
      </c>
      <c r="R55" s="155">
        <f t="shared" si="4"/>
        <v>0.55363839250588387</v>
      </c>
      <c r="S55" s="171">
        <f t="shared" si="5"/>
        <v>0.80639999999999989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300</v>
      </c>
      <c r="M56" s="10"/>
      <c r="N56" s="55" t="s">
        <v>1301</v>
      </c>
      <c r="O56" s="55">
        <v>35</v>
      </c>
      <c r="P56" s="10">
        <f t="shared" si="3"/>
        <v>35</v>
      </c>
      <c r="Q56" s="10">
        <v>5</v>
      </c>
      <c r="R56" s="155">
        <f t="shared" si="4"/>
        <v>0.39594390967671056</v>
      </c>
      <c r="S56" s="171">
        <f t="shared" si="5"/>
        <v>0.504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300</v>
      </c>
      <c r="M57" s="10"/>
      <c r="N57" s="55" t="s">
        <v>1305</v>
      </c>
      <c r="O57" s="55">
        <v>70</v>
      </c>
      <c r="P57" s="10">
        <f t="shared" si="3"/>
        <v>70</v>
      </c>
      <c r="Q57" s="10">
        <v>10</v>
      </c>
      <c r="R57" s="155">
        <f t="shared" si="4"/>
        <v>0.63518064463751056</v>
      </c>
      <c r="S57" s="171">
        <f t="shared" si="5"/>
        <v>1.008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300</v>
      </c>
      <c r="M58" s="10"/>
      <c r="N58" s="55" t="s">
        <v>1307</v>
      </c>
      <c r="O58" s="55">
        <v>56</v>
      </c>
      <c r="P58" s="10">
        <f t="shared" si="3"/>
        <v>56</v>
      </c>
      <c r="Q58" s="10">
        <v>8</v>
      </c>
      <c r="R58" s="155">
        <f t="shared" si="4"/>
        <v>0.55363839250588387</v>
      </c>
      <c r="S58" s="171">
        <f t="shared" si="5"/>
        <v>0.80639999999999989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300</v>
      </c>
      <c r="M59" s="10"/>
      <c r="N59" s="55" t="s">
        <v>1306</v>
      </c>
      <c r="O59" s="55">
        <v>35</v>
      </c>
      <c r="P59" s="10">
        <f t="shared" si="3"/>
        <v>35</v>
      </c>
      <c r="Q59" s="10">
        <v>5</v>
      </c>
      <c r="R59" s="155">
        <f t="shared" si="4"/>
        <v>0.39594390967671056</v>
      </c>
      <c r="S59" s="171">
        <f t="shared" si="5"/>
        <v>0.504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300</v>
      </c>
      <c r="M60" s="10"/>
      <c r="N60" s="55" t="s">
        <v>1308</v>
      </c>
      <c r="O60" s="55">
        <v>70</v>
      </c>
      <c r="P60" s="10">
        <f t="shared" si="3"/>
        <v>70</v>
      </c>
      <c r="Q60" s="10">
        <v>10</v>
      </c>
      <c r="R60" s="155">
        <f t="shared" si="4"/>
        <v>0.63518064463751056</v>
      </c>
      <c r="S60" s="171">
        <f t="shared" si="5"/>
        <v>1.008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300</v>
      </c>
      <c r="M61" s="10"/>
      <c r="N61" s="55" t="s">
        <v>1310</v>
      </c>
      <c r="O61" s="55">
        <v>56</v>
      </c>
      <c r="P61" s="10">
        <f t="shared" si="3"/>
        <v>56</v>
      </c>
      <c r="Q61" s="10">
        <v>8</v>
      </c>
      <c r="R61" s="155">
        <f t="shared" si="4"/>
        <v>0.55363839250588387</v>
      </c>
      <c r="S61" s="171">
        <f t="shared" si="5"/>
        <v>0.80639999999999989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300</v>
      </c>
      <c r="M62" s="10"/>
      <c r="N62" s="55" t="s">
        <v>1309</v>
      </c>
      <c r="O62" s="55">
        <v>35</v>
      </c>
      <c r="P62" s="10">
        <f t="shared" si="3"/>
        <v>35</v>
      </c>
      <c r="Q62" s="10">
        <v>5</v>
      </c>
      <c r="R62" s="155">
        <f t="shared" si="4"/>
        <v>0.39594390967671056</v>
      </c>
      <c r="S62" s="171">
        <f t="shared" si="5"/>
        <v>0.504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300</v>
      </c>
      <c r="M63" s="10"/>
      <c r="N63" s="55" t="s">
        <v>1311</v>
      </c>
      <c r="O63" s="55">
        <v>70</v>
      </c>
      <c r="P63" s="10">
        <f t="shared" si="3"/>
        <v>70</v>
      </c>
      <c r="Q63" s="10">
        <v>10</v>
      </c>
      <c r="R63" s="155">
        <f t="shared" si="4"/>
        <v>0.63518064463751056</v>
      </c>
      <c r="S63" s="171">
        <f t="shared" si="5"/>
        <v>1.008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300</v>
      </c>
      <c r="M64" s="10"/>
      <c r="N64" s="55" t="s">
        <v>1313</v>
      </c>
      <c r="O64" s="55">
        <v>56</v>
      </c>
      <c r="P64" s="10">
        <f t="shared" si="3"/>
        <v>56</v>
      </c>
      <c r="Q64" s="10">
        <v>8</v>
      </c>
      <c r="R64" s="155">
        <f t="shared" si="4"/>
        <v>0.55363839250588387</v>
      </c>
      <c r="S64" s="171">
        <f t="shared" si="5"/>
        <v>0.80639999999999989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300</v>
      </c>
      <c r="M65" s="10"/>
      <c r="N65" s="55" t="s">
        <v>1312</v>
      </c>
      <c r="O65" s="55">
        <v>35</v>
      </c>
      <c r="P65" s="10">
        <f t="shared" si="3"/>
        <v>35</v>
      </c>
      <c r="Q65" s="10">
        <v>5</v>
      </c>
      <c r="R65" s="155">
        <f t="shared" si="4"/>
        <v>0.39594390967671056</v>
      </c>
      <c r="S65" s="171">
        <f t="shared" si="5"/>
        <v>0.504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300</v>
      </c>
      <c r="N66" s="55" t="s">
        <v>1314</v>
      </c>
      <c r="O66" s="55">
        <v>175</v>
      </c>
      <c r="P66" s="10">
        <f t="shared" si="3"/>
        <v>175</v>
      </c>
      <c r="Q66" s="10">
        <v>25</v>
      </c>
      <c r="R66" s="155">
        <f t="shared" si="4"/>
        <v>0.91971781802635189</v>
      </c>
      <c r="S66" s="171">
        <f t="shared" si="5"/>
        <v>2.52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300</v>
      </c>
      <c r="N67" s="55" t="s">
        <v>1315</v>
      </c>
      <c r="O67" s="55">
        <v>140</v>
      </c>
      <c r="P67" s="10">
        <f t="shared" si="3"/>
        <v>140</v>
      </c>
      <c r="Q67" s="10">
        <v>20</v>
      </c>
      <c r="R67" s="155">
        <f t="shared" si="4"/>
        <v>0.86700084690727164</v>
      </c>
      <c r="S67" s="171">
        <f t="shared" si="5"/>
        <v>2.016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300</v>
      </c>
      <c r="N68" s="55" t="s">
        <v>1316</v>
      </c>
      <c r="O68" s="55">
        <v>70</v>
      </c>
      <c r="P68" s="10">
        <f t="shared" si="3"/>
        <v>70</v>
      </c>
      <c r="Q68" s="10">
        <v>10</v>
      </c>
      <c r="R68" s="155">
        <f t="shared" si="4"/>
        <v>0.63518064463751056</v>
      </c>
      <c r="S68" s="171">
        <f t="shared" si="5"/>
        <v>1.008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8">Q70*7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8"/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8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8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8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8"/>
        <v>0</v>
      </c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8"/>
        <v>0</v>
      </c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8"/>
        <v>0</v>
      </c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8"/>
        <v>0</v>
      </c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8"/>
        <v>0</v>
      </c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8"/>
        <v>0</v>
      </c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8"/>
        <v>0</v>
      </c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8"/>
        <v>0</v>
      </c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8"/>
        <v>0</v>
      </c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8"/>
        <v>0</v>
      </c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8"/>
        <v>0</v>
      </c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8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8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8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8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8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8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8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8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8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8"/>
        <v>0</v>
      </c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8"/>
        <v>0</v>
      </c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8"/>
        <v>0</v>
      </c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8"/>
        <v>0</v>
      </c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8"/>
        <v>0</v>
      </c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8"/>
        <v>0</v>
      </c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8"/>
        <v>0</v>
      </c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8"/>
        <v>0</v>
      </c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8"/>
        <v>0</v>
      </c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8"/>
        <v>0</v>
      </c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8"/>
        <v>0</v>
      </c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8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8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8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8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8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8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8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8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5">Q134*7</f>
        <v>0</v>
      </c>
      <c r="R134" s="155" t="str">
        <f t="shared" ref="R134:R197" si="16">IF((1-(1-O134/100000)^1440)=0,"",1-(1-O134/100000)^1440)</f>
        <v/>
      </c>
      <c r="S134" s="171" t="str">
        <f t="shared" ref="S134:S197" si="17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5"/>
        <v>0</v>
      </c>
      <c r="Q135" s="10"/>
      <c r="R135" s="155" t="str">
        <f t="shared" si="16"/>
        <v/>
      </c>
      <c r="S135" s="171" t="str">
        <f t="shared" si="17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5"/>
        <v>0</v>
      </c>
      <c r="Q136" s="10"/>
      <c r="R136" s="155" t="str">
        <f t="shared" si="16"/>
        <v/>
      </c>
      <c r="S136" s="171" t="str">
        <f t="shared" si="17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5"/>
        <v>0</v>
      </c>
      <c r="Q137" s="10"/>
      <c r="R137" s="155" t="str">
        <f t="shared" si="16"/>
        <v/>
      </c>
      <c r="S137" s="171" t="str">
        <f t="shared" si="17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5"/>
        <v>0</v>
      </c>
      <c r="Q138" s="10"/>
      <c r="R138" s="155" t="str">
        <f t="shared" si="16"/>
        <v/>
      </c>
      <c r="S138" s="171" t="str">
        <f t="shared" si="17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5"/>
        <v>0</v>
      </c>
      <c r="Q139" s="10"/>
      <c r="R139" s="155" t="str">
        <f t="shared" si="16"/>
        <v/>
      </c>
      <c r="S139" s="171" t="str">
        <f t="shared" si="17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5"/>
        <v>0</v>
      </c>
      <c r="Q140" s="10"/>
      <c r="R140" s="155" t="str">
        <f t="shared" si="16"/>
        <v/>
      </c>
      <c r="S140" s="171" t="str">
        <f t="shared" si="17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5"/>
        <v>0</v>
      </c>
      <c r="Q141" s="10"/>
      <c r="R141" s="155" t="str">
        <f t="shared" si="16"/>
        <v/>
      </c>
      <c r="S141" s="171" t="str">
        <f t="shared" si="17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5"/>
        <v>0</v>
      </c>
      <c r="Q142" s="10"/>
      <c r="R142" s="155" t="str">
        <f t="shared" si="16"/>
        <v/>
      </c>
      <c r="S142" s="171" t="str">
        <f t="shared" si="17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5"/>
        <v>0</v>
      </c>
      <c r="Q143" s="10"/>
      <c r="R143" s="155" t="str">
        <f t="shared" si="16"/>
        <v/>
      </c>
      <c r="S143" s="171" t="str">
        <f t="shared" si="17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5"/>
        <v>0</v>
      </c>
      <c r="Q144" s="10"/>
      <c r="R144" s="155" t="str">
        <f t="shared" si="16"/>
        <v/>
      </c>
      <c r="S144" s="171" t="str">
        <f t="shared" si="17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5"/>
        <v>0</v>
      </c>
      <c r="Q145" s="17"/>
      <c r="R145" s="156" t="str">
        <f t="shared" si="16"/>
        <v/>
      </c>
      <c r="S145" s="172" t="str">
        <f t="shared" si="17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5"/>
        <v>0</v>
      </c>
      <c r="R146" s="155" t="str">
        <f t="shared" si="16"/>
        <v/>
      </c>
      <c r="S146" s="171" t="str">
        <f t="shared" si="17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5"/>
        <v>0</v>
      </c>
      <c r="R147" s="155" t="str">
        <f t="shared" si="16"/>
        <v/>
      </c>
      <c r="S147" s="171" t="str">
        <f t="shared" si="17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5"/>
        <v>0</v>
      </c>
      <c r="R148" s="155" t="str">
        <f t="shared" si="16"/>
        <v/>
      </c>
      <c r="S148" s="171" t="str">
        <f t="shared" si="17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5"/>
        <v>0</v>
      </c>
      <c r="R149" s="155" t="str">
        <f t="shared" si="16"/>
        <v/>
      </c>
      <c r="S149" s="171" t="str">
        <f t="shared" si="17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5"/>
        <v>0</v>
      </c>
      <c r="R150" s="155" t="str">
        <f t="shared" si="16"/>
        <v/>
      </c>
      <c r="S150" s="171" t="str">
        <f t="shared" si="17"/>
        <v/>
      </c>
      <c r="X150" s="155" t="str">
        <f t="shared" ref="X150:X213" si="18">IF((1-(1-U150/100000)^L150)=0,"",1-(1-U150/100000)^L150)</f>
        <v/>
      </c>
      <c r="Y150" s="171" t="str">
        <f t="shared" ref="Y150:Y213" si="19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5"/>
        <v>0</v>
      </c>
      <c r="R151" s="155" t="str">
        <f t="shared" si="16"/>
        <v/>
      </c>
      <c r="S151" s="171" t="str">
        <f t="shared" si="17"/>
        <v/>
      </c>
      <c r="X151" s="155" t="str">
        <f t="shared" si="18"/>
        <v/>
      </c>
      <c r="Y151" s="171" t="str">
        <f t="shared" si="19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5"/>
        <v>0</v>
      </c>
      <c r="R152" s="155" t="str">
        <f t="shared" si="16"/>
        <v/>
      </c>
      <c r="S152" s="171" t="str">
        <f t="shared" si="17"/>
        <v/>
      </c>
      <c r="X152" s="155" t="str">
        <f t="shared" si="18"/>
        <v/>
      </c>
      <c r="Y152" s="171" t="str">
        <f t="shared" si="19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5"/>
        <v>0</v>
      </c>
      <c r="R153" s="155" t="str">
        <f t="shared" si="16"/>
        <v/>
      </c>
      <c r="S153" s="171" t="str">
        <f t="shared" si="17"/>
        <v/>
      </c>
      <c r="X153" s="155" t="str">
        <f t="shared" si="18"/>
        <v/>
      </c>
      <c r="Y153" s="171" t="str">
        <f t="shared" si="19"/>
        <v/>
      </c>
    </row>
    <row r="154" spans="1:111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5"/>
        <v>0</v>
      </c>
      <c r="R154" s="155" t="str">
        <f t="shared" si="16"/>
        <v/>
      </c>
      <c r="S154" s="171" t="str">
        <f t="shared" si="17"/>
        <v/>
      </c>
      <c r="X154" s="155" t="str">
        <f t="shared" si="18"/>
        <v/>
      </c>
      <c r="Y154" s="171" t="str">
        <f t="shared" si="19"/>
        <v/>
      </c>
    </row>
    <row r="155" spans="1:111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5"/>
        <v>0</v>
      </c>
      <c r="Q155" s="10"/>
      <c r="R155" s="155" t="str">
        <f t="shared" si="16"/>
        <v/>
      </c>
      <c r="S155" s="171" t="str">
        <f t="shared" si="17"/>
        <v/>
      </c>
      <c r="T155" s="161"/>
      <c r="U155" s="55"/>
      <c r="V155" s="55"/>
      <c r="W155" s="55"/>
      <c r="X155" s="155" t="str">
        <f t="shared" si="18"/>
        <v/>
      </c>
      <c r="Y155" s="171" t="str">
        <f t="shared" si="19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5"/>
        <v>0</v>
      </c>
      <c r="Q156" s="10"/>
      <c r="R156" s="155" t="str">
        <f t="shared" si="16"/>
        <v/>
      </c>
      <c r="S156" s="171" t="str">
        <f t="shared" si="17"/>
        <v/>
      </c>
      <c r="T156" s="161"/>
      <c r="U156" s="55"/>
      <c r="V156" s="55"/>
      <c r="W156" s="55"/>
      <c r="X156" s="155" t="str">
        <f t="shared" si="18"/>
        <v/>
      </c>
      <c r="Y156" s="171" t="str">
        <f t="shared" si="19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5"/>
        <v>0</v>
      </c>
      <c r="Q157" s="10"/>
      <c r="R157" s="155" t="str">
        <f t="shared" si="16"/>
        <v/>
      </c>
      <c r="S157" s="171" t="str">
        <f t="shared" si="17"/>
        <v/>
      </c>
      <c r="T157" s="161"/>
      <c r="U157" s="55"/>
      <c r="V157" s="55"/>
      <c r="W157" s="55"/>
      <c r="X157" s="155" t="str">
        <f t="shared" si="18"/>
        <v/>
      </c>
      <c r="Y157" s="171" t="str">
        <f t="shared" si="19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5"/>
        <v>0</v>
      </c>
      <c r="Q158" s="10"/>
      <c r="R158" s="155" t="str">
        <f t="shared" si="16"/>
        <v/>
      </c>
      <c r="S158" s="171" t="str">
        <f t="shared" si="17"/>
        <v/>
      </c>
      <c r="T158" s="161"/>
      <c r="U158" s="55"/>
      <c r="V158" s="55"/>
      <c r="W158" s="55"/>
      <c r="X158" s="155" t="str">
        <f t="shared" si="18"/>
        <v/>
      </c>
      <c r="Y158" s="171" t="str">
        <f t="shared" si="19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5"/>
        <v>0</v>
      </c>
      <c r="Q159" s="10"/>
      <c r="R159" s="155" t="str">
        <f t="shared" si="16"/>
        <v/>
      </c>
      <c r="S159" s="171" t="str">
        <f t="shared" si="17"/>
        <v/>
      </c>
      <c r="T159" s="161"/>
      <c r="U159" s="55"/>
      <c r="V159" s="55"/>
      <c r="W159" s="55"/>
      <c r="X159" s="155" t="str">
        <f t="shared" si="18"/>
        <v/>
      </c>
      <c r="Y159" s="171" t="str">
        <f t="shared" si="19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5"/>
        <v>0</v>
      </c>
      <c r="Q160" s="10"/>
      <c r="R160" s="155" t="str">
        <f t="shared" si="16"/>
        <v/>
      </c>
      <c r="S160" s="171" t="str">
        <f t="shared" si="17"/>
        <v/>
      </c>
      <c r="T160" s="161"/>
      <c r="U160" s="55"/>
      <c r="V160" s="55"/>
      <c r="W160" s="55"/>
      <c r="X160" s="155" t="str">
        <f t="shared" si="18"/>
        <v/>
      </c>
      <c r="Y160" s="171" t="str">
        <f t="shared" si="19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5"/>
        <v>0</v>
      </c>
      <c r="Q161" s="10"/>
      <c r="R161" s="155" t="str">
        <f t="shared" si="16"/>
        <v/>
      </c>
      <c r="S161" s="171" t="str">
        <f t="shared" si="17"/>
        <v/>
      </c>
      <c r="T161" s="161"/>
      <c r="U161" s="55"/>
      <c r="V161" s="55"/>
      <c r="W161" s="55"/>
      <c r="X161" s="155" t="str">
        <f t="shared" si="18"/>
        <v/>
      </c>
      <c r="Y161" s="171" t="str">
        <f t="shared" si="19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5"/>
        <v>0</v>
      </c>
      <c r="Q162" s="10"/>
      <c r="R162" s="155" t="str">
        <f t="shared" si="16"/>
        <v/>
      </c>
      <c r="S162" s="171" t="str">
        <f t="shared" si="17"/>
        <v/>
      </c>
      <c r="T162" s="161"/>
      <c r="U162" s="55"/>
      <c r="V162" s="55"/>
      <c r="W162" s="55"/>
      <c r="X162" s="155" t="str">
        <f t="shared" si="18"/>
        <v/>
      </c>
      <c r="Y162" s="171" t="str">
        <f t="shared" si="19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5"/>
        <v>0</v>
      </c>
      <c r="Q163" s="10"/>
      <c r="R163" s="155" t="str">
        <f t="shared" si="16"/>
        <v/>
      </c>
      <c r="S163" s="171" t="str">
        <f t="shared" si="17"/>
        <v/>
      </c>
      <c r="T163" s="161"/>
      <c r="U163" s="55"/>
      <c r="V163" s="55"/>
      <c r="W163" s="55"/>
      <c r="X163" s="155" t="str">
        <f t="shared" si="18"/>
        <v/>
      </c>
      <c r="Y163" s="171" t="str">
        <f t="shared" si="19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5"/>
        <v>0</v>
      </c>
      <c r="Q164" s="10"/>
      <c r="R164" s="155" t="str">
        <f t="shared" si="16"/>
        <v/>
      </c>
      <c r="S164" s="171" t="str">
        <f t="shared" si="17"/>
        <v/>
      </c>
      <c r="T164" s="161"/>
      <c r="U164" s="55"/>
      <c r="V164" s="55"/>
      <c r="W164" s="55"/>
      <c r="X164" s="155" t="str">
        <f t="shared" si="18"/>
        <v/>
      </c>
      <c r="Y164" s="171" t="str">
        <f t="shared" si="19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5"/>
        <v>0</v>
      </c>
      <c r="Q165" s="17"/>
      <c r="R165" s="156" t="str">
        <f t="shared" si="16"/>
        <v/>
      </c>
      <c r="S165" s="172" t="str">
        <f t="shared" si="17"/>
        <v/>
      </c>
      <c r="T165" s="162"/>
      <c r="U165" s="56"/>
      <c r="V165" s="56"/>
      <c r="W165" s="56"/>
      <c r="X165" s="156" t="str">
        <f t="shared" si="18"/>
        <v/>
      </c>
      <c r="Y165" s="172" t="str">
        <f t="shared" si="19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5"/>
        <v>0</v>
      </c>
      <c r="R166" s="155" t="str">
        <f t="shared" si="16"/>
        <v/>
      </c>
      <c r="S166" s="171" t="str">
        <f t="shared" si="17"/>
        <v/>
      </c>
      <c r="X166" s="155" t="str">
        <f t="shared" si="18"/>
        <v/>
      </c>
      <c r="Y166" s="171" t="str">
        <f t="shared" si="19"/>
        <v/>
      </c>
      <c r="BM166" s="105"/>
    </row>
    <row r="167" spans="1:111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5"/>
        <v>0</v>
      </c>
      <c r="R167" s="155" t="str">
        <f t="shared" si="16"/>
        <v/>
      </c>
      <c r="S167" s="171" t="str">
        <f t="shared" si="17"/>
        <v/>
      </c>
      <c r="X167" s="155" t="str">
        <f t="shared" si="18"/>
        <v/>
      </c>
      <c r="Y167" s="171" t="str">
        <f t="shared" si="19"/>
        <v/>
      </c>
      <c r="BM167" s="105"/>
    </row>
    <row r="168" spans="1:111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5"/>
        <v>0</v>
      </c>
      <c r="R168" s="155" t="str">
        <f t="shared" si="16"/>
        <v/>
      </c>
      <c r="S168" s="171" t="str">
        <f t="shared" si="17"/>
        <v/>
      </c>
      <c r="X168" s="155" t="str">
        <f t="shared" si="18"/>
        <v/>
      </c>
      <c r="Y168" s="171" t="str">
        <f t="shared" si="19"/>
        <v/>
      </c>
    </row>
    <row r="169" spans="1:111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5"/>
        <v>0</v>
      </c>
      <c r="R169" s="155" t="str">
        <f t="shared" si="16"/>
        <v/>
      </c>
      <c r="S169" s="171" t="str">
        <f t="shared" si="17"/>
        <v/>
      </c>
      <c r="X169" s="155" t="str">
        <f t="shared" si="18"/>
        <v/>
      </c>
      <c r="Y169" s="171" t="str">
        <f t="shared" si="19"/>
        <v/>
      </c>
    </row>
    <row r="170" spans="1:111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5"/>
        <v>0</v>
      </c>
      <c r="R170" s="155" t="str">
        <f t="shared" si="16"/>
        <v/>
      </c>
      <c r="S170" s="171" t="str">
        <f t="shared" si="17"/>
        <v/>
      </c>
      <c r="X170" s="155" t="str">
        <f t="shared" si="18"/>
        <v/>
      </c>
      <c r="Y170" s="171" t="str">
        <f t="shared" si="19"/>
        <v/>
      </c>
    </row>
    <row r="171" spans="1:111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5"/>
        <v>0</v>
      </c>
      <c r="R171" s="155" t="str">
        <f t="shared" si="16"/>
        <v/>
      </c>
      <c r="S171" s="171" t="str">
        <f t="shared" si="17"/>
        <v/>
      </c>
      <c r="X171" s="155" t="str">
        <f t="shared" si="18"/>
        <v/>
      </c>
      <c r="Y171" s="171" t="str">
        <f t="shared" si="19"/>
        <v/>
      </c>
    </row>
    <row r="172" spans="1:111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5"/>
        <v>0</v>
      </c>
      <c r="R172" s="155" t="str">
        <f t="shared" si="16"/>
        <v/>
      </c>
      <c r="S172" s="171" t="str">
        <f t="shared" si="17"/>
        <v/>
      </c>
      <c r="X172" s="155" t="str">
        <f t="shared" si="18"/>
        <v/>
      </c>
      <c r="Y172" s="171" t="str">
        <f t="shared" si="19"/>
        <v/>
      </c>
    </row>
    <row r="173" spans="1:111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5"/>
        <v>0</v>
      </c>
      <c r="R173" s="155" t="str">
        <f t="shared" si="16"/>
        <v/>
      </c>
      <c r="S173" s="171" t="str">
        <f t="shared" si="17"/>
        <v/>
      </c>
      <c r="X173" s="155" t="str">
        <f t="shared" si="18"/>
        <v/>
      </c>
      <c r="Y173" s="171" t="str">
        <f t="shared" si="19"/>
        <v/>
      </c>
    </row>
    <row r="174" spans="1:111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5"/>
        <v>0</v>
      </c>
      <c r="R174" s="155" t="str">
        <f t="shared" si="16"/>
        <v/>
      </c>
      <c r="S174" s="171" t="str">
        <f t="shared" si="17"/>
        <v/>
      </c>
      <c r="X174" s="155" t="str">
        <f t="shared" si="18"/>
        <v/>
      </c>
      <c r="Y174" s="171" t="str">
        <f t="shared" si="19"/>
        <v/>
      </c>
    </row>
    <row r="175" spans="1:111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5"/>
        <v>0</v>
      </c>
      <c r="Q175" s="10"/>
      <c r="R175" s="155" t="str">
        <f t="shared" si="16"/>
        <v/>
      </c>
      <c r="S175" s="171" t="str">
        <f t="shared" si="17"/>
        <v/>
      </c>
      <c r="T175" s="161"/>
      <c r="U175" s="55"/>
      <c r="V175" s="55"/>
      <c r="W175" s="55"/>
      <c r="X175" s="155" t="str">
        <f t="shared" si="18"/>
        <v/>
      </c>
      <c r="Y175" s="171" t="str">
        <f t="shared" si="19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5"/>
        <v>0</v>
      </c>
      <c r="Q176" s="10"/>
      <c r="R176" s="155" t="str">
        <f t="shared" si="16"/>
        <v/>
      </c>
      <c r="S176" s="171" t="str">
        <f t="shared" si="17"/>
        <v/>
      </c>
      <c r="T176" s="161"/>
      <c r="U176" s="55"/>
      <c r="V176" s="55"/>
      <c r="W176" s="55"/>
      <c r="X176" s="155" t="str">
        <f t="shared" si="18"/>
        <v/>
      </c>
      <c r="Y176" s="171" t="str">
        <f t="shared" si="19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5"/>
        <v>0</v>
      </c>
      <c r="Q177" s="10"/>
      <c r="R177" s="155" t="str">
        <f t="shared" si="16"/>
        <v/>
      </c>
      <c r="S177" s="171" t="str">
        <f t="shared" si="17"/>
        <v/>
      </c>
      <c r="T177" s="161"/>
      <c r="U177" s="55"/>
      <c r="V177" s="55"/>
      <c r="W177" s="55"/>
      <c r="X177" s="155" t="str">
        <f t="shared" si="18"/>
        <v/>
      </c>
      <c r="Y177" s="171" t="str">
        <f t="shared" si="19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5"/>
        <v>0</v>
      </c>
      <c r="Q178" s="10"/>
      <c r="R178" s="155" t="str">
        <f t="shared" si="16"/>
        <v/>
      </c>
      <c r="S178" s="171" t="str">
        <f t="shared" si="17"/>
        <v/>
      </c>
      <c r="T178" s="161"/>
      <c r="U178" s="55"/>
      <c r="V178" s="55"/>
      <c r="W178" s="55"/>
      <c r="X178" s="155" t="str">
        <f t="shared" si="18"/>
        <v/>
      </c>
      <c r="Y178" s="171" t="str">
        <f t="shared" si="19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5"/>
        <v>0</v>
      </c>
      <c r="Q179" s="10"/>
      <c r="R179" s="155" t="str">
        <f t="shared" si="16"/>
        <v/>
      </c>
      <c r="S179" s="171" t="str">
        <f t="shared" si="17"/>
        <v/>
      </c>
      <c r="T179" s="161"/>
      <c r="U179" s="55"/>
      <c r="V179" s="55"/>
      <c r="W179" s="55"/>
      <c r="X179" s="155" t="str">
        <f t="shared" si="18"/>
        <v/>
      </c>
      <c r="Y179" s="171" t="str">
        <f t="shared" si="19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5"/>
        <v>0</v>
      </c>
      <c r="Q180" s="10"/>
      <c r="R180" s="155" t="str">
        <f t="shared" si="16"/>
        <v/>
      </c>
      <c r="S180" s="171" t="str">
        <f t="shared" si="17"/>
        <v/>
      </c>
      <c r="T180" s="161"/>
      <c r="U180" s="55"/>
      <c r="V180" s="55"/>
      <c r="W180" s="55"/>
      <c r="X180" s="155" t="str">
        <f t="shared" si="18"/>
        <v/>
      </c>
      <c r="Y180" s="171" t="str">
        <f t="shared" si="19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5"/>
        <v>0</v>
      </c>
      <c r="Q181" s="10"/>
      <c r="R181" s="155" t="str">
        <f t="shared" si="16"/>
        <v/>
      </c>
      <c r="S181" s="171" t="str">
        <f t="shared" si="17"/>
        <v/>
      </c>
      <c r="T181" s="161"/>
      <c r="U181" s="55"/>
      <c r="V181" s="55"/>
      <c r="W181" s="55"/>
      <c r="X181" s="155" t="str">
        <f t="shared" si="18"/>
        <v/>
      </c>
      <c r="Y181" s="171" t="str">
        <f t="shared" si="19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5"/>
        <v>0</v>
      </c>
      <c r="Q182" s="10"/>
      <c r="R182" s="155" t="str">
        <f t="shared" si="16"/>
        <v/>
      </c>
      <c r="S182" s="171" t="str">
        <f t="shared" si="17"/>
        <v/>
      </c>
      <c r="T182" s="161"/>
      <c r="U182" s="55"/>
      <c r="V182" s="55"/>
      <c r="W182" s="55"/>
      <c r="X182" s="155" t="str">
        <f t="shared" si="18"/>
        <v/>
      </c>
      <c r="Y182" s="171" t="str">
        <f t="shared" si="19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5"/>
        <v>0</v>
      </c>
      <c r="Q183" s="10"/>
      <c r="R183" s="155" t="str">
        <f t="shared" si="16"/>
        <v/>
      </c>
      <c r="S183" s="171" t="str">
        <f t="shared" si="17"/>
        <v/>
      </c>
      <c r="T183" s="161"/>
      <c r="U183" s="55"/>
      <c r="V183" s="55"/>
      <c r="W183" s="55"/>
      <c r="X183" s="155" t="str">
        <f t="shared" si="18"/>
        <v/>
      </c>
      <c r="Y183" s="171" t="str">
        <f t="shared" si="19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5"/>
        <v>0</v>
      </c>
      <c r="Q184" s="10"/>
      <c r="R184" s="155" t="str">
        <f t="shared" si="16"/>
        <v/>
      </c>
      <c r="S184" s="171" t="str">
        <f t="shared" si="17"/>
        <v/>
      </c>
      <c r="T184" s="161"/>
      <c r="U184" s="55"/>
      <c r="V184" s="55"/>
      <c r="W184" s="55"/>
      <c r="X184" s="155" t="str">
        <f t="shared" si="18"/>
        <v/>
      </c>
      <c r="Y184" s="171" t="str">
        <f t="shared" si="19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5"/>
        <v>0</v>
      </c>
      <c r="Q185" s="17"/>
      <c r="R185" s="156" t="str">
        <f t="shared" si="16"/>
        <v/>
      </c>
      <c r="S185" s="172" t="str">
        <f t="shared" si="17"/>
        <v/>
      </c>
      <c r="T185" s="162"/>
      <c r="U185" s="56"/>
      <c r="V185" s="56"/>
      <c r="W185" s="56"/>
      <c r="X185" s="156" t="str">
        <f t="shared" si="18"/>
        <v/>
      </c>
      <c r="Y185" s="172" t="str">
        <f t="shared" si="19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5"/>
        <v>0</v>
      </c>
      <c r="R186" s="155" t="str">
        <f t="shared" si="16"/>
        <v/>
      </c>
      <c r="S186" s="171" t="str">
        <f t="shared" si="17"/>
        <v/>
      </c>
      <c r="X186" s="155" t="str">
        <f t="shared" si="18"/>
        <v/>
      </c>
      <c r="Y186" s="171" t="str">
        <f t="shared" si="19"/>
        <v/>
      </c>
      <c r="BM186" s="105"/>
    </row>
    <row r="187" spans="1:111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5"/>
        <v>0</v>
      </c>
      <c r="R187" s="155" t="str">
        <f t="shared" si="16"/>
        <v/>
      </c>
      <c r="S187" s="171" t="str">
        <f t="shared" si="17"/>
        <v/>
      </c>
      <c r="X187" s="155" t="str">
        <f t="shared" si="18"/>
        <v/>
      </c>
      <c r="Y187" s="171" t="str">
        <f t="shared" si="19"/>
        <v/>
      </c>
      <c r="BM187" s="105"/>
    </row>
    <row r="188" spans="1:111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5"/>
        <v>0</v>
      </c>
      <c r="R188" s="155" t="str">
        <f t="shared" si="16"/>
        <v/>
      </c>
      <c r="S188" s="171" t="str">
        <f t="shared" si="17"/>
        <v/>
      </c>
      <c r="X188" s="155" t="str">
        <f t="shared" si="18"/>
        <v/>
      </c>
      <c r="Y188" s="171" t="str">
        <f t="shared" si="19"/>
        <v/>
      </c>
    </row>
    <row r="189" spans="1:111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5"/>
        <v>0</v>
      </c>
      <c r="R189" s="155" t="str">
        <f t="shared" si="16"/>
        <v/>
      </c>
      <c r="S189" s="171" t="str">
        <f t="shared" si="17"/>
        <v/>
      </c>
      <c r="X189" s="155" t="str">
        <f t="shared" si="18"/>
        <v/>
      </c>
      <c r="Y189" s="171" t="str">
        <f t="shared" si="19"/>
        <v/>
      </c>
    </row>
    <row r="190" spans="1:111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5"/>
        <v>0</v>
      </c>
      <c r="R190" s="155" t="str">
        <f t="shared" si="16"/>
        <v/>
      </c>
      <c r="S190" s="171" t="str">
        <f t="shared" si="17"/>
        <v/>
      </c>
      <c r="X190" s="155" t="str">
        <f t="shared" si="18"/>
        <v/>
      </c>
      <c r="Y190" s="171" t="str">
        <f t="shared" si="19"/>
        <v/>
      </c>
    </row>
    <row r="191" spans="1:111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5"/>
        <v>0</v>
      </c>
      <c r="R191" s="155" t="str">
        <f t="shared" si="16"/>
        <v/>
      </c>
      <c r="S191" s="171" t="str">
        <f t="shared" si="17"/>
        <v/>
      </c>
      <c r="X191" s="155" t="str">
        <f t="shared" si="18"/>
        <v/>
      </c>
      <c r="Y191" s="171" t="str">
        <f t="shared" si="19"/>
        <v/>
      </c>
    </row>
    <row r="192" spans="1:111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5"/>
        <v>0</v>
      </c>
      <c r="R192" s="155" t="str">
        <f t="shared" si="16"/>
        <v/>
      </c>
      <c r="S192" s="171" t="str">
        <f t="shared" si="17"/>
        <v/>
      </c>
      <c r="X192" s="155" t="str">
        <f t="shared" si="18"/>
        <v/>
      </c>
      <c r="Y192" s="171" t="str">
        <f t="shared" si="19"/>
        <v/>
      </c>
    </row>
    <row r="193" spans="1:111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5"/>
        <v>0</v>
      </c>
      <c r="R193" s="155" t="str">
        <f t="shared" si="16"/>
        <v/>
      </c>
      <c r="S193" s="171" t="str">
        <f t="shared" si="17"/>
        <v/>
      </c>
      <c r="X193" s="155" t="str">
        <f t="shared" si="18"/>
        <v/>
      </c>
      <c r="Y193" s="171" t="str">
        <f t="shared" si="19"/>
        <v/>
      </c>
    </row>
    <row r="194" spans="1:111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5"/>
        <v>0</v>
      </c>
      <c r="R194" s="155" t="str">
        <f t="shared" si="16"/>
        <v/>
      </c>
      <c r="S194" s="171" t="str">
        <f t="shared" si="17"/>
        <v/>
      </c>
      <c r="X194" s="155" t="str">
        <f t="shared" si="18"/>
        <v/>
      </c>
      <c r="Y194" s="171" t="str">
        <f t="shared" si="19"/>
        <v/>
      </c>
    </row>
    <row r="195" spans="1:111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5"/>
        <v>0</v>
      </c>
      <c r="Q195" s="10"/>
      <c r="R195" s="155" t="str">
        <f t="shared" si="16"/>
        <v/>
      </c>
      <c r="S195" s="171" t="str">
        <f t="shared" si="17"/>
        <v/>
      </c>
      <c r="T195" s="161"/>
      <c r="U195" s="55"/>
      <c r="V195" s="55"/>
      <c r="W195" s="55"/>
      <c r="X195" s="155" t="str">
        <f t="shared" si="18"/>
        <v/>
      </c>
      <c r="Y195" s="171" t="str">
        <f t="shared" si="19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5"/>
        <v>0</v>
      </c>
      <c r="Q196" s="10"/>
      <c r="R196" s="155" t="str">
        <f t="shared" si="16"/>
        <v/>
      </c>
      <c r="S196" s="171" t="str">
        <f t="shared" si="17"/>
        <v/>
      </c>
      <c r="T196" s="161"/>
      <c r="U196" s="55"/>
      <c r="V196" s="55"/>
      <c r="W196" s="55"/>
      <c r="X196" s="155" t="str">
        <f t="shared" si="18"/>
        <v/>
      </c>
      <c r="Y196" s="171" t="str">
        <f t="shared" si="19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5"/>
        <v>0</v>
      </c>
      <c r="Q197" s="10"/>
      <c r="R197" s="155" t="str">
        <f t="shared" si="16"/>
        <v/>
      </c>
      <c r="S197" s="171" t="str">
        <f t="shared" si="17"/>
        <v/>
      </c>
      <c r="T197" s="161"/>
      <c r="U197" s="55"/>
      <c r="V197" s="55"/>
      <c r="W197" s="55"/>
      <c r="X197" s="155" t="str">
        <f t="shared" si="18"/>
        <v/>
      </c>
      <c r="Y197" s="171" t="str">
        <f t="shared" si="19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1">Q198*7</f>
        <v>0</v>
      </c>
      <c r="Q198" s="10"/>
      <c r="R198" s="155" t="str">
        <f t="shared" ref="R198:R224" si="22">IF((1-(1-O198/100000)^1440)=0,"",1-(1-O198/100000)^1440)</f>
        <v/>
      </c>
      <c r="S198" s="171" t="str">
        <f t="shared" ref="S198:S224" si="23">IF((O198/100000)*1440=0,"",(O198/100000)*1440)</f>
        <v/>
      </c>
      <c r="T198" s="161"/>
      <c r="U198" s="55"/>
      <c r="V198" s="55"/>
      <c r="W198" s="55"/>
      <c r="X198" s="155" t="str">
        <f t="shared" si="18"/>
        <v/>
      </c>
      <c r="Y198" s="171" t="str">
        <f t="shared" si="19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1"/>
        <v>0</v>
      </c>
      <c r="Q199" s="10"/>
      <c r="R199" s="155" t="str">
        <f t="shared" si="22"/>
        <v/>
      </c>
      <c r="S199" s="171" t="str">
        <f t="shared" si="23"/>
        <v/>
      </c>
      <c r="T199" s="161"/>
      <c r="U199" s="55"/>
      <c r="V199" s="55"/>
      <c r="W199" s="55"/>
      <c r="X199" s="155" t="str">
        <f t="shared" si="18"/>
        <v/>
      </c>
      <c r="Y199" s="171" t="str">
        <f t="shared" si="19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1"/>
        <v>0</v>
      </c>
      <c r="Q200" s="10"/>
      <c r="R200" s="155" t="str">
        <f t="shared" si="22"/>
        <v/>
      </c>
      <c r="S200" s="171" t="str">
        <f t="shared" si="23"/>
        <v/>
      </c>
      <c r="T200" s="161"/>
      <c r="U200" s="55"/>
      <c r="V200" s="55"/>
      <c r="W200" s="55"/>
      <c r="X200" s="155" t="str">
        <f t="shared" si="18"/>
        <v/>
      </c>
      <c r="Y200" s="171" t="str">
        <f t="shared" si="19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1"/>
        <v>0</v>
      </c>
      <c r="Q201" s="10"/>
      <c r="R201" s="155" t="str">
        <f t="shared" si="22"/>
        <v/>
      </c>
      <c r="S201" s="171" t="str">
        <f t="shared" si="23"/>
        <v/>
      </c>
      <c r="T201" s="161"/>
      <c r="U201" s="55"/>
      <c r="V201" s="55"/>
      <c r="W201" s="55"/>
      <c r="X201" s="155" t="str">
        <f t="shared" si="18"/>
        <v/>
      </c>
      <c r="Y201" s="171" t="str">
        <f t="shared" si="19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1"/>
        <v>0</v>
      </c>
      <c r="Q202" s="10"/>
      <c r="R202" s="155" t="str">
        <f t="shared" si="22"/>
        <v/>
      </c>
      <c r="S202" s="171" t="str">
        <f t="shared" si="23"/>
        <v/>
      </c>
      <c r="T202" s="161"/>
      <c r="U202" s="55"/>
      <c r="V202" s="55"/>
      <c r="W202" s="55"/>
      <c r="X202" s="155" t="str">
        <f t="shared" si="18"/>
        <v/>
      </c>
      <c r="Y202" s="171" t="str">
        <f t="shared" si="19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1"/>
        <v>0</v>
      </c>
      <c r="Q203" s="10"/>
      <c r="R203" s="155" t="str">
        <f t="shared" si="22"/>
        <v/>
      </c>
      <c r="S203" s="171" t="str">
        <f t="shared" si="23"/>
        <v/>
      </c>
      <c r="T203" s="161"/>
      <c r="U203" s="55"/>
      <c r="V203" s="55"/>
      <c r="W203" s="55"/>
      <c r="X203" s="155" t="str">
        <f t="shared" si="18"/>
        <v/>
      </c>
      <c r="Y203" s="171" t="str">
        <f t="shared" si="19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1"/>
        <v>0</v>
      </c>
      <c r="Q204" s="10"/>
      <c r="R204" s="155" t="str">
        <f t="shared" si="22"/>
        <v/>
      </c>
      <c r="S204" s="171" t="str">
        <f t="shared" si="23"/>
        <v/>
      </c>
      <c r="T204" s="161"/>
      <c r="U204" s="55"/>
      <c r="V204" s="55"/>
      <c r="W204" s="55"/>
      <c r="X204" s="155" t="str">
        <f t="shared" si="18"/>
        <v/>
      </c>
      <c r="Y204" s="171" t="str">
        <f t="shared" si="19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1"/>
        <v>0</v>
      </c>
      <c r="Q205" s="17"/>
      <c r="R205" s="156" t="str">
        <f t="shared" si="22"/>
        <v/>
      </c>
      <c r="S205" s="172" t="str">
        <f t="shared" si="23"/>
        <v/>
      </c>
      <c r="T205" s="162"/>
      <c r="U205" s="56"/>
      <c r="V205" s="56"/>
      <c r="W205" s="56"/>
      <c r="X205" s="156" t="str">
        <f t="shared" si="18"/>
        <v/>
      </c>
      <c r="Y205" s="172" t="str">
        <f t="shared" si="19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1"/>
        <v>0</v>
      </c>
      <c r="R206" s="155" t="str">
        <f t="shared" si="22"/>
        <v/>
      </c>
      <c r="S206" s="171" t="str">
        <f t="shared" si="23"/>
        <v/>
      </c>
      <c r="X206" s="155" t="str">
        <f t="shared" si="18"/>
        <v/>
      </c>
      <c r="Y206" s="171" t="str">
        <f t="shared" si="19"/>
        <v/>
      </c>
      <c r="BM206" s="105"/>
    </row>
    <row r="207" spans="1:111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1"/>
        <v>0</v>
      </c>
      <c r="R207" s="155" t="str">
        <f t="shared" si="22"/>
        <v/>
      </c>
      <c r="S207" s="171" t="str">
        <f t="shared" si="23"/>
        <v/>
      </c>
      <c r="X207" s="155" t="str">
        <f t="shared" si="18"/>
        <v/>
      </c>
      <c r="Y207" s="171" t="str">
        <f t="shared" si="19"/>
        <v/>
      </c>
      <c r="BM207" s="105"/>
    </row>
    <row r="208" spans="1:111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1"/>
        <v>0</v>
      </c>
      <c r="R208" s="155" t="str">
        <f t="shared" si="22"/>
        <v/>
      </c>
      <c r="S208" s="171" t="str">
        <f t="shared" si="23"/>
        <v/>
      </c>
      <c r="X208" s="155" t="str">
        <f t="shared" si="18"/>
        <v/>
      </c>
      <c r="Y208" s="171" t="str">
        <f t="shared" si="19"/>
        <v/>
      </c>
    </row>
    <row r="209" spans="1:111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1"/>
        <v>0</v>
      </c>
      <c r="R209" s="155" t="str">
        <f t="shared" si="22"/>
        <v/>
      </c>
      <c r="S209" s="171" t="str">
        <f t="shared" si="23"/>
        <v/>
      </c>
      <c r="X209" s="155" t="str">
        <f t="shared" si="18"/>
        <v/>
      </c>
      <c r="Y209" s="171" t="str">
        <f t="shared" si="19"/>
        <v/>
      </c>
    </row>
    <row r="210" spans="1:111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1"/>
        <v>0</v>
      </c>
      <c r="R210" s="155" t="str">
        <f t="shared" si="22"/>
        <v/>
      </c>
      <c r="S210" s="171" t="str">
        <f t="shared" si="23"/>
        <v/>
      </c>
      <c r="X210" s="155" t="str">
        <f t="shared" si="18"/>
        <v/>
      </c>
      <c r="Y210" s="171" t="str">
        <f t="shared" si="19"/>
        <v/>
      </c>
    </row>
    <row r="211" spans="1:111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1"/>
        <v>0</v>
      </c>
      <c r="R211" s="155" t="str">
        <f t="shared" si="22"/>
        <v/>
      </c>
      <c r="S211" s="171" t="str">
        <f t="shared" si="23"/>
        <v/>
      </c>
      <c r="X211" s="155" t="str">
        <f t="shared" si="18"/>
        <v/>
      </c>
      <c r="Y211" s="171" t="str">
        <f t="shared" si="19"/>
        <v/>
      </c>
    </row>
    <row r="212" spans="1:111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1"/>
        <v>0</v>
      </c>
      <c r="R212" s="155" t="str">
        <f t="shared" si="22"/>
        <v/>
      </c>
      <c r="S212" s="171" t="str">
        <f t="shared" si="23"/>
        <v/>
      </c>
      <c r="X212" s="155" t="str">
        <f t="shared" si="18"/>
        <v/>
      </c>
      <c r="Y212" s="171" t="str">
        <f t="shared" si="19"/>
        <v/>
      </c>
    </row>
    <row r="213" spans="1:111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1"/>
        <v>0</v>
      </c>
      <c r="R213" s="155" t="str">
        <f t="shared" si="22"/>
        <v/>
      </c>
      <c r="S213" s="171" t="str">
        <f t="shared" si="23"/>
        <v/>
      </c>
      <c r="X213" s="155" t="str">
        <f t="shared" si="18"/>
        <v/>
      </c>
      <c r="Y213" s="171" t="str">
        <f t="shared" si="19"/>
        <v/>
      </c>
    </row>
    <row r="214" spans="1:111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1"/>
        <v>0</v>
      </c>
      <c r="R214" s="155" t="str">
        <f t="shared" si="22"/>
        <v/>
      </c>
      <c r="S214" s="171" t="str">
        <f t="shared" si="23"/>
        <v/>
      </c>
      <c r="X214" s="155" t="str">
        <f t="shared" ref="X214:X224" si="24">IF((1-(1-U214/100000)^L214)=0,"",1-(1-U214/100000)^L214)</f>
        <v/>
      </c>
      <c r="Y214" s="171" t="str">
        <f t="shared" ref="Y214:Y224" si="25">IF((U214/100000)*L214=0,"",(U214/100000)*L214)</f>
        <v/>
      </c>
    </row>
    <row r="215" spans="1:111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1"/>
        <v>0</v>
      </c>
      <c r="Q215" s="10"/>
      <c r="R215" s="155" t="str">
        <f t="shared" si="22"/>
        <v/>
      </c>
      <c r="S215" s="171" t="str">
        <f t="shared" si="23"/>
        <v/>
      </c>
      <c r="T215" s="161"/>
      <c r="U215" s="55"/>
      <c r="V215" s="55"/>
      <c r="W215" s="55"/>
      <c r="X215" s="155" t="str">
        <f t="shared" si="24"/>
        <v/>
      </c>
      <c r="Y215" s="171" t="str">
        <f t="shared" si="25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1"/>
        <v>0</v>
      </c>
      <c r="Q216" s="10"/>
      <c r="R216" s="155" t="str">
        <f t="shared" si="22"/>
        <v/>
      </c>
      <c r="S216" s="171" t="str">
        <f t="shared" si="23"/>
        <v/>
      </c>
      <c r="T216" s="161"/>
      <c r="U216" s="55"/>
      <c r="V216" s="55"/>
      <c r="W216" s="55"/>
      <c r="X216" s="155" t="str">
        <f t="shared" si="24"/>
        <v/>
      </c>
      <c r="Y216" s="171" t="str">
        <f t="shared" si="25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1"/>
        <v>0</v>
      </c>
      <c r="Q217" s="10"/>
      <c r="R217" s="155" t="str">
        <f t="shared" si="22"/>
        <v/>
      </c>
      <c r="S217" s="171" t="str">
        <f t="shared" si="23"/>
        <v/>
      </c>
      <c r="T217" s="161"/>
      <c r="U217" s="55"/>
      <c r="V217" s="55"/>
      <c r="W217" s="55"/>
      <c r="X217" s="155" t="str">
        <f t="shared" si="24"/>
        <v/>
      </c>
      <c r="Y217" s="171" t="str">
        <f t="shared" si="25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1"/>
        <v>0</v>
      </c>
      <c r="Q218" s="10"/>
      <c r="R218" s="155" t="str">
        <f t="shared" si="22"/>
        <v/>
      </c>
      <c r="S218" s="171" t="str">
        <f t="shared" si="23"/>
        <v/>
      </c>
      <c r="T218" s="161"/>
      <c r="U218" s="55"/>
      <c r="V218" s="55"/>
      <c r="W218" s="55"/>
      <c r="X218" s="155" t="str">
        <f t="shared" si="24"/>
        <v/>
      </c>
      <c r="Y218" s="171" t="str">
        <f t="shared" si="25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1"/>
        <v>0</v>
      </c>
      <c r="Q219" s="10"/>
      <c r="R219" s="155" t="str">
        <f t="shared" si="22"/>
        <v/>
      </c>
      <c r="S219" s="171" t="str">
        <f t="shared" si="23"/>
        <v/>
      </c>
      <c r="T219" s="161"/>
      <c r="U219" s="55"/>
      <c r="V219" s="55"/>
      <c r="W219" s="55"/>
      <c r="X219" s="155" t="str">
        <f t="shared" si="24"/>
        <v/>
      </c>
      <c r="Y219" s="171" t="str">
        <f t="shared" si="25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1"/>
        <v>0</v>
      </c>
      <c r="Q220" s="10"/>
      <c r="R220" s="155" t="str">
        <f t="shared" si="22"/>
        <v/>
      </c>
      <c r="S220" s="171" t="str">
        <f t="shared" si="23"/>
        <v/>
      </c>
      <c r="T220" s="161"/>
      <c r="U220" s="55"/>
      <c r="V220" s="55"/>
      <c r="W220" s="55"/>
      <c r="X220" s="155" t="str">
        <f t="shared" si="24"/>
        <v/>
      </c>
      <c r="Y220" s="171" t="str">
        <f t="shared" si="25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1"/>
        <v>0</v>
      </c>
      <c r="Q221" s="10"/>
      <c r="R221" s="155" t="str">
        <f t="shared" si="22"/>
        <v/>
      </c>
      <c r="S221" s="171" t="str">
        <f t="shared" si="23"/>
        <v/>
      </c>
      <c r="T221" s="161"/>
      <c r="U221" s="55"/>
      <c r="V221" s="55"/>
      <c r="W221" s="55"/>
      <c r="X221" s="155" t="str">
        <f t="shared" si="24"/>
        <v/>
      </c>
      <c r="Y221" s="171" t="str">
        <f t="shared" si="25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1"/>
        <v>0</v>
      </c>
      <c r="Q222" s="10"/>
      <c r="R222" s="155" t="str">
        <f t="shared" si="22"/>
        <v/>
      </c>
      <c r="S222" s="171" t="str">
        <f t="shared" si="23"/>
        <v/>
      </c>
      <c r="T222" s="161"/>
      <c r="U222" s="55"/>
      <c r="V222" s="55"/>
      <c r="W222" s="55"/>
      <c r="X222" s="155" t="str">
        <f t="shared" si="24"/>
        <v/>
      </c>
      <c r="Y222" s="171" t="str">
        <f t="shared" si="25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1"/>
        <v>0</v>
      </c>
      <c r="Q223" s="10"/>
      <c r="R223" s="155" t="str">
        <f t="shared" si="22"/>
        <v/>
      </c>
      <c r="S223" s="171" t="str">
        <f t="shared" si="23"/>
        <v/>
      </c>
      <c r="T223" s="161"/>
      <c r="U223" s="55"/>
      <c r="V223" s="55"/>
      <c r="W223" s="55"/>
      <c r="X223" s="155" t="str">
        <f t="shared" si="24"/>
        <v/>
      </c>
      <c r="Y223" s="171" t="str">
        <f t="shared" si="25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1"/>
        <v>0</v>
      </c>
      <c r="Q224" s="10"/>
      <c r="R224" s="155" t="str">
        <f t="shared" si="22"/>
        <v/>
      </c>
      <c r="S224" s="171" t="str">
        <f t="shared" si="23"/>
        <v/>
      </c>
      <c r="T224" s="161"/>
      <c r="U224" s="55"/>
      <c r="V224" s="55"/>
      <c r="W224" s="55"/>
      <c r="X224" s="155" t="str">
        <f t="shared" si="24"/>
        <v/>
      </c>
      <c r="Y224" s="171" t="str">
        <f t="shared" si="25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N23" sqref="N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30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10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30</v>
      </c>
      <c r="N15" s="10">
        <f>IF((1-(1-M15/10000)^1440)=0,"",1-(1-M15/10000)^1440)</f>
        <v>0.98678619270966395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tabSelected="1" workbookViewId="0">
      <selection activeCell="G16" sqref="G1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17000</v>
      </c>
      <c r="C5" s="110">
        <v>17</v>
      </c>
    </row>
    <row r="6" spans="1:3" x14ac:dyDescent="0.15">
      <c r="A6" s="91">
        <v>2</v>
      </c>
      <c r="B6" s="91">
        <f t="shared" ref="B6:B24" si="0">C6*1000</f>
        <v>12000</v>
      </c>
      <c r="C6" s="91">
        <v>12</v>
      </c>
    </row>
    <row r="7" spans="1:3" x14ac:dyDescent="0.15">
      <c r="A7" s="91">
        <v>3</v>
      </c>
      <c r="B7" s="91">
        <f t="shared" si="0"/>
        <v>8000</v>
      </c>
      <c r="C7" s="91">
        <v>8</v>
      </c>
    </row>
    <row r="8" spans="1:3" x14ac:dyDescent="0.15">
      <c r="A8" s="91">
        <v>4</v>
      </c>
      <c r="B8" s="91">
        <f t="shared" si="0"/>
        <v>5000</v>
      </c>
      <c r="C8" s="91">
        <v>5</v>
      </c>
    </row>
    <row r="9" spans="1:3" x14ac:dyDescent="0.15">
      <c r="A9" s="91">
        <v>5</v>
      </c>
      <c r="B9" s="91">
        <f t="shared" si="0"/>
        <v>4000</v>
      </c>
      <c r="C9" s="91">
        <v>4</v>
      </c>
    </row>
    <row r="10" spans="1:3" x14ac:dyDescent="0.15">
      <c r="A10" s="91">
        <v>6</v>
      </c>
      <c r="B10" s="91">
        <f t="shared" si="0"/>
        <v>3000</v>
      </c>
      <c r="C10" s="91">
        <v>3</v>
      </c>
    </row>
    <row r="11" spans="1:3" x14ac:dyDescent="0.15">
      <c r="A11" s="91">
        <v>7</v>
      </c>
      <c r="B11" s="91">
        <f t="shared" si="0"/>
        <v>1000</v>
      </c>
      <c r="C11" s="91">
        <v>1</v>
      </c>
    </row>
    <row r="12" spans="1:3" x14ac:dyDescent="0.15">
      <c r="A12" s="91">
        <v>8</v>
      </c>
      <c r="B12" s="91">
        <f t="shared" si="0"/>
        <v>500</v>
      </c>
      <c r="C12" s="91">
        <v>0.5</v>
      </c>
    </row>
    <row r="13" spans="1:3" x14ac:dyDescent="0.15">
      <c r="A13" s="91">
        <v>9</v>
      </c>
      <c r="B13" s="91">
        <f t="shared" si="0"/>
        <v>350</v>
      </c>
      <c r="C13" s="91">
        <v>0.35</v>
      </c>
    </row>
    <row r="14" spans="1:3" x14ac:dyDescent="0.15">
      <c r="A14" s="91">
        <v>10</v>
      </c>
      <c r="B14" s="91">
        <f t="shared" si="0"/>
        <v>300</v>
      </c>
      <c r="C14" s="91">
        <v>0.3</v>
      </c>
    </row>
    <row r="15" spans="1:3" x14ac:dyDescent="0.15">
      <c r="A15" s="91">
        <v>11</v>
      </c>
      <c r="B15" s="91">
        <f t="shared" si="0"/>
        <v>280</v>
      </c>
      <c r="C15" s="91">
        <v>0.28000000000000003</v>
      </c>
    </row>
    <row r="16" spans="1:3" x14ac:dyDescent="0.15">
      <c r="A16" s="91">
        <v>12</v>
      </c>
      <c r="B16" s="91">
        <f t="shared" si="0"/>
        <v>270</v>
      </c>
      <c r="C16" s="91">
        <v>0.27</v>
      </c>
    </row>
    <row r="17" spans="1:3" x14ac:dyDescent="0.15">
      <c r="A17" s="91">
        <v>13</v>
      </c>
      <c r="B17" s="91">
        <f t="shared" si="0"/>
        <v>260</v>
      </c>
      <c r="C17" s="91">
        <v>0.26</v>
      </c>
    </row>
    <row r="18" spans="1:3" x14ac:dyDescent="0.15">
      <c r="A18" s="91">
        <v>14</v>
      </c>
      <c r="B18" s="91">
        <f t="shared" si="0"/>
        <v>250</v>
      </c>
      <c r="C18" s="91">
        <v>0.25</v>
      </c>
    </row>
    <row r="19" spans="1:3" x14ac:dyDescent="0.15">
      <c r="A19" s="91">
        <v>15</v>
      </c>
      <c r="B19" s="91">
        <f t="shared" si="0"/>
        <v>240</v>
      </c>
      <c r="C19" s="91">
        <v>0.24</v>
      </c>
    </row>
    <row r="20" spans="1:3" x14ac:dyDescent="0.15">
      <c r="A20" s="91">
        <v>16</v>
      </c>
      <c r="B20" s="91">
        <f t="shared" si="0"/>
        <v>230</v>
      </c>
      <c r="C20" s="91">
        <v>0.23</v>
      </c>
    </row>
    <row r="21" spans="1:3" x14ac:dyDescent="0.15">
      <c r="A21" s="91">
        <v>17</v>
      </c>
      <c r="B21" s="91">
        <f t="shared" si="0"/>
        <v>220</v>
      </c>
      <c r="C21" s="91">
        <v>0.22</v>
      </c>
    </row>
    <row r="22" spans="1:3" x14ac:dyDescent="0.15">
      <c r="A22" s="91">
        <v>18</v>
      </c>
      <c r="B22" s="91">
        <f t="shared" si="0"/>
        <v>210</v>
      </c>
      <c r="C22" s="91">
        <v>0.21</v>
      </c>
    </row>
    <row r="23" spans="1:3" x14ac:dyDescent="0.15">
      <c r="A23" s="91">
        <v>19</v>
      </c>
      <c r="B23" s="91">
        <f t="shared" si="0"/>
        <v>200</v>
      </c>
      <c r="C23" s="91">
        <v>0.2</v>
      </c>
    </row>
    <row r="24" spans="1:3" x14ac:dyDescent="0.15">
      <c r="A24" s="91">
        <v>20</v>
      </c>
      <c r="B24" s="91">
        <f t="shared" si="0"/>
        <v>190</v>
      </c>
      <c r="C24" s="91">
        <v>0.19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2018-09-25T10:19:03Z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