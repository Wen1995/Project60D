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9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62" r:id="rId8"/>
    <sheet name="PLAYER_ATTR" sheetId="6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N6" i="51" l="1"/>
  <c r="N7" i="51"/>
  <c r="N8" i="51"/>
  <c r="N9" i="51"/>
  <c r="N10" i="51"/>
  <c r="N11" i="51"/>
  <c r="N12" i="51"/>
  <c r="N13" i="51"/>
  <c r="N14" i="51"/>
  <c r="N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04" i="57" l="1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5" i="30"/>
  <c r="A15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1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1" i="30"/>
  <c r="A21" i="30" s="1"/>
  <c r="BE75" i="9" s="1"/>
  <c r="F22" i="30"/>
  <c r="A22" i="30" s="1"/>
  <c r="BE96" i="9" s="1"/>
  <c r="F23" i="30"/>
  <c r="A23" i="30" s="1"/>
  <c r="BE214" i="9" s="1"/>
  <c r="F24" i="30"/>
  <c r="A24" i="30" s="1"/>
  <c r="BE298" i="9" s="1"/>
  <c r="F25" i="30"/>
  <c r="A25" i="30" s="1"/>
  <c r="BE332" i="9" s="1"/>
  <c r="A26" i="30"/>
  <c r="BE351" i="9" s="1"/>
  <c r="A27" i="30"/>
  <c r="BE415" i="9" s="1"/>
  <c r="A28" i="30"/>
  <c r="BE437" i="9" s="1"/>
  <c r="A34" i="30"/>
  <c r="BE562" i="9" s="1"/>
  <c r="F20" i="30"/>
  <c r="A20" i="30" s="1"/>
  <c r="BE14" i="9" s="1"/>
  <c r="A29" i="30"/>
  <c r="BE456" i="9" s="1"/>
  <c r="A30" i="30"/>
  <c r="BE474" i="9" s="1"/>
  <c r="A32" i="30"/>
  <c r="BE536" i="9" s="1"/>
  <c r="A33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E52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A9" i="30" l="1"/>
  <c r="A7" i="30"/>
  <c r="A6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<sst xmlns="http://schemas.openxmlformats.org/spreadsheetml/2006/main" count="4346" uniqueCount="886">
  <si>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</si>
  <si>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</si>
  <si>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</si>
  <si>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</si>
  <si>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</si>
  <si>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</si>
  <si>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</si>
  <si>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</si>
  <si>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</si>
  <si>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</si>
  <si>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</si>
  <si>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</si>
  <si>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</si>
  <si>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</si>
  <si>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</si>
  <si>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</si>
  <si>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</si>
  <si>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</si>
  <si>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</si>
  <si>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</si>
  <si>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</si>
  <si>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</si>
  <si>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</si>
  <si>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</si>
  <si>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</si>
  <si>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</si>
  <si>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</si>
  <si>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</si>
  <si>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</si>
  <si>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</si>
  <si>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</si>
  <si>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</si>
  <si>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</si>
  <si>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</si>
  <si>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</si>
  <si>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</si>
  <si>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</si>
  <si>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</si>
  <si>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</si>
  <si>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</si>
  <si>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</si>
  <si>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</si>
  <si>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</si>
  <si>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</si>
  <si>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</si>
  <si>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</si>
  <si>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</si>
  <si>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</si>
  <si>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</si>
  <si>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</si>
  <si>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</si>
  <si>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</si>
  <si>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</si>
  <si>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</si>
  <si>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</si>
  <si>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</si>
  <si>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</si>
  <si>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</si>
  <si>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</si>
  <si>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</si>
  <si>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</si>
  <si>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</si>
  <si>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</si>
  <si>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</si>
  <si>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</si>
  <si>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</si>
  <si>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</si>
  <si>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</si>
  <si>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</si>
  <si>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</si>
  <si>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</si>
  <si>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</si>
  <si>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</si>
  <si>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</si>
  <si>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</si>
  <si>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</si>
  <si>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</si>
  <si>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</si>
  <si>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</si>
  <si>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</si>
  <si>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</si>
  <si>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</si>
  <si>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</si>
  <si>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</si>
  <si>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</si>
  <si>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</si>
  <si>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</si>
  <si>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</si>
  <si>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</si>
  <si>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</si>
  <si>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</si>
  <si>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</si>
  <si>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</si>
  <si>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</si>
  <si>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</si>
  <si>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</si>
  <si>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</si>
  <si>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</si>
  <si>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</si>
  <si>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</si>
  <si>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</si>
  <si>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</si>
  <si>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</si>
  <si>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</si>
  <si>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</si>
  <si>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</si>
  <si>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</si>
  <si>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</si>
  <si>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</si>
  <si>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</si>
  <si>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</si>
  <si>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</si>
  <si>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</si>
  <si>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</si>
  <si>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</si>
  <si>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</si>
  <si>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</si>
  <si>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</si>
  <si>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</si>
  <si>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</si>
  <si>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</si>
  <si>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</si>
  <si>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</si>
  <si>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</si>
  <si>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</si>
  <si>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</si>
  <si>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</si>
  <si>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</si>
  <si>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</si>
  <si>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</si>
  <si>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</si>
  <si>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</si>
  <si>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</si>
  <si>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</si>
  <si>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</si>
  <si>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</si>
  <si>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</si>
  <si>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</si>
  <si>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</si>
  <si>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</si>
  <si>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</si>
  <si>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</si>
  <si>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</si>
  <si>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</si>
  <si>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</si>
  <si>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</si>
  <si>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</si>
  <si>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</si>
  <si>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</si>
  <si>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</si>
  <si>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</si>
  <si>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</si>
  <si>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</si>
  <si>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</si>
  <si>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</si>
  <si>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</si>
  <si>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</si>
  <si>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</si>
  <si>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</si>
  <si>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</si>
  <si>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</si>
  <si>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</si>
  <si>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</si>
  <si>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</si>
  <si>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</si>
  <si>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</si>
  <si>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</si>
  <si>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</si>
  <si>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</si>
  <si>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</si>
  <si>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</si>
  <si>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</si>
  <si>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</si>
  <si>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</si>
  <si>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</si>
  <si>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</si>
  <si>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</si>
  <si>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</si>
  <si>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</si>
  <si>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</si>
  <si>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</si>
  <si>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</si>
  <si>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</si>
  <si>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</si>
  <si>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</si>
  <si>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</si>
  <si>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</si>
  <si>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</si>
  <si>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</si>
  <si>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</si>
  <si>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</si>
  <si>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</si>
  <si>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</si>
  <si>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</si>
  <si>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</si>
  <si>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</si>
  <si>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</si>
  <si>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</si>
  <si>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</si>
  <si>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</si>
  <si>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</si>
  <si>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</si>
  <si>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</si>
  <si>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</si>
  <si>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</si>
  <si>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</si>
  <si>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</si>
  <si>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</si>
  <si>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</si>
  <si>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</si>
  <si>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</si>
  <si>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</si>
  <si>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</si>
  <si>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</si>
  <si>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</si>
  <si>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</si>
  <si>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</si>
  <si>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</si>
  <si>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</si>
  <si>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</si>
  <si>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</si>
  <si>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</si>
  <si>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</si>
  <si>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</si>
  <si>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</si>
  <si>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</si>
  <si>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</si>
  <si>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</si>
  <si>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</si>
  <si>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</si>
  <si>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</si>
  <si>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</si>
  <si>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</si>
  <si>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</si>
  <si>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</si>
  <si>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</si>
  <si>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</si>
  <si>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</si>
  <si>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</si>
  <si>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</si>
  <si>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</si>
  <si>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</si>
  <si>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</si>
  <si>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</si>
  <si>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</si>
  <si>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</si>
  <si>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</si>
  <si>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</si>
  <si>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</si>
  <si>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</si>
  <si>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</si>
  <si>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</si>
  <si>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</si>
  <si>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</si>
  <si>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</si>
  <si>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</si>
  <si>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</si>
  <si>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</si>
  <si>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</si>
  <si>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</si>
  <si>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</si>
  <si>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</si>
  <si>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</si>
  <si>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</si>
  <si>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</si>
  <si>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</si>
  <si>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</si>
  <si>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</si>
  <si>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</si>
  <si>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</si>
  <si>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</si>
  <si>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</si>
  <si>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</si>
  <si>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</si>
  <si>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</si>
  <si>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</si>
  <si>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</si>
  <si>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</si>
  <si>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</si>
  <si>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</si>
  <si>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</si>
  <si>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</si>
  <si>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</si>
  <si>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</si>
  <si>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</si>
  <si>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</si>
  <si>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</si>
  <si>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</si>
  <si>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</si>
  <si>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</si>
  <si>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</si>
  <si>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</si>
  <si>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</si>
  <si>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</si>
  <si>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</si>
  <si>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</si>
  <si>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</si>
  <si>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</si>
  <si>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</si>
  <si>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</si>
  <si>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</si>
  <si>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</si>
  <si>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</si>
  <si>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</si>
  <si>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</si>
  <si>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</si>
  <si>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</si>
  <si>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</si>
  <si>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</si>
  <si>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</si>
  <si>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</si>
  <si>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</si>
  <si>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</si>
  <si>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</si>
  <si>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</si>
  <si>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</si>
  <si>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</si>
  <si>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</si>
  <si>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</si>
  <si>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</si>
  <si>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</si>
  <si>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</si>
  <si>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</si>
  <si>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</si>
  <si>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</si>
  <si>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</si>
  <si>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</si>
  <si>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</si>
  <si>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</si>
  <si>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</si>
  <si>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</si>
  <si>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</si>
  <si>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</si>
  <si>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</si>
  <si>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</si>
  <si>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</si>
  <si>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</si>
  <si>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</si>
  <si>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</si>
  <si>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</si>
  <si>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</si>
  <si>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</si>
  <si>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</si>
  <si>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</si>
  <si>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</si>
  <si>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</si>
  <si>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</si>
  <si>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</si>
  <si>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</si>
  <si>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</si>
  <si>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</si>
  <si>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</si>
  <si>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</si>
  <si>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</si>
  <si>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</si>
  <si>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</si>
  <si>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</si>
  <si>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</si>
  <si>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</si>
  <si>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</si>
  <si>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</si>
  <si>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</si>
  <si>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</si>
  <si>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</si>
  <si>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</si>
  <si>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</si>
  <si>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</si>
  <si>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</si>
  <si>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</si>
  <si>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</si>
  <si>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</si>
  <si>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</si>
  <si>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</si>
  <si>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</si>
  <si>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</si>
  <si>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</si>
  <si>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</si>
  <si>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</si>
  <si>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</si>
  <si>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</si>
  <si>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</si>
  <si>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</si>
  <si>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</si>
  <si>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</si>
  <si>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</si>
  <si>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</si>
  <si>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</si>
  <si>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</si>
  <si>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</si>
  <si>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</si>
  <si>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</si>
  <si>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</si>
  <si>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</si>
  <si>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</si>
  <si>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</si>
  <si>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</si>
  <si>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</si>
  <si>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</si>
  <si>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</si>
  <si>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</si>
  <si>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</si>
  <si>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</si>
  <si>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</si>
  <si>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</si>
  <si>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</si>
  <si>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</si>
  <si>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</si>
  <si>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</si>
  <si>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</si>
  <si>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</si>
  <si>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</si>
  <si>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</si>
  <si>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</si>
  <si>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</si>
  <si>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</si>
  <si>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</si>
  <si>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</si>
  <si>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</si>
  <si>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</si>
  <si>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</si>
  <si>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</si>
  <si>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</si>
  <si>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</si>
  <si>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</si>
  <si>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</si>
  <si>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</si>
  <si>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</si>
  <si>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</si>
  <si>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</si>
  <si>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</si>
  <si>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</si>
  <si>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</si>
  <si>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</si>
  <si>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</si>
  <si>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</si>
  <si>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</si>
  <si>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</si>
  <si>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</si>
  <si>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</si>
  <si>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</si>
  <si>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</si>
  <si>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</si>
  <si>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</si>
  <si>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</si>
  <si>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</si>
  <si>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</si>
  <si>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</si>
  <si>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</si>
  <si>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</si>
  <si>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</si>
  <si>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</si>
  <si>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</si>
  <si>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</si>
  <si>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</si>
  <si>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</si>
  <si>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</si>
  <si>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</si>
  <si>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</si>
  <si>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</si>
  <si>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</si>
  <si>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</si>
  <si>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</si>
  <si>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</si>
  <si>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</si>
  <si>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</si>
  <si>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</si>
  <si>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</si>
  <si>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</si>
  <si>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</si>
  <si>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</si>
  <si>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</si>
  <si>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</si>
  <si>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</si>
  <si>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</si>
  <si>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</si>
  <si>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</si>
  <si>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</si>
  <si>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</si>
  <si>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</si>
  <si>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</si>
  <si>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</si>
  <si>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</si>
  <si>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</si>
  <si>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</si>
  <si>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</si>
  <si>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</si>
  <si>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</si>
  <si>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</si>
  <si>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</si>
  <si>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</si>
  <si>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</si>
  <si>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</si>
  <si>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</si>
  <si>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</si>
  <si>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</si>
  <si>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</si>
  <si>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</si>
  <si>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</si>
  <si>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</si>
  <si>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</si>
  <si>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</si>
  <si>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</si>
  <si>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</si>
  <si>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</si>
  <si>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</si>
  <si>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</si>
  <si>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</si>
  <si>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</si>
  <si>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</si>
  <si>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</si>
  <si>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</si>
  <si>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</si>
  <si>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</si>
  <si>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</si>
  <si>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</si>
  <si>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</si>
  <si>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</si>
  <si>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</si>
  <si>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</si>
  <si>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</si>
  <si>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</si>
  <si>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</si>
  <si>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</si>
  <si>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</si>
  <si>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</si>
  <si>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</si>
  <si>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</si>
  <si>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</si>
  <si>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</si>
  <si>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</si>
  <si>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</si>
  <si>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</si>
  <si>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</si>
  <si>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</si>
  <si>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</si>
  <si>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</si>
  <si>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</si>
  <si>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</si>
  <si>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</si>
  <si>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</si>
  <si>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</si>
  <si>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</si>
  <si>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</si>
  <si>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</si>
  <si>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</si>
  <si>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</si>
  <si>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</si>
  <si>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</si>
  <si>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</si>
  <si>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</si>
  <si>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</si>
  <si>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</si>
  <si>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</si>
  <si>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</si>
  <si>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</si>
  <si>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</si>
  <si>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</si>
  <si>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</si>
  <si>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</si>
  <si>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</si>
  <si>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</si>
  <si>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</si>
  <si>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</si>
  <si>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</si>
  <si>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</si>
  <si>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</si>
  <si>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</si>
  <si>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</si>
  <si>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</si>
  <si>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</si>
  <si>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</si>
  <si>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</si>
  <si>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</si>
  <si>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</si>
  <si>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</si>
  <si>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</si>
  <si>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</si>
  <si>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</si>
  <si>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</si>
  <si>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</si>
  <si>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</si>
  <si>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</si>
  <si>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</si>
  <si>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</si>
  <si>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</si>
  <si>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</si>
  <si>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</si>
  <si>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</si>
  <si>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</si>
  <si>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</si>
  <si>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</si>
  <si>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</si>
  <si>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</si>
  <si>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</si>
  <si>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</si>
  <si>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</si>
  <si>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</si>
  <si>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</si>
  <si>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</si>
  <si>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required</t>
    <phoneticPr fontId="12" type="noConversion"/>
  </si>
  <si>
    <t>雷达站</t>
    <phoneticPr fontId="12" type="noConversion"/>
  </si>
  <si>
    <t>LEIDA</t>
    <phoneticPr fontId="12" type="noConversion"/>
  </si>
  <si>
    <t>属性id</t>
    <phoneticPr fontId="12" type="noConversion"/>
  </si>
  <si>
    <t>血量</t>
    <phoneticPr fontId="12" type="noConversion"/>
  </si>
  <si>
    <t>攻击</t>
    <phoneticPr fontId="12" type="noConversion"/>
  </si>
  <si>
    <t>个人属性</t>
    <phoneticPr fontId="12" type="noConversion"/>
  </si>
  <si>
    <t>僵尸属性</t>
    <phoneticPr fontId="12" type="noConversion"/>
  </si>
  <si>
    <t>id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</si>
  <si>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</si>
  <si>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</si>
  <si>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</si>
  <si>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</si>
  <si>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</si>
  <si>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</si>
  <si>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</si>
  <si>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</si>
  <si>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</si>
  <si>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</si>
  <si>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</si>
  <si>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</si>
  <si>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</si>
  <si>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</si>
  <si>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</si>
  <si>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</si>
  <si>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庄园实力限制</t>
    <phoneticPr fontId="12" type="noConversion"/>
  </si>
  <si>
    <t>算法系数k4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</si>
  <si>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</si>
  <si>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</si>
  <si>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</si>
  <si>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</si>
  <si>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</si>
  <si>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</si>
  <si>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</si>
  <si>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</si>
  <si>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</si>
  <si>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</si>
  <si>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</si>
  <si>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</si>
  <si>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</si>
  <si>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</si>
  <si>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</si>
  <si>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</si>
  <si>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</si>
  <si>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</si>
  <si>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</si>
  <si>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</si>
  <si>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</si>
  <si>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</si>
  <si>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</si>
  <si>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</si>
  <si>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</si>
  <si>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</si>
  <si>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</si>
  <si>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</si>
  <si>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</si>
  <si>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</si>
  <si>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</si>
  <si>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optional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</si>
  <si>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</si>
  <si>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</si>
  <si>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</si>
  <si>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</si>
  <si>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</si>
  <si>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</si>
  <si>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</si>
  <si>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</si>
  <si>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</si>
  <si>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</si>
  <si>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</si>
  <si>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</si>
  <si>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</si>
  <si>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</si>
  <si>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</si>
  <si>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</si>
  <si>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</si>
  <si>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</si>
  <si>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</si>
  <si>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</si>
  <si>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</si>
  <si>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</si>
  <si>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</si>
  <si>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</si>
  <si>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</si>
  <si>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</si>
  <si>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int32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</si>
  <si>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</si>
  <si>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</si>
  <si>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</si>
  <si>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</si>
  <si>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</si>
  <si>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</si>
  <si>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</si>
  <si>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</si>
  <si>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</si>
  <si>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</si>
  <si>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</si>
  <si>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</si>
  <si>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</si>
  <si>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</si>
  <si>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低了扣血</t>
    <phoneticPr fontId="12" type="noConversion"/>
  </si>
  <si>
    <t>影响上限</t>
    <phoneticPr fontId="12" type="noConversion"/>
  </si>
  <si>
    <t>影响回复速度</t>
    <phoneticPr fontId="12" type="noConversion"/>
  </si>
  <si>
    <t>影响闪避</t>
    <phoneticPr fontId="12" type="noConversion"/>
  </si>
  <si>
    <t>影响探险时间</t>
    <phoneticPr fontId="12" type="noConversion"/>
  </si>
  <si>
    <t>影响逃脱率</t>
    <phoneticPr fontId="12" type="noConversion"/>
  </si>
  <si>
    <t>战前逃脱率</t>
    <phoneticPr fontId="12" type="noConversion"/>
  </si>
  <si>
    <t>玩家不可见</t>
    <phoneticPr fontId="12" type="noConversion"/>
  </si>
  <si>
    <t>初始+健康/k1</t>
    <phoneticPr fontId="12" type="noConversion"/>
  </si>
  <si>
    <t>初始+健康/k1+心情/k2</t>
    <phoneticPr fontId="12" type="noConversion"/>
  </si>
  <si>
    <t>初始+健康k1</t>
    <phoneticPr fontId="12" type="noConversion"/>
  </si>
  <si>
    <t>ATK我-k1DEF敌</t>
    <phoneticPr fontId="12" type="noConversion"/>
  </si>
  <si>
    <t>初始+心情k1</t>
    <phoneticPr fontId="12" type="noConversion"/>
  </si>
  <si>
    <t>初始+k1*敏捷/（k2+智力）</t>
    <phoneticPr fontId="12" type="noConversion"/>
  </si>
  <si>
    <t>初始+k1*敏捷/（k2+敏捷）</t>
    <phoneticPr fontId="12" type="noConversion"/>
  </si>
  <si>
    <t>每5分钟回复算法</t>
    <phoneticPr fontId="12" type="noConversion"/>
  </si>
  <si>
    <t>1+心情/k1</t>
    <phoneticPr fontId="12" type="noConversion"/>
  </si>
  <si>
    <t>-1+心情/k1</t>
    <phoneticPr fontId="12" type="noConversion"/>
  </si>
  <si>
    <t>-1+心情/K1</t>
    <phoneticPr fontId="12" type="noConversion"/>
  </si>
  <si>
    <t>上限算法</t>
    <phoneticPr fontId="12" type="noConversion"/>
  </si>
  <si>
    <t>k1+k2*健康</t>
  </si>
  <si>
    <t>k1+k2*健康</t>
    <phoneticPr fontId="12" type="noConversion"/>
  </si>
  <si>
    <t>≤k1进入受伤状态</t>
    <phoneticPr fontId="12" type="noConversion"/>
  </si>
  <si>
    <t>≤k1停止血量恢复，每分钟扣血k2</t>
  </si>
  <si>
    <t>≤k1停止血量恢复，每分钟扣血k2</t>
    <phoneticPr fontId="12" type="noConversion"/>
  </si>
  <si>
    <t>值算法</t>
    <phoneticPr fontId="12" type="noConversion"/>
  </si>
  <si>
    <t>值算法k1*100</t>
    <phoneticPr fontId="12" type="noConversion"/>
  </si>
  <si>
    <t>值算法k2*100</t>
    <phoneticPr fontId="12" type="noConversion"/>
  </si>
  <si>
    <t>僵尸到大门的时间t</t>
    <phoneticPr fontId="12" type="noConversion"/>
  </si>
  <si>
    <t>掠夺完资源的时间t</t>
    <phoneticPr fontId="12" type="noConversion"/>
  </si>
  <si>
    <t>算法系数k1*100</t>
    <phoneticPr fontId="12" type="noConversion"/>
  </si>
  <si>
    <t>算法系数k2*100</t>
    <phoneticPr fontId="12" type="noConversion"/>
  </si>
  <si>
    <t>算法系数k3*100</t>
    <phoneticPr fontId="12" type="noConversion"/>
  </si>
  <si>
    <t>t</t>
    <phoneticPr fontId="12" type="noConversion"/>
  </si>
  <si>
    <t>k1*除了武器以外的建筑实力+k2*武器实力+k3*战力最高个人战力</t>
    <phoneticPr fontId="12" type="noConversion"/>
  </si>
  <si>
    <t>id</t>
    <phoneticPr fontId="12" type="noConversion"/>
  </si>
  <si>
    <t>世界事件延迟</t>
    <phoneticPr fontId="12" type="noConversion"/>
  </si>
  <si>
    <t>算法系数k5*10000</t>
    <phoneticPr fontId="12" type="noConversion"/>
  </si>
  <si>
    <t>k4,单位（min）</t>
    <phoneticPr fontId="12" type="noConversion"/>
  </si>
  <si>
    <t>系数</t>
    <phoneticPr fontId="12" type="noConversion"/>
  </si>
  <si>
    <t>表示系数</t>
    <phoneticPr fontId="12" type="noConversion"/>
  </si>
  <si>
    <t>k5,比例</t>
    <phoneticPr fontId="12" type="noConversion"/>
  </si>
  <si>
    <t>僵尸攻打延迟</t>
    <phoneticPr fontId="12" type="noConversion"/>
  </si>
  <si>
    <t>k4,单位（min）</t>
    <phoneticPr fontId="12" type="noConversion"/>
  </si>
  <si>
    <t>每级消耗资源价值（每级增加实力）</t>
    <phoneticPr fontId="12" type="noConversion"/>
  </si>
  <si>
    <t>伤害公式</t>
    <phoneticPr fontId="12" type="noConversion"/>
  </si>
  <si>
    <t>次数</t>
    <phoneticPr fontId="12" type="noConversion"/>
  </si>
  <si>
    <t>每分钟入侵庄园比例</t>
    <phoneticPr fontId="12" type="noConversion"/>
  </si>
  <si>
    <t>每个庄园每天被僵尸入侵上限</t>
    <phoneticPr fontId="12" type="noConversion"/>
  </si>
  <si>
    <t>每k4天每个庄园固定被入侵1次</t>
    <phoneticPr fontId="12" type="noConversion"/>
  </si>
  <si>
    <t>天数</t>
    <phoneticPr fontId="12" type="noConversion"/>
  </si>
  <si>
    <t>B级旱稻，种出来的大米虽然口感一般，但却是果腹生存之必备，符合国人的口味</t>
    <phoneticPr fontId="12" type="noConversion"/>
  </si>
  <si>
    <t>A级旱稻，种出来的大米虽然口感一般，但却是果腹生存之必备，符合国人的口味</t>
    <phoneticPr fontId="12" type="noConversion"/>
  </si>
  <si>
    <t>S级旱稻，种出来的大米虽然口感一般，但却是果腹生存之必备，符合国人的口味</t>
    <phoneticPr fontId="12" type="noConversion"/>
  </si>
  <si>
    <t>SS级旱稻，种出来的大米虽然口感一般，但却是果腹生存之必备，符合国人的口味</t>
    <phoneticPr fontId="12" type="noConversion"/>
  </si>
  <si>
    <t>此米只应天上有</t>
    <phoneticPr fontId="12" type="noConversion"/>
  </si>
  <si>
    <t>B级旱稻，种出来的大米虽然口感一般，但却是生存果腹之必备，符合国人的口味</t>
    <phoneticPr fontId="12" type="noConversion"/>
  </si>
  <si>
    <t>只吃白米饭？那样不健康！</t>
    <phoneticPr fontId="12" type="noConversion"/>
  </si>
  <si>
    <t>有了大米和蔬菜，你还差一个水果。吃了水果，不仅越来越健康，打僵尸都越来越有劲了！——尼古拉斯.赵四</t>
    <phoneticPr fontId="12" type="noConversion"/>
  </si>
  <si>
    <t>利用空气中的氮合成化肥，它可以让你的农作物长得更快！</t>
    <phoneticPr fontId="12" type="noConversion"/>
  </si>
  <si>
    <t>你可以不吃东西，但不能不喝水</t>
    <phoneticPr fontId="12" type="noConversion"/>
  </si>
  <si>
    <t>“它能够把纯净水加工成矿物质水，而矿物质水喝了更健康，所以人人都应该有一台矿物质水加工器”——专家如是说道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</si>
  <si>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</si>
  <si>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灵感来源于蝙蝠，它可以探测到正在接近庄园的东西</t>
    <phoneticPr fontId="12" type="noConversion"/>
  </si>
  <si>
    <t>农家仓库，居家必备</t>
    <phoneticPr fontId="12" type="noConversion"/>
  </si>
  <si>
    <t>工业仓库，谁用谁知道</t>
    <phoneticPr fontId="12" type="noConversion"/>
  </si>
  <si>
    <t>存储电力的设备</t>
    <phoneticPr fontId="12" type="noConversion"/>
  </si>
  <si>
    <t>通过高中学的电磁感应原理，将动能转化为电能。也许你会问："动能从哪里来？“你看了看你的大肚子，瞬间想通了这个道理</t>
    <phoneticPr fontId="12" type="noConversion"/>
  </si>
  <si>
    <t>僵尸咬人会释放动能，为什么我们不能将它利用起来呢？——你灵机一动，僵尸发电机诞生了</t>
    <phoneticPr fontId="12" type="noConversion"/>
  </si>
  <si>
    <t>僵尸发电机</t>
    <phoneticPr fontId="12" type="noConversion"/>
  </si>
  <si>
    <t>传统风力发电机，原理简单，构造可靠</t>
    <phoneticPr fontId="12" type="noConversion"/>
  </si>
  <si>
    <t>把原油精炼为汽油</t>
    <phoneticPr fontId="12" type="noConversion"/>
  </si>
  <si>
    <t>钢铁是怎样炼成的？——你需要铁，还有一个炼钢厂</t>
    <phoneticPr fontId="12" type="noConversion"/>
  </si>
  <si>
    <t>可以把松木加工成更易易于建造的松木板，极大的提高了建造质量。</t>
    <phoneticPr fontId="12" type="noConversion"/>
  </si>
  <si>
    <t>水泥做的围墙，谁用谁知道</t>
    <phoneticPr fontId="12" type="noConversion"/>
  </si>
  <si>
    <t>比起纯水泥，还是混凝土结实！</t>
    <phoneticPr fontId="12" type="noConversion"/>
  </si>
  <si>
    <t>大门不仅要气派，更要结实！</t>
    <phoneticPr fontId="12" type="noConversion"/>
  </si>
  <si>
    <t>搅啊搅，搅啊搅，水泥就成了混凝土，神不神奇，想不想要？！！</t>
    <phoneticPr fontId="12" type="noConversion"/>
  </si>
  <si>
    <t>曾经，学校后的小树林总会发生一些羞羞的事，但在这末世已经很难见到了——不过这些树木仍然是很好的建造材料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</si>
  <si>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</si>
  <si>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利用冷凝技术收集空气中的水</t>
    <phoneticPr fontId="12" type="noConversion"/>
  </si>
  <si>
    <t>“读书不如养猪”——现在你没有机会读书了，但你还有机会养猪</t>
    <phoneticPr fontId="12" type="noConversion"/>
  </si>
  <si>
    <t>饿了？来碗米饭吧！</t>
    <phoneticPr fontId="12" type="noConversion"/>
  </si>
  <si>
    <t>妈妈从小教导，多吃蔬菜，否则容易营养不良</t>
    <phoneticPr fontId="12" type="noConversion"/>
  </si>
  <si>
    <t>哥吃的不是水果，是健康</t>
    <phoneticPr fontId="12" type="noConversion"/>
  </si>
  <si>
    <t>升级农作物，提高农作物产量必备</t>
    <phoneticPr fontId="12" type="noConversion"/>
  </si>
  <si>
    <t>谁喝谁知道</t>
    <phoneticPr fontId="12" type="noConversion"/>
  </si>
  <si>
    <t>良好的建材</t>
    <phoneticPr fontId="12" type="noConversion"/>
  </si>
  <si>
    <t>更良好的建材</t>
    <phoneticPr fontId="12" type="noConversion"/>
  </si>
  <si>
    <t>人吃不了，但可加工为猪饲料</t>
    <phoneticPr fontId="12" type="noConversion"/>
  </si>
  <si>
    <t>黑色液体黄金</t>
    <phoneticPr fontId="12" type="noConversion"/>
  </si>
  <si>
    <t>武器和建筑当中会大量用到</t>
    <phoneticPr fontId="12" type="noConversion"/>
  </si>
  <si>
    <t>末日世界，难免受伤，来个急救包吧！</t>
    <phoneticPr fontId="12" type="noConversion"/>
  </si>
  <si>
    <t>前庄园设计师写的日志，可用于还原庄园内建筑</t>
    <phoneticPr fontId="12" type="noConversion"/>
  </si>
  <si>
    <t>解锁墙上重机枪必备</t>
    <phoneticPr fontId="12" type="noConversion"/>
  </si>
  <si>
    <t>解锁墙上狙击枪必备</t>
    <phoneticPr fontId="12" type="noConversion"/>
  </si>
  <si>
    <t>解锁墙上机炮必备</t>
    <phoneticPr fontId="12" type="noConversion"/>
  </si>
  <si>
    <t>体会院士精神，学习杂交水稻，据说在后期大有用处</t>
    <phoneticPr fontId="12" type="noConversion"/>
  </si>
  <si>
    <t>学习制作化肥，技多不压身，未来一定会有用的</t>
    <phoneticPr fontId="12" type="noConversion"/>
  </si>
  <si>
    <t>学习养猪，未来一定会有用的</t>
    <phoneticPr fontId="12" type="noConversion"/>
  </si>
  <si>
    <t>学习仓储管理，未来一定会有用的</t>
    <phoneticPr fontId="12" type="noConversion"/>
  </si>
  <si>
    <t>石油大亨——洛克菲勒个人传记</t>
    <phoneticPr fontId="12" type="noConversion"/>
  </si>
  <si>
    <t>尼古拉.特斯拉个人传记，如果能领会里面的内容，或许会在电磁学上有所长进</t>
    <phoneticPr fontId="12" type="noConversion"/>
  </si>
  <si>
    <t>钢铁大亨卡耐基个人传记</t>
    <phoneticPr fontId="12" type="noConversion"/>
  </si>
  <si>
    <t>瞻仰大师风采，体会工匠精神</t>
    <phoneticPr fontId="12" type="noConversion"/>
  </si>
  <si>
    <t>学好土木工程，走遍天下都不怕</t>
    <phoneticPr fontId="12" type="noConversion"/>
  </si>
  <si>
    <t>看起来挺有用，但不知道具体有什么用</t>
    <phoneticPr fontId="12" type="noConversion"/>
  </si>
  <si>
    <t>英籍美国人海勒姆·史蒂文斯·马克沁于1883年发明了马克沁机枪，看看他的生平吧！说不定能学到什么</t>
    <phoneticPr fontId="12" type="noConversion"/>
  </si>
  <si>
    <t>由鲁道夫·赫斯执笔撰写，阿道夫.希特勒口授的一本关于希特勒自身的自传。记载了很多当年纳粹德国的秘密</t>
    <phoneticPr fontId="12" type="noConversion"/>
  </si>
  <si>
    <t>美国人理查·乔登·加特林在1860年设计了一款多管旋转机关枪，也许他不知道，他的这款设计将会改写未来战争格局</t>
    <phoneticPr fontId="12" type="noConversion"/>
  </si>
  <si>
    <t>摄影师朗尼·巴雷特于1981年开始设计一款大口径狙击步枪，并于第二年创立了巴雷特军火公司</t>
    <phoneticPr fontId="12" type="noConversion"/>
  </si>
  <si>
    <t>30多年前的一个知名主播写的指南，吃鸡是什么？没人知道</t>
    <phoneticPr fontId="12" type="noConversion"/>
  </si>
  <si>
    <t>保护头部，谁用谁知道</t>
    <phoneticPr fontId="12" type="noConversion"/>
  </si>
  <si>
    <t>携带方便，威力也还可以</t>
    <phoneticPr fontId="12" type="noConversion"/>
  </si>
  <si>
    <t>威力巨大，挨一枪身上就是一个窟窿，射速也非常恐怖</t>
    <phoneticPr fontId="12" type="noConversion"/>
  </si>
  <si>
    <t>没有什么问题是一挺机关枪不能解决的，如果有，就两挺</t>
    <phoneticPr fontId="12" type="noConversion"/>
  </si>
  <si>
    <t>劣质防弹衣，能防塑料子弹</t>
    <phoneticPr fontId="12" type="noConversion"/>
  </si>
  <si>
    <t>民用防弹衣，防个手枪，防个僵尸，问题都不大</t>
    <phoneticPr fontId="12" type="noConversion"/>
  </si>
  <si>
    <t>军用防弹衣，刀枪不入</t>
    <phoneticPr fontId="12" type="noConversion"/>
  </si>
  <si>
    <t>虽然不能防止被僵尸咬，但穿着还是挺舒服的</t>
    <phoneticPr fontId="12" type="noConversion"/>
  </si>
  <si>
    <t>一般的僵尸咬不穿，防护性还不错</t>
    <phoneticPr fontId="12" type="noConversion"/>
  </si>
  <si>
    <t>凯夫拉纤维制作的裤子，把腿伸长了给僵尸咬都只是挠痒痒</t>
    <phoneticPr fontId="12" type="noConversion"/>
  </si>
  <si>
    <t>产地：莆田</t>
    <phoneticPr fontId="12" type="noConversion"/>
  </si>
  <si>
    <t>产地：莆田，但质量确是精品中的精品</t>
    <phoneticPr fontId="12" type="noConversion"/>
  </si>
  <si>
    <t>“穿上之后，我感觉要飞起来了”——博尔特如是说道</t>
    <phoneticPr fontId="12" type="noConversion"/>
  </si>
  <si>
    <t>“研究表明，长期喝矿物质水能够让人更加健康”——专家如是说道</t>
    <phoneticPr fontId="12" type="noConversion"/>
  </si>
  <si>
    <t>猪猪最喜欢吃了</t>
    <phoneticPr fontId="12" type="noConversion"/>
  </si>
  <si>
    <t>吃一口，管一天。肥而不腻，肉质鲜嫩</t>
    <phoneticPr fontId="12" type="noConversion"/>
  </si>
  <si>
    <t>主要成分是 C4 ~C12 烃类，为混合烃类物品之一，加到汽车里跑得飞快</t>
    <phoneticPr fontId="12" type="noConversion"/>
  </si>
  <si>
    <t>比铁更硬，还不容易生锈，是上等的建筑和武器制作材料</t>
    <phoneticPr fontId="12" type="noConversion"/>
  </si>
  <si>
    <t>加工成木板的松木，是上等的建筑材料</t>
    <phoneticPr fontId="12" type="noConversion"/>
  </si>
  <si>
    <t>由水泥搅拌而来，但强度比水泥更高，是上等的建筑材料</t>
    <phoneticPr fontId="12" type="noConversion"/>
  </si>
  <si>
    <t>battery.prefab</t>
  </si>
  <si>
    <t>battery.prefab</t>
    <phoneticPr fontId="12" type="noConversion"/>
  </si>
  <si>
    <t>grainfarm.prefab</t>
    <phoneticPr fontId="12" type="noConversion"/>
  </si>
  <si>
    <t>fruitfarm.prefab</t>
    <phoneticPr fontId="12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</si>
  <si>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</si>
  <si>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</si>
  <si>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</si>
  <si>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</si>
  <si>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</si>
  <si>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</si>
  <si>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风能发电机</t>
    <phoneticPr fontId="12" type="noConversion"/>
  </si>
  <si>
    <t>windpowerplant.prefab</t>
    <phoneticPr fontId="12" type="noConversion"/>
  </si>
  <si>
    <t>storehouse.prefab</t>
  </si>
  <si>
    <t>waterfactory.prefab</t>
  </si>
  <si>
    <t>watercollector.prefab</t>
  </si>
  <si>
    <t>well.prefab</t>
  </si>
  <si>
    <t>饲料研磨器</t>
    <phoneticPr fontId="12" type="noConversion"/>
  </si>
  <si>
    <t>利用风能，把草研磨成饲料，然后可以用来喂猪。环保节能，职业养猪人的选择，值得信赖</t>
    <phoneticPr fontId="12" type="noConversion"/>
  </si>
  <si>
    <t>feedfactory.prefab</t>
  </si>
  <si>
    <t>stockhouse.prefab</t>
  </si>
  <si>
    <t>gold_lim</t>
    <phoneticPr fontId="12" type="noConversion"/>
  </si>
  <si>
    <t>bw_lim</t>
    <phoneticPr fontId="12" type="noConversion"/>
  </si>
  <si>
    <t>gold_prop</t>
    <phoneticPr fontId="12" type="noConversion"/>
  </si>
  <si>
    <t>transit_depot</t>
    <phoneticPr fontId="12" type="noConversion"/>
  </si>
  <si>
    <t>big_warehouse</t>
    <phoneticPr fontId="12" type="noConversion"/>
  </si>
  <si>
    <t>黄金比例*100</t>
    <phoneticPr fontId="12" type="noConversion"/>
  </si>
  <si>
    <t>庄园等级</t>
    <phoneticPr fontId="12" type="noConversion"/>
  </si>
  <si>
    <t>required</t>
    <phoneticPr fontId="12" type="noConversion"/>
  </si>
  <si>
    <t>optional</t>
    <phoneticPr fontId="12" type="noConversion"/>
  </si>
  <si>
    <t>int32</t>
    <phoneticPr fontId="12" type="noConversion"/>
  </si>
  <si>
    <t>id</t>
    <phoneticPr fontId="12" type="noConversion"/>
  </si>
  <si>
    <t>领取类比例*100</t>
    <phoneticPr fontId="12" type="noConversion"/>
  </si>
  <si>
    <t>大仓库比例*100</t>
    <phoneticPr fontId="12" type="noConversion"/>
  </si>
  <si>
    <t>上限(单个资源）</t>
    <phoneticPr fontId="12" type="noConversion"/>
  </si>
  <si>
    <t>黄金上限</t>
    <phoneticPr fontId="12" type="noConversion"/>
  </si>
  <si>
    <t>rice</t>
    <phoneticPr fontId="12" type="noConversion"/>
  </si>
  <si>
    <t>vegetable</t>
    <phoneticPr fontId="12" type="noConversion"/>
  </si>
  <si>
    <t>fruit</t>
    <phoneticPr fontId="12" type="noConversion"/>
  </si>
  <si>
    <t>fertilizer</t>
    <phoneticPr fontId="12" type="noConversion"/>
  </si>
  <si>
    <t>water</t>
    <phoneticPr fontId="12" type="noConversion"/>
  </si>
  <si>
    <t>wood</t>
    <phoneticPr fontId="12" type="noConversion"/>
  </si>
  <si>
    <t>cement</t>
    <phoneticPr fontId="12" type="noConversion"/>
  </si>
  <si>
    <t>grass</t>
    <phoneticPr fontId="12" type="noConversion"/>
  </si>
  <si>
    <t>crudeoil</t>
    <phoneticPr fontId="12" type="noConversion"/>
  </si>
  <si>
    <t>iron</t>
    <phoneticPr fontId="12" type="noConversion"/>
  </si>
  <si>
    <t>aidkit</t>
    <phoneticPr fontId="12" type="noConversion"/>
  </si>
  <si>
    <t>book</t>
    <phoneticPr fontId="12" type="noConversion"/>
  </si>
  <si>
    <t>weapondrawing</t>
    <phoneticPr fontId="12" type="noConversion"/>
  </si>
  <si>
    <t>water2</t>
    <phoneticPr fontId="12" type="noConversion"/>
  </si>
  <si>
    <t>fodder</t>
    <phoneticPr fontId="12" type="noConversion"/>
  </si>
  <si>
    <t>pork</t>
    <phoneticPr fontId="12" type="noConversion"/>
  </si>
  <si>
    <t>gasoline</t>
    <phoneticPr fontId="12" type="noConversion"/>
  </si>
  <si>
    <t>steel</t>
    <phoneticPr fontId="12" type="noConversion"/>
  </si>
  <si>
    <t>plank</t>
    <phoneticPr fontId="12" type="noConversion"/>
  </si>
  <si>
    <t>concrete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</si>
</sst>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20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44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3" xfId="1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13" xfId="0" quotePrefix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top"/>
    </xf>
    <xf numFmtId="0" fontId="4" fillId="19" borderId="1" xfId="1" applyFont="1" applyFill="1" applyBorder="1" applyAlignment="1">
      <alignment horizontal="center" vertical="center"/>
    </xf>
    <xf numFmtId="0" fontId="4" fillId="19" borderId="0" xfId="1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605</v>
      </c>
    </row>
    <row r="16" spans="1:7" x14ac:dyDescent="0.15">
      <c r="B16" s="44">
        <v>2</v>
      </c>
      <c r="D16" s="44" t="s">
        <v>258</v>
      </c>
      <c r="F16" s="44" t="s">
        <v>606</v>
      </c>
    </row>
    <row r="17" spans="2:6" x14ac:dyDescent="0.15">
      <c r="B17" s="44">
        <v>3</v>
      </c>
      <c r="D17" s="44" t="s">
        <v>257</v>
      </c>
      <c r="F17" s="44" t="s">
        <v>738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637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517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zoomScaleNormal="100" workbookViewId="0">
      <selection activeCell="N449" sqref="N449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29.375" style="9" customWidth="1"/>
    <col min="19" max="19" width="5.625" style="77" bestFit="1" customWidth="1"/>
    <col min="20" max="20" width="21.125" style="85" bestFit="1" customWidth="1"/>
    <col min="21" max="21" width="27.25" style="9" bestFit="1" customWidth="1"/>
    <col min="22" max="22" width="27.25" style="11" bestFit="1" customWidth="1"/>
    <col min="23" max="23" width="21.125" style="85" bestFit="1" customWidth="1"/>
    <col min="24" max="24" width="27.25" style="9" bestFit="1" customWidth="1"/>
    <col min="25" max="25" width="5.625" style="77" bestFit="1" customWidth="1"/>
    <col min="26" max="26" width="27.25" style="9" bestFit="1" customWidth="1"/>
    <col min="27" max="27" width="21.125" style="9" bestFit="1" customWidth="1"/>
    <col min="28" max="28" width="5.625" style="77" bestFit="1" customWidth="1"/>
    <col min="29" max="29" width="21.125" style="9" bestFit="1" customWidth="1"/>
    <col min="30" max="30" width="5.625" style="77" bestFit="1" customWidth="1"/>
    <col min="31" max="31" width="21.125" style="56" bestFit="1" customWidth="1"/>
    <col min="32" max="32" width="21.125" style="10" bestFit="1" customWidth="1"/>
    <col min="33" max="33" width="5.625" style="77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513</v>
      </c>
      <c r="U2" s="9" t="s">
        <v>535</v>
      </c>
      <c r="V2" s="11" t="s">
        <v>61</v>
      </c>
      <c r="X2" s="9" t="s">
        <v>535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515</v>
      </c>
      <c r="U3" s="9" t="s">
        <v>562</v>
      </c>
      <c r="V3" s="11" t="s">
        <v>586</v>
      </c>
      <c r="X3" s="9" t="s">
        <v>536</v>
      </c>
      <c r="Z3" s="9" t="s">
        <v>335</v>
      </c>
      <c r="AA3" s="9" t="s">
        <v>340</v>
      </c>
      <c r="AC3" s="9" t="s">
        <v>435</v>
      </c>
      <c r="AE3" s="56" t="s">
        <v>462</v>
      </c>
      <c r="AH3" s="31" t="s">
        <v>246</v>
      </c>
      <c r="AI3" s="30"/>
      <c r="AJ3" s="31" t="s">
        <v>437</v>
      </c>
      <c r="AK3" s="30"/>
      <c r="AL3" s="31" t="s">
        <v>516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587</v>
      </c>
      <c r="I4" s="27" t="s">
        <v>239</v>
      </c>
      <c r="J4" s="78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514</v>
      </c>
      <c r="S4" s="78" t="s">
        <v>584</v>
      </c>
      <c r="T4" s="86" t="s">
        <v>566</v>
      </c>
      <c r="U4" s="27" t="s">
        <v>564</v>
      </c>
      <c r="V4" s="89" t="s">
        <v>595</v>
      </c>
      <c r="W4" s="86" t="s">
        <v>565</v>
      </c>
      <c r="X4" s="27" t="s">
        <v>563</v>
      </c>
      <c r="Y4" s="78" t="s">
        <v>583</v>
      </c>
      <c r="Z4" s="27" t="s">
        <v>334</v>
      </c>
      <c r="AA4" s="27" t="s">
        <v>339</v>
      </c>
      <c r="AB4" s="78" t="s">
        <v>433</v>
      </c>
      <c r="AC4" s="27" t="s">
        <v>624</v>
      </c>
      <c r="AD4" s="78" t="s">
        <v>585</v>
      </c>
      <c r="AE4" s="90" t="s">
        <v>743</v>
      </c>
      <c r="AF4" s="91" t="s">
        <v>623</v>
      </c>
      <c r="AG4" s="78" t="s">
        <v>171</v>
      </c>
      <c r="AH4" s="66" t="s">
        <v>318</v>
      </c>
      <c r="AI4" s="65" t="s">
        <v>434</v>
      </c>
      <c r="AJ4" s="66" t="s">
        <v>436</v>
      </c>
      <c r="AK4" s="65" t="s">
        <v>438</v>
      </c>
      <c r="AL4" s="66" t="s">
        <v>444</v>
      </c>
      <c r="AM4" s="65" t="s">
        <v>445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596</v>
      </c>
      <c r="L5" s="16">
        <v>1</v>
      </c>
      <c r="M5" s="16">
        <v>15</v>
      </c>
      <c r="N5" s="16" t="s">
        <v>833</v>
      </c>
      <c r="O5" s="17"/>
      <c r="P5" s="17"/>
      <c r="Q5" s="18"/>
      <c r="R5" s="16" t="s">
        <v>755</v>
      </c>
      <c r="S5" s="79"/>
      <c r="T5" s="87"/>
      <c r="U5" s="16">
        <f ca="1">IFERROR(OFFSET(ITEM_RES!$A$5,MATCH(BUILDING!T5,ITEM_RES!$J$5:$J$228,0)-1,0),0)</f>
        <v>0</v>
      </c>
      <c r="V5" s="18"/>
      <c r="W5" s="87" t="s">
        <v>567</v>
      </c>
      <c r="X5" s="16">
        <f ca="1">IFERROR(OFFSET(ITEM_RES!$A$5,MATCH(BUILDING!W5,ITEM_RES!$J$5:$J$228,0)-1,0),0)</f>
        <v>211010101</v>
      </c>
      <c r="Y5" s="79"/>
      <c r="Z5" s="16" t="s">
        <v>537</v>
      </c>
      <c r="AA5" s="16">
        <v>1</v>
      </c>
      <c r="AB5" s="79"/>
      <c r="AC5" s="16">
        <v>0</v>
      </c>
      <c r="AD5" s="79"/>
      <c r="AE5" s="57">
        <f>AK5*10+AM5+AR5+AW5+500*BB5+500*BG5+500*BL5</f>
        <v>605</v>
      </c>
      <c r="AF5" s="17">
        <f>AE5</f>
        <v>605</v>
      </c>
      <c r="AG5" s="79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446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472</v>
      </c>
      <c r="AW5" s="18">
        <v>25</v>
      </c>
      <c r="AX5" s="17"/>
      <c r="AY5" s="18"/>
      <c r="AZ5" s="18">
        <f ca="1">IFERROR(OFFSET(ITEM_RES!$A$1,MATCH(BA5,ITEM_RES!$J:$J,0)-1,0),0)</f>
        <v>213010101</v>
      </c>
      <c r="BA5" s="17" t="s">
        <v>478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596</v>
      </c>
      <c r="L6" s="9">
        <v>1</v>
      </c>
      <c r="M6" s="9">
        <v>15</v>
      </c>
      <c r="N6" s="9" t="s">
        <v>833</v>
      </c>
      <c r="R6" s="9" t="s">
        <v>750</v>
      </c>
      <c r="U6" s="9">
        <f ca="1">IFERROR(OFFSET(ITEM_RES!$A$5,MATCH(BUILDING!T6,ITEM_RES!$J$5:$J$228,0)-1,0),0)</f>
        <v>0</v>
      </c>
      <c r="W6" s="85" t="s">
        <v>567</v>
      </c>
      <c r="X6" s="9">
        <f ca="1">IFERROR(OFFSET(ITEM_RES!$A$5,MATCH(BUILDING!W6,ITEM_RES!$J$5:$J$228,0)-1,0),0)</f>
        <v>211010101</v>
      </c>
      <c r="Z6" s="9" t="s">
        <v>537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446</v>
      </c>
      <c r="AR6" s="11">
        <v>50</v>
      </c>
      <c r="AU6" s="11">
        <f ca="1">IFERROR(OFFSET(ITEM_RES!$A$1,MATCH(AV6,ITEM_RES!$J:$J,0)-1,0),0)</f>
        <v>211020101</v>
      </c>
      <c r="AV6" s="10" t="s">
        <v>472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596</v>
      </c>
      <c r="L7" s="9">
        <v>1</v>
      </c>
      <c r="M7" s="9">
        <v>15</v>
      </c>
      <c r="N7" s="9" t="s">
        <v>833</v>
      </c>
      <c r="R7" s="9" t="s">
        <v>750</v>
      </c>
      <c r="U7" s="9">
        <f ca="1">IFERROR(OFFSET(ITEM_RES!$A$5,MATCH(BUILDING!T7,ITEM_RES!$J$5:$J$228,0)-1,0),0)</f>
        <v>0</v>
      </c>
      <c r="W7" s="85" t="s">
        <v>567</v>
      </c>
      <c r="X7" s="9">
        <f ca="1">IFERROR(OFFSET(ITEM_RES!$A$5,MATCH(BUILDING!W7,ITEM_RES!$J$5:$J$228,0)-1,0),0)</f>
        <v>211010101</v>
      </c>
      <c r="Z7" s="9" t="s">
        <v>537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446</v>
      </c>
      <c r="AR7" s="11">
        <v>75</v>
      </c>
      <c r="AU7" s="11">
        <f ca="1">IFERROR(OFFSET(ITEM_RES!$A$1,MATCH(AV7,ITEM_RES!$J:$J,0)-1,0),0)</f>
        <v>211020101</v>
      </c>
      <c r="AV7" s="10" t="s">
        <v>472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596</v>
      </c>
      <c r="L8" s="9">
        <v>1</v>
      </c>
      <c r="M8" s="9">
        <v>15</v>
      </c>
      <c r="N8" s="9" t="s">
        <v>833</v>
      </c>
      <c r="R8" s="9" t="s">
        <v>751</v>
      </c>
      <c r="U8" s="9">
        <f ca="1">IFERROR(OFFSET(ITEM_RES!$A$5,MATCH(BUILDING!T8,ITEM_RES!$J$5:$J$228,0)-1,0),0)</f>
        <v>0</v>
      </c>
      <c r="W8" s="85" t="s">
        <v>567</v>
      </c>
      <c r="X8" s="9">
        <f ca="1">IFERROR(OFFSET(ITEM_RES!$A$5,MATCH(BUILDING!W8,ITEM_RES!$J$5:$J$228,0)-1,0),0)</f>
        <v>211010101</v>
      </c>
      <c r="Z8" s="9" t="s">
        <v>537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446</v>
      </c>
      <c r="AR8" s="11">
        <v>125</v>
      </c>
      <c r="AU8" s="11">
        <f ca="1">IFERROR(OFFSET(ITEM_RES!$A$1,MATCH(AV8,ITEM_RES!$J:$J,0)-1,0),0)</f>
        <v>211020101</v>
      </c>
      <c r="AV8" s="10" t="s">
        <v>472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596</v>
      </c>
      <c r="L9" s="9">
        <v>1</v>
      </c>
      <c r="M9" s="9">
        <v>15</v>
      </c>
      <c r="N9" s="9" t="s">
        <v>833</v>
      </c>
      <c r="R9" s="9" t="s">
        <v>751</v>
      </c>
      <c r="U9" s="9">
        <f ca="1">IFERROR(OFFSET(ITEM_RES!$A$5,MATCH(BUILDING!T9,ITEM_RES!$J$5:$J$228,0)-1,0),0)</f>
        <v>0</v>
      </c>
      <c r="W9" s="85" t="s">
        <v>567</v>
      </c>
      <c r="X9" s="9">
        <f ca="1">IFERROR(OFFSET(ITEM_RES!$A$5,MATCH(BUILDING!W9,ITEM_RES!$J$5:$J$228,0)-1,0),0)</f>
        <v>211010101</v>
      </c>
      <c r="Z9" s="9" t="s">
        <v>537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446</v>
      </c>
      <c r="AR9" s="11">
        <v>200</v>
      </c>
      <c r="AU9" s="11">
        <f ca="1">IFERROR(OFFSET(ITEM_RES!$A$1,MATCH(AV9,ITEM_RES!$J:$J,0)-1,0),0)</f>
        <v>211020101</v>
      </c>
      <c r="AV9" s="10" t="s">
        <v>472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596</v>
      </c>
      <c r="L10" s="9">
        <v>1</v>
      </c>
      <c r="M10" s="9">
        <v>15</v>
      </c>
      <c r="N10" s="9" t="s">
        <v>833</v>
      </c>
      <c r="R10" s="9" t="s">
        <v>751</v>
      </c>
      <c r="U10" s="9">
        <f ca="1">IFERROR(OFFSET(ITEM_RES!$A$5,MATCH(BUILDING!T10,ITEM_RES!$J$5:$J$228,0)-1,0),0)</f>
        <v>0</v>
      </c>
      <c r="W10" s="85" t="s">
        <v>567</v>
      </c>
      <c r="X10" s="9">
        <f ca="1">IFERROR(OFFSET(ITEM_RES!$A$5,MATCH(BUILDING!W10,ITEM_RES!$J$5:$J$228,0)-1,0),0)</f>
        <v>211010101</v>
      </c>
      <c r="Z10" s="9" t="s">
        <v>537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446</v>
      </c>
      <c r="AR10" s="11">
        <v>250</v>
      </c>
      <c r="AU10" s="11">
        <f ca="1">IFERROR(OFFSET(ITEM_RES!$A$1,MATCH(AV10,ITEM_RES!$J:$J,0)-1,0),0)</f>
        <v>211020101</v>
      </c>
      <c r="AV10" s="10" t="s">
        <v>472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596</v>
      </c>
      <c r="L11" s="9">
        <v>1</v>
      </c>
      <c r="M11" s="9">
        <v>15</v>
      </c>
      <c r="N11" s="9" t="s">
        <v>833</v>
      </c>
      <c r="R11" s="9" t="s">
        <v>751</v>
      </c>
      <c r="U11" s="9">
        <f ca="1">IFERROR(OFFSET(ITEM_RES!$A$5,MATCH(BUILDING!T11,ITEM_RES!$J$5:$J$228,0)-1,0),0)</f>
        <v>0</v>
      </c>
      <c r="W11" s="85" t="s">
        <v>567</v>
      </c>
      <c r="X11" s="9">
        <f ca="1">IFERROR(OFFSET(ITEM_RES!$A$5,MATCH(BUILDING!W11,ITEM_RES!$J$5:$J$228,0)-1,0),0)</f>
        <v>211010101</v>
      </c>
      <c r="Z11" s="9" t="s">
        <v>537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446</v>
      </c>
      <c r="AR11" s="11">
        <v>500</v>
      </c>
      <c r="AU11" s="11">
        <f ca="1">IFERROR(OFFSET(ITEM_RES!$A$1,MATCH(AV11,ITEM_RES!$J:$J,0)-1,0),0)</f>
        <v>211020101</v>
      </c>
      <c r="AV11" s="10" t="s">
        <v>472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596</v>
      </c>
      <c r="L12" s="9">
        <v>1</v>
      </c>
      <c r="M12" s="9">
        <v>15</v>
      </c>
      <c r="N12" s="9" t="s">
        <v>833</v>
      </c>
      <c r="R12" s="9" t="s">
        <v>751</v>
      </c>
      <c r="U12" s="9">
        <f ca="1">IFERROR(OFFSET(ITEM_RES!$A$5,MATCH(BUILDING!T12,ITEM_RES!$J$5:$J$228,0)-1,0),0)</f>
        <v>0</v>
      </c>
      <c r="W12" s="85" t="s">
        <v>567</v>
      </c>
      <c r="X12" s="9">
        <f ca="1">IFERROR(OFFSET(ITEM_RES!$A$5,MATCH(BUILDING!W12,ITEM_RES!$J$5:$J$228,0)-1,0),0)</f>
        <v>211010101</v>
      </c>
      <c r="Z12" s="9" t="s">
        <v>537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446</v>
      </c>
      <c r="AR12" s="11">
        <v>500</v>
      </c>
      <c r="AU12" s="11">
        <f ca="1">IFERROR(OFFSET(ITEM_RES!$A$1,MATCH(AV12,ITEM_RES!$J:$J,0)-1,0),0)</f>
        <v>211020101</v>
      </c>
      <c r="AV12" s="10" t="s">
        <v>472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596</v>
      </c>
      <c r="L13" s="9">
        <v>1</v>
      </c>
      <c r="M13" s="9">
        <v>15</v>
      </c>
      <c r="N13" s="9" t="s">
        <v>833</v>
      </c>
      <c r="R13" s="9" t="s">
        <v>752</v>
      </c>
      <c r="U13" s="9">
        <f ca="1">IFERROR(OFFSET(ITEM_RES!$A$5,MATCH(BUILDING!T13,ITEM_RES!$J$5:$J$228,0)-1,0),0)</f>
        <v>0</v>
      </c>
      <c r="W13" s="85" t="s">
        <v>567</v>
      </c>
      <c r="X13" s="9">
        <f ca="1">IFERROR(OFFSET(ITEM_RES!$A$5,MATCH(BUILDING!W13,ITEM_RES!$J$5:$J$228,0)-1,0),0)</f>
        <v>211010101</v>
      </c>
      <c r="Z13" s="9" t="s">
        <v>537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446</v>
      </c>
      <c r="AR13" s="11">
        <v>750</v>
      </c>
      <c r="AU13" s="11">
        <f ca="1">IFERROR(OFFSET(ITEM_RES!$A$1,MATCH(AV13,ITEM_RES!$J:$J,0)-1,0),0)</f>
        <v>211020101</v>
      </c>
      <c r="AV13" s="10" t="s">
        <v>472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596</v>
      </c>
      <c r="L14" s="9">
        <v>1</v>
      </c>
      <c r="M14" s="9">
        <v>15</v>
      </c>
      <c r="N14" s="9" t="s">
        <v>833</v>
      </c>
      <c r="R14" s="9" t="s">
        <v>752</v>
      </c>
      <c r="U14" s="9">
        <f ca="1">IFERROR(OFFSET(ITEM_RES!$A$5,MATCH(BUILDING!T14,ITEM_RES!$J$5:$J$228,0)-1,0),0)</f>
        <v>0</v>
      </c>
      <c r="W14" s="85" t="s">
        <v>567</v>
      </c>
      <c r="X14" s="9">
        <f ca="1">IFERROR(OFFSET(ITEM_RES!$A$5,MATCH(BUILDING!W14,ITEM_RES!$J$5:$J$228,0)-1,0),0)</f>
        <v>211010101</v>
      </c>
      <c r="Z14" s="9" t="s">
        <v>537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446</v>
      </c>
      <c r="AR14" s="11">
        <v>1000</v>
      </c>
      <c r="AU14" s="11">
        <f ca="1">IFERROR(OFFSET(ITEM_RES!$A$1,MATCH(AV14,ITEM_RES!$J:$J,0)-1,0),0)</f>
        <v>211020101</v>
      </c>
      <c r="AV14" s="10" t="s">
        <v>472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213010501</v>
      </c>
      <c r="BF14" s="10" t="s">
        <v>485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596</v>
      </c>
      <c r="L15" s="9">
        <v>1</v>
      </c>
      <c r="M15" s="9">
        <v>15</v>
      </c>
      <c r="N15" s="9" t="s">
        <v>833</v>
      </c>
      <c r="R15" s="9" t="s">
        <v>752</v>
      </c>
      <c r="U15" s="9">
        <f ca="1">IFERROR(OFFSET(ITEM_RES!$A$5,MATCH(BUILDING!T15,ITEM_RES!$J$5:$J$228,0)-1,0),0)</f>
        <v>0</v>
      </c>
      <c r="W15" s="85" t="s">
        <v>567</v>
      </c>
      <c r="X15" s="9">
        <f ca="1">IFERROR(OFFSET(ITEM_RES!$A$5,MATCH(BUILDING!W15,ITEM_RES!$J$5:$J$228,0)-1,0),0)</f>
        <v>211010101</v>
      </c>
      <c r="Z15" s="9" t="s">
        <v>537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446</v>
      </c>
      <c r="AR15" s="11">
        <v>1250</v>
      </c>
      <c r="AU15" s="11">
        <f ca="1">IFERROR(OFFSET(ITEM_RES!$A$1,MATCH(AV15,ITEM_RES!$J:$J,0)-1,0),0)</f>
        <v>211020101</v>
      </c>
      <c r="AV15" s="10" t="s">
        <v>472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596</v>
      </c>
      <c r="L16" s="9">
        <v>1</v>
      </c>
      <c r="M16" s="9">
        <v>15</v>
      </c>
      <c r="N16" s="9" t="s">
        <v>833</v>
      </c>
      <c r="R16" s="9" t="s">
        <v>752</v>
      </c>
      <c r="U16" s="9">
        <f ca="1">IFERROR(OFFSET(ITEM_RES!$A$5,MATCH(BUILDING!T16,ITEM_RES!$J$5:$J$228,0)-1,0),0)</f>
        <v>0</v>
      </c>
      <c r="W16" s="85" t="s">
        <v>567</v>
      </c>
      <c r="X16" s="9">
        <f ca="1">IFERROR(OFFSET(ITEM_RES!$A$5,MATCH(BUILDING!W16,ITEM_RES!$J$5:$J$228,0)-1,0),0)</f>
        <v>211010101</v>
      </c>
      <c r="Z16" s="9" t="s">
        <v>537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446</v>
      </c>
      <c r="AR16" s="11">
        <v>1500</v>
      </c>
      <c r="AU16" s="11">
        <f ca="1">IFERROR(OFFSET(ITEM_RES!$A$1,MATCH(AV16,ITEM_RES!$J:$J,0)-1,0),0)</f>
        <v>211020101</v>
      </c>
      <c r="AV16" s="10" t="s">
        <v>472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596</v>
      </c>
      <c r="L17" s="9">
        <v>1</v>
      </c>
      <c r="M17" s="9">
        <v>15</v>
      </c>
      <c r="N17" s="9" t="s">
        <v>833</v>
      </c>
      <c r="R17" s="9" t="s">
        <v>752</v>
      </c>
      <c r="U17" s="9">
        <f ca="1">IFERROR(OFFSET(ITEM_RES!$A$5,MATCH(BUILDING!T17,ITEM_RES!$J$5:$J$228,0)-1,0),0)</f>
        <v>0</v>
      </c>
      <c r="W17" s="85" t="s">
        <v>567</v>
      </c>
      <c r="X17" s="9">
        <f ca="1">IFERROR(OFFSET(ITEM_RES!$A$5,MATCH(BUILDING!W17,ITEM_RES!$J$5:$J$228,0)-1,0),0)</f>
        <v>211010101</v>
      </c>
      <c r="Z17" s="9" t="s">
        <v>537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446</v>
      </c>
      <c r="AR17" s="11">
        <v>1750</v>
      </c>
      <c r="AU17" s="11">
        <f ca="1">IFERROR(OFFSET(ITEM_RES!$A$1,MATCH(AV17,ITEM_RES!$J:$J,0)-1,0),0)</f>
        <v>211020101</v>
      </c>
      <c r="AV17" s="10" t="s">
        <v>472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596</v>
      </c>
      <c r="L18" s="9">
        <v>1</v>
      </c>
      <c r="M18" s="9">
        <v>15</v>
      </c>
      <c r="N18" s="9" t="s">
        <v>833</v>
      </c>
      <c r="R18" s="9" t="s">
        <v>752</v>
      </c>
      <c r="U18" s="9">
        <f ca="1">IFERROR(OFFSET(ITEM_RES!$A$5,MATCH(BUILDING!T18,ITEM_RES!$J$5:$J$228,0)-1,0),0)</f>
        <v>0</v>
      </c>
      <c r="W18" s="85" t="s">
        <v>567</v>
      </c>
      <c r="X18" s="9">
        <f ca="1">IFERROR(OFFSET(ITEM_RES!$A$5,MATCH(BUILDING!W18,ITEM_RES!$J$5:$J$228,0)-1,0),0)</f>
        <v>211010101</v>
      </c>
      <c r="Z18" s="9" t="s">
        <v>537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446</v>
      </c>
      <c r="AR18" s="11">
        <v>2250</v>
      </c>
      <c r="AU18" s="11">
        <f ca="1">IFERROR(OFFSET(ITEM_RES!$A$1,MATCH(AV18,ITEM_RES!$J:$J,0)-1,0),0)</f>
        <v>211020101</v>
      </c>
      <c r="AV18" s="10" t="s">
        <v>472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596</v>
      </c>
      <c r="L19" s="9">
        <v>1</v>
      </c>
      <c r="M19" s="9">
        <v>15</v>
      </c>
      <c r="N19" s="9" t="s">
        <v>833</v>
      </c>
      <c r="R19" s="9" t="s">
        <v>752</v>
      </c>
      <c r="U19" s="9">
        <f ca="1">IFERROR(OFFSET(ITEM_RES!$A$5,MATCH(BUILDING!T19,ITEM_RES!$J$5:$J$228,0)-1,0),0)</f>
        <v>0</v>
      </c>
      <c r="W19" s="85" t="s">
        <v>567</v>
      </c>
      <c r="X19" s="9">
        <f ca="1">IFERROR(OFFSET(ITEM_RES!$A$5,MATCH(BUILDING!W19,ITEM_RES!$J$5:$J$228,0)-1,0),0)</f>
        <v>211010101</v>
      </c>
      <c r="Z19" s="9" t="s">
        <v>537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446</v>
      </c>
      <c r="AR19" s="11">
        <v>2750</v>
      </c>
      <c r="AU19" s="11">
        <f ca="1">IFERROR(OFFSET(ITEM_RES!$A$1,MATCH(AV19,ITEM_RES!$J:$J,0)-1,0),0)</f>
        <v>211020101</v>
      </c>
      <c r="AV19" s="10" t="s">
        <v>472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596</v>
      </c>
      <c r="L20" s="9">
        <v>0</v>
      </c>
      <c r="M20" s="9">
        <v>15</v>
      </c>
      <c r="N20" s="9" t="s">
        <v>833</v>
      </c>
      <c r="R20" s="9" t="s">
        <v>753</v>
      </c>
      <c r="U20" s="9">
        <f ca="1">IFERROR(OFFSET(ITEM_RES!$A$5,MATCH(BUILDING!T20,ITEM_RES!$J$5:$J$228,0)-1,0),0)</f>
        <v>0</v>
      </c>
      <c r="W20" s="85" t="s">
        <v>567</v>
      </c>
      <c r="X20" s="9">
        <f ca="1">IFERROR(OFFSET(ITEM_RES!$A$5,MATCH(BUILDING!W20,ITEM_RES!$J$5:$J$228,0)-1,0),0)</f>
        <v>211010101</v>
      </c>
      <c r="Z20" s="9" t="s">
        <v>537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463</v>
      </c>
      <c r="AR20" s="11">
        <v>3500</v>
      </c>
      <c r="AU20" s="11">
        <f ca="1">IFERROR(OFFSET(ITEM_RES!$A$1,MATCH(AV20,ITEM_RES!$J:$J,0)-1,0),0)</f>
        <v>211020101</v>
      </c>
      <c r="AV20" s="10" t="s">
        <v>472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596</v>
      </c>
      <c r="L21" s="9">
        <v>0</v>
      </c>
      <c r="M21" s="9">
        <v>15</v>
      </c>
      <c r="N21" s="9" t="s">
        <v>833</v>
      </c>
      <c r="R21" s="9" t="s">
        <v>753</v>
      </c>
      <c r="U21" s="9">
        <f ca="1">IFERROR(OFFSET(ITEM_RES!$A$5,MATCH(BUILDING!T21,ITEM_RES!$J$5:$J$228,0)-1,0),0)</f>
        <v>0</v>
      </c>
      <c r="W21" s="85" t="s">
        <v>567</v>
      </c>
      <c r="X21" s="9">
        <f ca="1">IFERROR(OFFSET(ITEM_RES!$A$5,MATCH(BUILDING!W21,ITEM_RES!$J$5:$J$228,0)-1,0),0)</f>
        <v>211010101</v>
      </c>
      <c r="Z21" s="9" t="s">
        <v>537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463</v>
      </c>
      <c r="AR21" s="11">
        <v>4250</v>
      </c>
      <c r="AU21" s="11">
        <f ca="1">IFERROR(OFFSET(ITEM_RES!$A$1,MATCH(AV21,ITEM_RES!$J:$J,0)-1,0),0)</f>
        <v>211020101</v>
      </c>
      <c r="AV21" s="10" t="s">
        <v>472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596</v>
      </c>
      <c r="L22" s="9">
        <v>0</v>
      </c>
      <c r="M22" s="9">
        <v>15</v>
      </c>
      <c r="N22" s="9" t="s">
        <v>833</v>
      </c>
      <c r="R22" s="9" t="s">
        <v>753</v>
      </c>
      <c r="U22" s="9">
        <f ca="1">IFERROR(OFFSET(ITEM_RES!$A$5,MATCH(BUILDING!T22,ITEM_RES!$J$5:$J$228,0)-1,0),0)</f>
        <v>0</v>
      </c>
      <c r="W22" s="85" t="s">
        <v>567</v>
      </c>
      <c r="X22" s="9">
        <f ca="1">IFERROR(OFFSET(ITEM_RES!$A$5,MATCH(BUILDING!W22,ITEM_RES!$J$5:$J$228,0)-1,0),0)</f>
        <v>211010101</v>
      </c>
      <c r="Z22" s="9" t="s">
        <v>537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463</v>
      </c>
      <c r="AR22" s="11">
        <v>5250</v>
      </c>
      <c r="AU22" s="11">
        <f ca="1">IFERROR(OFFSET(ITEM_RES!$A$1,MATCH(AV22,ITEM_RES!$J:$J,0)-1,0),0)</f>
        <v>211020101</v>
      </c>
      <c r="AV22" s="10" t="s">
        <v>472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596</v>
      </c>
      <c r="L23" s="9">
        <v>0</v>
      </c>
      <c r="M23" s="9">
        <v>15</v>
      </c>
      <c r="N23" s="9" t="s">
        <v>833</v>
      </c>
      <c r="R23" s="9" t="s">
        <v>753</v>
      </c>
      <c r="U23" s="9">
        <f ca="1">IFERROR(OFFSET(ITEM_RES!$A$5,MATCH(BUILDING!T23,ITEM_RES!$J$5:$J$228,0)-1,0),0)</f>
        <v>0</v>
      </c>
      <c r="W23" s="85" t="s">
        <v>567</v>
      </c>
      <c r="X23" s="9">
        <f ca="1">IFERROR(OFFSET(ITEM_RES!$A$5,MATCH(BUILDING!W23,ITEM_RES!$J$5:$J$228,0)-1,0),0)</f>
        <v>211010101</v>
      </c>
      <c r="Z23" s="9" t="s">
        <v>537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463</v>
      </c>
      <c r="AR23" s="11">
        <v>6250</v>
      </c>
      <c r="AU23" s="11">
        <f ca="1">IFERROR(OFFSET(ITEM_RES!$A$1,MATCH(AV23,ITEM_RES!$J:$J,0)-1,0),0)</f>
        <v>211020101</v>
      </c>
      <c r="AV23" s="10" t="s">
        <v>472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596</v>
      </c>
      <c r="L24" s="9">
        <v>0</v>
      </c>
      <c r="M24" s="9">
        <v>15</v>
      </c>
      <c r="N24" s="9" t="s">
        <v>833</v>
      </c>
      <c r="R24" s="9" t="s">
        <v>754</v>
      </c>
      <c r="U24" s="9">
        <f ca="1">IFERROR(OFFSET(ITEM_RES!$A$5,MATCH(BUILDING!T24,ITEM_RES!$J$5:$J$228,0)-1,0),0)</f>
        <v>0</v>
      </c>
      <c r="W24" s="85" t="s">
        <v>567</v>
      </c>
      <c r="X24" s="9">
        <f ca="1">IFERROR(OFFSET(ITEM_RES!$A$5,MATCH(BUILDING!W24,ITEM_RES!$J$5:$J$228,0)-1,0),0)</f>
        <v>211010101</v>
      </c>
      <c r="Z24" s="9" t="s">
        <v>537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463</v>
      </c>
      <c r="AR24" s="11">
        <v>7500</v>
      </c>
      <c r="AU24" s="11">
        <f ca="1">IFERROR(OFFSET(ITEM_RES!$A$1,MATCH(AV24,ITEM_RES!$J:$J,0)-1,0),0)</f>
        <v>211020101</v>
      </c>
      <c r="AV24" s="10" t="s">
        <v>472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597</v>
      </c>
      <c r="L25" s="16">
        <v>1</v>
      </c>
      <c r="M25" s="16">
        <v>15</v>
      </c>
      <c r="N25" s="16" t="s">
        <v>835</v>
      </c>
      <c r="O25" s="17"/>
      <c r="P25" s="17"/>
      <c r="Q25" s="18"/>
      <c r="R25" s="16" t="s">
        <v>756</v>
      </c>
      <c r="S25" s="79"/>
      <c r="T25" s="87"/>
      <c r="U25" s="16">
        <f ca="1">IFERROR(OFFSET(ITEM_RES!$A$5,MATCH(BUILDING!T25,ITEM_RES!$J$5:$J$228,0)-1,0),0)</f>
        <v>0</v>
      </c>
      <c r="V25" s="18"/>
      <c r="W25" s="87" t="s">
        <v>568</v>
      </c>
      <c r="X25" s="16">
        <f ca="1">IFERROR(OFFSET(ITEM_RES!$A$5,MATCH(BUILDING!W25,ITEM_RES!$J$5:$J$228,0)-1,0),0)</f>
        <v>211010201</v>
      </c>
      <c r="Y25" s="79"/>
      <c r="Z25" s="16" t="s">
        <v>538</v>
      </c>
      <c r="AA25" s="16">
        <v>1</v>
      </c>
      <c r="AB25" s="79"/>
      <c r="AC25" s="16">
        <v>0</v>
      </c>
      <c r="AD25" s="79"/>
      <c r="AE25" s="57">
        <f t="shared" si="5"/>
        <v>605</v>
      </c>
      <c r="AF25" s="17">
        <f>AE25</f>
        <v>605</v>
      </c>
      <c r="AG25" s="79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447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472</v>
      </c>
      <c r="AW25" s="18">
        <v>25</v>
      </c>
      <c r="AX25" s="17"/>
      <c r="AY25" s="18"/>
      <c r="AZ25" s="18">
        <f ca="1">IFERROR(OFFSET(ITEM_RES!$A$1,MATCH(BA25,ITEM_RES!$J:$J,0)-1,0),0)</f>
        <v>213010101</v>
      </c>
      <c r="BA25" s="17" t="s">
        <v>478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>
        <v>1</v>
      </c>
      <c r="M26" s="9">
        <v>15</v>
      </c>
      <c r="N26" s="9" t="s">
        <v>835</v>
      </c>
      <c r="R26" s="9" t="s">
        <v>756</v>
      </c>
      <c r="U26" s="9">
        <f ca="1">IFERROR(OFFSET(ITEM_RES!$A$5,MATCH(BUILDING!T26,ITEM_RES!$J$5:$J$228,0)-1,0),0)</f>
        <v>0</v>
      </c>
      <c r="W26" s="85" t="s">
        <v>568</v>
      </c>
      <c r="X26" s="9">
        <f ca="1">IFERROR(OFFSET(ITEM_RES!$A$5,MATCH(BUILDING!W26,ITEM_RES!$J$5:$J$228,0)-1,0),0)</f>
        <v>211010201</v>
      </c>
      <c r="Z26" s="9" t="s">
        <v>538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447</v>
      </c>
      <c r="AR26" s="11">
        <v>50</v>
      </c>
      <c r="AU26" s="11">
        <f ca="1">IFERROR(OFFSET(ITEM_RES!$A$1,MATCH(AV26,ITEM_RES!$J:$J,0)-1,0),0)</f>
        <v>211020101</v>
      </c>
      <c r="AV26" s="10" t="s">
        <v>472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>
        <v>1</v>
      </c>
      <c r="M27" s="9">
        <v>15</v>
      </c>
      <c r="N27" s="9" t="s">
        <v>835</v>
      </c>
      <c r="R27" s="9" t="s">
        <v>756</v>
      </c>
      <c r="U27" s="9">
        <f ca="1">IFERROR(OFFSET(ITEM_RES!$A$5,MATCH(BUILDING!T27,ITEM_RES!$J$5:$J$228,0)-1,0),0)</f>
        <v>0</v>
      </c>
      <c r="W27" s="85" t="s">
        <v>568</v>
      </c>
      <c r="X27" s="9">
        <f ca="1">IFERROR(OFFSET(ITEM_RES!$A$5,MATCH(BUILDING!W27,ITEM_RES!$J$5:$J$228,0)-1,0),0)</f>
        <v>211010201</v>
      </c>
      <c r="Z27" s="9" t="s">
        <v>538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447</v>
      </c>
      <c r="AR27" s="11">
        <v>75</v>
      </c>
      <c r="AU27" s="11">
        <f ca="1">IFERROR(OFFSET(ITEM_RES!$A$1,MATCH(AV27,ITEM_RES!$J:$J,0)-1,0),0)</f>
        <v>211020101</v>
      </c>
      <c r="AV27" s="10" t="s">
        <v>472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>
        <v>1</v>
      </c>
      <c r="M28" s="9">
        <v>15</v>
      </c>
      <c r="N28" s="9" t="s">
        <v>835</v>
      </c>
      <c r="R28" s="9" t="s">
        <v>756</v>
      </c>
      <c r="U28" s="9">
        <f ca="1">IFERROR(OFFSET(ITEM_RES!$A$5,MATCH(BUILDING!T28,ITEM_RES!$J$5:$J$228,0)-1,0),0)</f>
        <v>0</v>
      </c>
      <c r="W28" s="85" t="s">
        <v>568</v>
      </c>
      <c r="X28" s="9">
        <f ca="1">IFERROR(OFFSET(ITEM_RES!$A$5,MATCH(BUILDING!W28,ITEM_RES!$J$5:$J$228,0)-1,0),0)</f>
        <v>211010201</v>
      </c>
      <c r="Z28" s="9" t="s">
        <v>538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447</v>
      </c>
      <c r="AR28" s="11">
        <v>125</v>
      </c>
      <c r="AU28" s="11">
        <f ca="1">IFERROR(OFFSET(ITEM_RES!$A$1,MATCH(AV28,ITEM_RES!$J:$J,0)-1,0),0)</f>
        <v>211020101</v>
      </c>
      <c r="AV28" s="10" t="s">
        <v>472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>
        <v>1</v>
      </c>
      <c r="M29" s="9">
        <v>15</v>
      </c>
      <c r="N29" s="9" t="s">
        <v>835</v>
      </c>
      <c r="R29" s="9" t="s">
        <v>756</v>
      </c>
      <c r="U29" s="9">
        <f ca="1">IFERROR(OFFSET(ITEM_RES!$A$5,MATCH(BUILDING!T29,ITEM_RES!$J$5:$J$228,0)-1,0),0)</f>
        <v>0</v>
      </c>
      <c r="W29" s="85" t="s">
        <v>568</v>
      </c>
      <c r="X29" s="9">
        <f ca="1">IFERROR(OFFSET(ITEM_RES!$A$5,MATCH(BUILDING!W29,ITEM_RES!$J$5:$J$228,0)-1,0),0)</f>
        <v>211010201</v>
      </c>
      <c r="Z29" s="9" t="s">
        <v>538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447</v>
      </c>
      <c r="AR29" s="11">
        <v>200</v>
      </c>
      <c r="AU29" s="11">
        <f ca="1">IFERROR(OFFSET(ITEM_RES!$A$1,MATCH(AV29,ITEM_RES!$J:$J,0)-1,0),0)</f>
        <v>211020101</v>
      </c>
      <c r="AV29" s="10" t="s">
        <v>472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>
        <v>1</v>
      </c>
      <c r="M30" s="9">
        <v>15</v>
      </c>
      <c r="N30" s="9" t="s">
        <v>835</v>
      </c>
      <c r="R30" s="9" t="s">
        <v>756</v>
      </c>
      <c r="U30" s="9">
        <f ca="1">IFERROR(OFFSET(ITEM_RES!$A$5,MATCH(BUILDING!T30,ITEM_RES!$J$5:$J$228,0)-1,0),0)</f>
        <v>0</v>
      </c>
      <c r="W30" s="85" t="s">
        <v>568</v>
      </c>
      <c r="X30" s="9">
        <f ca="1">IFERROR(OFFSET(ITEM_RES!$A$5,MATCH(BUILDING!W30,ITEM_RES!$J$5:$J$228,0)-1,0),0)</f>
        <v>211010201</v>
      </c>
      <c r="Z30" s="9" t="s">
        <v>538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447</v>
      </c>
      <c r="AR30" s="11">
        <v>250</v>
      </c>
      <c r="AU30" s="11">
        <f ca="1">IFERROR(OFFSET(ITEM_RES!$A$1,MATCH(AV30,ITEM_RES!$J:$J,0)-1,0),0)</f>
        <v>211020101</v>
      </c>
      <c r="AV30" s="10" t="s">
        <v>472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>
        <v>1</v>
      </c>
      <c r="M31" s="9">
        <v>15</v>
      </c>
      <c r="N31" s="9" t="s">
        <v>835</v>
      </c>
      <c r="R31" s="9" t="s">
        <v>756</v>
      </c>
      <c r="U31" s="9">
        <f ca="1">IFERROR(OFFSET(ITEM_RES!$A$5,MATCH(BUILDING!T31,ITEM_RES!$J$5:$J$228,0)-1,0),0)</f>
        <v>0</v>
      </c>
      <c r="W31" s="85" t="s">
        <v>568</v>
      </c>
      <c r="X31" s="9">
        <f ca="1">IFERROR(OFFSET(ITEM_RES!$A$5,MATCH(BUILDING!W31,ITEM_RES!$J$5:$J$228,0)-1,0),0)</f>
        <v>211010201</v>
      </c>
      <c r="Z31" s="9" t="s">
        <v>538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447</v>
      </c>
      <c r="AR31" s="11">
        <v>500</v>
      </c>
      <c r="AU31" s="11">
        <f ca="1">IFERROR(OFFSET(ITEM_RES!$A$1,MATCH(AV31,ITEM_RES!$J:$J,0)-1,0),0)</f>
        <v>211020101</v>
      </c>
      <c r="AV31" s="10" t="s">
        <v>472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>
        <v>1</v>
      </c>
      <c r="M32" s="9">
        <v>15</v>
      </c>
      <c r="N32" s="9" t="s">
        <v>835</v>
      </c>
      <c r="R32" s="9" t="s">
        <v>756</v>
      </c>
      <c r="U32" s="9">
        <f ca="1">IFERROR(OFFSET(ITEM_RES!$A$5,MATCH(BUILDING!T32,ITEM_RES!$J$5:$J$228,0)-1,0),0)</f>
        <v>0</v>
      </c>
      <c r="W32" s="85" t="s">
        <v>568</v>
      </c>
      <c r="X32" s="9">
        <f ca="1">IFERROR(OFFSET(ITEM_RES!$A$5,MATCH(BUILDING!W32,ITEM_RES!$J$5:$J$228,0)-1,0),0)</f>
        <v>211010201</v>
      </c>
      <c r="Z32" s="9" t="s">
        <v>538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447</v>
      </c>
      <c r="AR32" s="11">
        <v>500</v>
      </c>
      <c r="AU32" s="11">
        <f ca="1">IFERROR(OFFSET(ITEM_RES!$A$1,MATCH(AV32,ITEM_RES!$J:$J,0)-1,0),0)</f>
        <v>211020101</v>
      </c>
      <c r="AV32" s="10" t="s">
        <v>472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>
        <v>1</v>
      </c>
      <c r="M33" s="9">
        <v>15</v>
      </c>
      <c r="N33" s="9" t="s">
        <v>835</v>
      </c>
      <c r="R33" s="9" t="s">
        <v>756</v>
      </c>
      <c r="U33" s="9">
        <f ca="1">IFERROR(OFFSET(ITEM_RES!$A$5,MATCH(BUILDING!T33,ITEM_RES!$J$5:$J$228,0)-1,0),0)</f>
        <v>0</v>
      </c>
      <c r="W33" s="85" t="s">
        <v>568</v>
      </c>
      <c r="X33" s="9">
        <f ca="1">IFERROR(OFFSET(ITEM_RES!$A$5,MATCH(BUILDING!W33,ITEM_RES!$J$5:$J$228,0)-1,0),0)</f>
        <v>211010201</v>
      </c>
      <c r="Z33" s="9" t="s">
        <v>538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447</v>
      </c>
      <c r="AR33" s="11">
        <v>750</v>
      </c>
      <c r="AU33" s="11">
        <f ca="1">IFERROR(OFFSET(ITEM_RES!$A$1,MATCH(AV33,ITEM_RES!$J:$J,0)-1,0),0)</f>
        <v>211020101</v>
      </c>
      <c r="AV33" s="10" t="s">
        <v>472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>
        <v>1</v>
      </c>
      <c r="M34" s="9">
        <v>15</v>
      </c>
      <c r="N34" s="9" t="s">
        <v>835</v>
      </c>
      <c r="R34" s="9" t="s">
        <v>756</v>
      </c>
      <c r="U34" s="9">
        <f ca="1">IFERROR(OFFSET(ITEM_RES!$A$5,MATCH(BUILDING!T34,ITEM_RES!$J$5:$J$228,0)-1,0),0)</f>
        <v>0</v>
      </c>
      <c r="W34" s="85" t="s">
        <v>568</v>
      </c>
      <c r="X34" s="9">
        <f ca="1">IFERROR(OFFSET(ITEM_RES!$A$5,MATCH(BUILDING!W34,ITEM_RES!$J$5:$J$228,0)-1,0),0)</f>
        <v>211010201</v>
      </c>
      <c r="Z34" s="9" t="s">
        <v>538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447</v>
      </c>
      <c r="AR34" s="11">
        <v>1000</v>
      </c>
      <c r="AU34" s="11">
        <f ca="1">IFERROR(OFFSET(ITEM_RES!$A$1,MATCH(AV34,ITEM_RES!$J:$J,0)-1,0),0)</f>
        <v>211020101</v>
      </c>
      <c r="AV34" s="10" t="s">
        <v>472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380</v>
      </c>
      <c r="L35" s="9">
        <v>1</v>
      </c>
      <c r="M35" s="9">
        <v>15</v>
      </c>
      <c r="N35" s="9" t="s">
        <v>835</v>
      </c>
      <c r="R35" s="9" t="s">
        <v>756</v>
      </c>
      <c r="U35" s="9">
        <f ca="1">IFERROR(OFFSET(ITEM_RES!$A$5,MATCH(BUILDING!T35,ITEM_RES!$J$5:$J$228,0)-1,0),0)</f>
        <v>0</v>
      </c>
      <c r="W35" s="85" t="s">
        <v>568</v>
      </c>
      <c r="X35" s="9">
        <f ca="1">IFERROR(OFFSET(ITEM_RES!$A$5,MATCH(BUILDING!W35,ITEM_RES!$J$5:$J$228,0)-1,0),0)</f>
        <v>211010201</v>
      </c>
      <c r="Z35" s="9" t="s">
        <v>538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447</v>
      </c>
      <c r="AR35" s="11">
        <v>1250</v>
      </c>
      <c r="AU35" s="11">
        <f ca="1">IFERROR(OFFSET(ITEM_RES!$A$1,MATCH(AV35,ITEM_RES!$J:$J,0)-1,0),0)</f>
        <v>211020101</v>
      </c>
      <c r="AV35" s="10" t="s">
        <v>472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>
        <v>1</v>
      </c>
      <c r="M36" s="9">
        <v>15</v>
      </c>
      <c r="N36" s="9" t="s">
        <v>835</v>
      </c>
      <c r="R36" s="9" t="s">
        <v>756</v>
      </c>
      <c r="U36" s="9">
        <f ca="1">IFERROR(OFFSET(ITEM_RES!$A$5,MATCH(BUILDING!T36,ITEM_RES!$J$5:$J$228,0)-1,0),0)</f>
        <v>0</v>
      </c>
      <c r="W36" s="85" t="s">
        <v>568</v>
      </c>
      <c r="X36" s="9">
        <f ca="1">IFERROR(OFFSET(ITEM_RES!$A$5,MATCH(BUILDING!W36,ITEM_RES!$J$5:$J$228,0)-1,0),0)</f>
        <v>211010201</v>
      </c>
      <c r="Z36" s="9" t="s">
        <v>538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447</v>
      </c>
      <c r="AR36" s="11">
        <v>1500</v>
      </c>
      <c r="AU36" s="11">
        <f ca="1">IFERROR(OFFSET(ITEM_RES!$A$1,MATCH(AV36,ITEM_RES!$J:$J,0)-1,0),0)</f>
        <v>211020101</v>
      </c>
      <c r="AV36" s="10" t="s">
        <v>472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>
        <v>1</v>
      </c>
      <c r="M37" s="9">
        <v>15</v>
      </c>
      <c r="N37" s="9" t="s">
        <v>835</v>
      </c>
      <c r="R37" s="9" t="s">
        <v>756</v>
      </c>
      <c r="U37" s="9">
        <f ca="1">IFERROR(OFFSET(ITEM_RES!$A$5,MATCH(BUILDING!T37,ITEM_RES!$J$5:$J$228,0)-1,0),0)</f>
        <v>0</v>
      </c>
      <c r="W37" s="85" t="s">
        <v>568</v>
      </c>
      <c r="X37" s="9">
        <f ca="1">IFERROR(OFFSET(ITEM_RES!$A$5,MATCH(BUILDING!W37,ITEM_RES!$J$5:$J$228,0)-1,0),0)</f>
        <v>211010201</v>
      </c>
      <c r="Z37" s="9" t="s">
        <v>538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447</v>
      </c>
      <c r="AR37" s="11">
        <v>1750</v>
      </c>
      <c r="AU37" s="11">
        <f ca="1">IFERROR(OFFSET(ITEM_RES!$A$1,MATCH(AV37,ITEM_RES!$J:$J,0)-1,0),0)</f>
        <v>211020101</v>
      </c>
      <c r="AV37" s="10" t="s">
        <v>472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>
        <v>1</v>
      </c>
      <c r="M38" s="9">
        <v>15</v>
      </c>
      <c r="N38" s="9" t="s">
        <v>835</v>
      </c>
      <c r="R38" s="9" t="s">
        <v>756</v>
      </c>
      <c r="U38" s="9">
        <f ca="1">IFERROR(OFFSET(ITEM_RES!$A$5,MATCH(BUILDING!T38,ITEM_RES!$J$5:$J$228,0)-1,0),0)</f>
        <v>0</v>
      </c>
      <c r="W38" s="85" t="s">
        <v>568</v>
      </c>
      <c r="X38" s="9">
        <f ca="1">IFERROR(OFFSET(ITEM_RES!$A$5,MATCH(BUILDING!W38,ITEM_RES!$J$5:$J$228,0)-1,0),0)</f>
        <v>211010201</v>
      </c>
      <c r="Z38" s="9" t="s">
        <v>538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447</v>
      </c>
      <c r="AR38" s="11">
        <v>2250</v>
      </c>
      <c r="AU38" s="11">
        <f ca="1">IFERROR(OFFSET(ITEM_RES!$A$1,MATCH(AV38,ITEM_RES!$J:$J,0)-1,0),0)</f>
        <v>211020101</v>
      </c>
      <c r="AV38" s="10" t="s">
        <v>472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>
        <v>1</v>
      </c>
      <c r="M39" s="9">
        <v>15</v>
      </c>
      <c r="N39" s="9" t="s">
        <v>835</v>
      </c>
      <c r="R39" s="9" t="s">
        <v>756</v>
      </c>
      <c r="U39" s="9">
        <f ca="1">IFERROR(OFFSET(ITEM_RES!$A$5,MATCH(BUILDING!T39,ITEM_RES!$J$5:$J$228,0)-1,0),0)</f>
        <v>0</v>
      </c>
      <c r="W39" s="85" t="s">
        <v>568</v>
      </c>
      <c r="X39" s="9">
        <f ca="1">IFERROR(OFFSET(ITEM_RES!$A$5,MATCH(BUILDING!W39,ITEM_RES!$J$5:$J$228,0)-1,0),0)</f>
        <v>211010201</v>
      </c>
      <c r="Z39" s="9" t="s">
        <v>538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463</v>
      </c>
      <c r="AR39" s="11">
        <v>2750</v>
      </c>
      <c r="AU39" s="11">
        <f ca="1">IFERROR(OFFSET(ITEM_RES!$A$1,MATCH(AV39,ITEM_RES!$J:$J,0)-1,0),0)</f>
        <v>211020101</v>
      </c>
      <c r="AV39" s="10" t="s">
        <v>472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>
        <v>0</v>
      </c>
      <c r="M40" s="9">
        <v>15</v>
      </c>
      <c r="N40" s="9" t="s">
        <v>835</v>
      </c>
      <c r="R40" s="9" t="s">
        <v>756</v>
      </c>
      <c r="U40" s="9">
        <f ca="1">IFERROR(OFFSET(ITEM_RES!$A$5,MATCH(BUILDING!T40,ITEM_RES!$J$5:$J$228,0)-1,0),0)</f>
        <v>0</v>
      </c>
      <c r="W40" s="85" t="s">
        <v>568</v>
      </c>
      <c r="X40" s="9">
        <f ca="1">IFERROR(OFFSET(ITEM_RES!$A$5,MATCH(BUILDING!W40,ITEM_RES!$J$5:$J$228,0)-1,0),0)</f>
        <v>211010201</v>
      </c>
      <c r="Z40" s="9" t="s">
        <v>538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463</v>
      </c>
      <c r="AR40" s="11">
        <v>3500</v>
      </c>
      <c r="AU40" s="11">
        <f ca="1">IFERROR(OFFSET(ITEM_RES!$A$1,MATCH(AV40,ITEM_RES!$J:$J,0)-1,0),0)</f>
        <v>211020101</v>
      </c>
      <c r="AV40" s="10" t="s">
        <v>472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>
        <v>0</v>
      </c>
      <c r="M41" s="9">
        <v>15</v>
      </c>
      <c r="N41" s="9" t="s">
        <v>835</v>
      </c>
      <c r="R41" s="9" t="s">
        <v>756</v>
      </c>
      <c r="U41" s="9">
        <f ca="1">IFERROR(OFFSET(ITEM_RES!$A$5,MATCH(BUILDING!T41,ITEM_RES!$J$5:$J$228,0)-1,0),0)</f>
        <v>0</v>
      </c>
      <c r="W41" s="85" t="s">
        <v>568</v>
      </c>
      <c r="X41" s="9">
        <f ca="1">IFERROR(OFFSET(ITEM_RES!$A$5,MATCH(BUILDING!W41,ITEM_RES!$J$5:$J$228,0)-1,0),0)</f>
        <v>211010201</v>
      </c>
      <c r="Z41" s="9" t="s">
        <v>538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463</v>
      </c>
      <c r="AR41" s="11">
        <v>4250</v>
      </c>
      <c r="AU41" s="11">
        <f ca="1">IFERROR(OFFSET(ITEM_RES!$A$1,MATCH(AV41,ITEM_RES!$J:$J,0)-1,0),0)</f>
        <v>211020101</v>
      </c>
      <c r="AV41" s="10" t="s">
        <v>472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>
        <v>0</v>
      </c>
      <c r="M42" s="9">
        <v>15</v>
      </c>
      <c r="N42" s="9" t="s">
        <v>835</v>
      </c>
      <c r="R42" s="9" t="s">
        <v>756</v>
      </c>
      <c r="U42" s="9">
        <f ca="1">IFERROR(OFFSET(ITEM_RES!$A$5,MATCH(BUILDING!T42,ITEM_RES!$J$5:$J$228,0)-1,0),0)</f>
        <v>0</v>
      </c>
      <c r="W42" s="85" t="s">
        <v>568</v>
      </c>
      <c r="X42" s="9">
        <f ca="1">IFERROR(OFFSET(ITEM_RES!$A$5,MATCH(BUILDING!W42,ITEM_RES!$J$5:$J$228,0)-1,0),0)</f>
        <v>211010201</v>
      </c>
      <c r="Z42" s="9" t="s">
        <v>538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463</v>
      </c>
      <c r="AR42" s="11">
        <v>5250</v>
      </c>
      <c r="AU42" s="11">
        <f ca="1">IFERROR(OFFSET(ITEM_RES!$A$1,MATCH(AV42,ITEM_RES!$J:$J,0)-1,0),0)</f>
        <v>211020101</v>
      </c>
      <c r="AV42" s="10" t="s">
        <v>472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>
        <v>0</v>
      </c>
      <c r="M43" s="9">
        <v>15</v>
      </c>
      <c r="N43" s="9" t="s">
        <v>835</v>
      </c>
      <c r="R43" s="9" t="s">
        <v>756</v>
      </c>
      <c r="U43" s="9">
        <f ca="1">IFERROR(OFFSET(ITEM_RES!$A$5,MATCH(BUILDING!T43,ITEM_RES!$J$5:$J$228,0)-1,0),0)</f>
        <v>0</v>
      </c>
      <c r="W43" s="85" t="s">
        <v>568</v>
      </c>
      <c r="X43" s="9">
        <f ca="1">IFERROR(OFFSET(ITEM_RES!$A$5,MATCH(BUILDING!W43,ITEM_RES!$J$5:$J$228,0)-1,0),0)</f>
        <v>211010201</v>
      </c>
      <c r="Z43" s="9" t="s">
        <v>538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463</v>
      </c>
      <c r="AR43" s="11">
        <v>6250</v>
      </c>
      <c r="AU43" s="11">
        <f ca="1">IFERROR(OFFSET(ITEM_RES!$A$1,MATCH(AV43,ITEM_RES!$J:$J,0)-1,0),0)</f>
        <v>211020101</v>
      </c>
      <c r="AV43" s="10" t="s">
        <v>472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>
        <v>0</v>
      </c>
      <c r="M44" s="9">
        <v>15</v>
      </c>
      <c r="N44" s="9" t="s">
        <v>835</v>
      </c>
      <c r="R44" s="9" t="s">
        <v>756</v>
      </c>
      <c r="U44" s="9">
        <f ca="1">IFERROR(OFFSET(ITEM_RES!$A$5,MATCH(BUILDING!T44,ITEM_RES!$J$5:$J$228,0)-1,0),0)</f>
        <v>0</v>
      </c>
      <c r="W44" s="85" t="s">
        <v>568</v>
      </c>
      <c r="X44" s="9">
        <f ca="1">IFERROR(OFFSET(ITEM_RES!$A$5,MATCH(BUILDING!W44,ITEM_RES!$J$5:$J$228,0)-1,0),0)</f>
        <v>211010201</v>
      </c>
      <c r="Z44" s="9" t="s">
        <v>538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463</v>
      </c>
      <c r="AR44" s="11">
        <v>7500</v>
      </c>
      <c r="AU44" s="11">
        <f ca="1">IFERROR(OFFSET(ITEM_RES!$A$1,MATCH(AV44,ITEM_RES!$J:$J,0)-1,0),0)</f>
        <v>211020101</v>
      </c>
      <c r="AV44" s="10" t="s">
        <v>472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>
        <v>1</v>
      </c>
      <c r="M45" s="16">
        <v>15</v>
      </c>
      <c r="N45" s="16" t="s">
        <v>834</v>
      </c>
      <c r="O45" s="17"/>
      <c r="P45" s="17"/>
      <c r="Q45" s="18"/>
      <c r="R45" s="16" t="s">
        <v>757</v>
      </c>
      <c r="S45" s="79"/>
      <c r="T45" s="87"/>
      <c r="U45" s="16">
        <f ca="1">IFERROR(OFFSET(ITEM_RES!$A$5,MATCH(BUILDING!T45,ITEM_RES!$J$5:$J$228,0)-1,0),0)</f>
        <v>0</v>
      </c>
      <c r="V45" s="18"/>
      <c r="W45" s="87" t="s">
        <v>569</v>
      </c>
      <c r="X45" s="16">
        <f ca="1">IFERROR(OFFSET(ITEM_RES!$A$5,MATCH(BUILDING!W45,ITEM_RES!$J$5:$J$228,0)-1,0),0)</f>
        <v>211010301</v>
      </c>
      <c r="Y45" s="79"/>
      <c r="Z45" s="16" t="s">
        <v>539</v>
      </c>
      <c r="AA45" s="16">
        <v>1</v>
      </c>
      <c r="AB45" s="79"/>
      <c r="AC45" s="16">
        <v>0</v>
      </c>
      <c r="AD45" s="79"/>
      <c r="AE45" s="57">
        <f t="shared" si="5"/>
        <v>605</v>
      </c>
      <c r="AF45" s="17">
        <f>AE45</f>
        <v>605</v>
      </c>
      <c r="AG45" s="79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448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472</v>
      </c>
      <c r="AW45" s="18">
        <v>25</v>
      </c>
      <c r="AX45" s="17"/>
      <c r="AY45" s="18"/>
      <c r="AZ45" s="18">
        <f ca="1">IFERROR(OFFSET(ITEM_RES!$A$1,MATCH(BA45,ITEM_RES!$J:$J,0)-1,0),0)</f>
        <v>213010101</v>
      </c>
      <c r="BA45" s="17" t="s">
        <v>478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>
        <v>1</v>
      </c>
      <c r="M46" s="9">
        <v>15</v>
      </c>
      <c r="N46" s="9" t="s">
        <v>834</v>
      </c>
      <c r="R46" s="9" t="s">
        <v>757</v>
      </c>
      <c r="U46" s="9">
        <f ca="1">IFERROR(OFFSET(ITEM_RES!$A$5,MATCH(BUILDING!T46,ITEM_RES!$J$5:$J$228,0)-1,0),0)</f>
        <v>0</v>
      </c>
      <c r="W46" s="85" t="s">
        <v>569</v>
      </c>
      <c r="X46" s="9">
        <f ca="1">IFERROR(OFFSET(ITEM_RES!$A$5,MATCH(BUILDING!W46,ITEM_RES!$J$5:$J$228,0)-1,0),0)</f>
        <v>211010301</v>
      </c>
      <c r="Z46" s="9" t="s">
        <v>539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448</v>
      </c>
      <c r="AR46" s="11">
        <v>50</v>
      </c>
      <c r="AU46" s="11">
        <f ca="1">IFERROR(OFFSET(ITEM_RES!$A$1,MATCH(AV46,ITEM_RES!$J:$J,0)-1,0),0)</f>
        <v>211020101</v>
      </c>
      <c r="AV46" s="10" t="s">
        <v>472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>
        <v>1</v>
      </c>
      <c r="M47" s="9">
        <v>15</v>
      </c>
      <c r="N47" s="9" t="s">
        <v>834</v>
      </c>
      <c r="R47" s="9" t="s">
        <v>757</v>
      </c>
      <c r="U47" s="9">
        <f ca="1">IFERROR(OFFSET(ITEM_RES!$A$5,MATCH(BUILDING!T47,ITEM_RES!$J$5:$J$228,0)-1,0),0)</f>
        <v>0</v>
      </c>
      <c r="W47" s="85" t="s">
        <v>569</v>
      </c>
      <c r="X47" s="9">
        <f ca="1">IFERROR(OFFSET(ITEM_RES!$A$5,MATCH(BUILDING!W47,ITEM_RES!$J$5:$J$228,0)-1,0),0)</f>
        <v>211010301</v>
      </c>
      <c r="Z47" s="9" t="s">
        <v>539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448</v>
      </c>
      <c r="AR47" s="11">
        <v>75</v>
      </c>
      <c r="AU47" s="11">
        <f ca="1">IFERROR(OFFSET(ITEM_RES!$A$1,MATCH(AV47,ITEM_RES!$J:$J,0)-1,0),0)</f>
        <v>211020101</v>
      </c>
      <c r="AV47" s="10" t="s">
        <v>472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>
        <v>1</v>
      </c>
      <c r="M48" s="9">
        <v>15</v>
      </c>
      <c r="N48" s="9" t="s">
        <v>834</v>
      </c>
      <c r="R48" s="9" t="s">
        <v>757</v>
      </c>
      <c r="U48" s="9">
        <f ca="1">IFERROR(OFFSET(ITEM_RES!$A$5,MATCH(BUILDING!T48,ITEM_RES!$J$5:$J$228,0)-1,0),0)</f>
        <v>0</v>
      </c>
      <c r="W48" s="85" t="s">
        <v>569</v>
      </c>
      <c r="X48" s="9">
        <f ca="1">IFERROR(OFFSET(ITEM_RES!$A$5,MATCH(BUILDING!W48,ITEM_RES!$J$5:$J$228,0)-1,0),0)</f>
        <v>211010301</v>
      </c>
      <c r="Z48" s="9" t="s">
        <v>539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448</v>
      </c>
      <c r="AR48" s="11">
        <v>125</v>
      </c>
      <c r="AU48" s="11">
        <f ca="1">IFERROR(OFFSET(ITEM_RES!$A$1,MATCH(AV48,ITEM_RES!$J:$J,0)-1,0),0)</f>
        <v>211020101</v>
      </c>
      <c r="AV48" s="10" t="s">
        <v>472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>
        <v>1</v>
      </c>
      <c r="M49" s="9">
        <v>15</v>
      </c>
      <c r="N49" s="9" t="s">
        <v>834</v>
      </c>
      <c r="R49" s="9" t="s">
        <v>757</v>
      </c>
      <c r="U49" s="9">
        <f ca="1">IFERROR(OFFSET(ITEM_RES!$A$5,MATCH(BUILDING!T49,ITEM_RES!$J$5:$J$228,0)-1,0),0)</f>
        <v>0</v>
      </c>
      <c r="W49" s="85" t="s">
        <v>569</v>
      </c>
      <c r="X49" s="9">
        <f ca="1">IFERROR(OFFSET(ITEM_RES!$A$5,MATCH(BUILDING!W49,ITEM_RES!$J$5:$J$228,0)-1,0),0)</f>
        <v>211010301</v>
      </c>
      <c r="Z49" s="9" t="s">
        <v>539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448</v>
      </c>
      <c r="AR49" s="11">
        <v>200</v>
      </c>
      <c r="AU49" s="11">
        <f ca="1">IFERROR(OFFSET(ITEM_RES!$A$1,MATCH(AV49,ITEM_RES!$J:$J,0)-1,0),0)</f>
        <v>211020101</v>
      </c>
      <c r="AV49" s="10" t="s">
        <v>472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>
        <v>1</v>
      </c>
      <c r="M50" s="9">
        <v>15</v>
      </c>
      <c r="N50" s="9" t="s">
        <v>834</v>
      </c>
      <c r="R50" s="9" t="s">
        <v>757</v>
      </c>
      <c r="U50" s="9">
        <f ca="1">IFERROR(OFFSET(ITEM_RES!$A$5,MATCH(BUILDING!T50,ITEM_RES!$J$5:$J$228,0)-1,0),0)</f>
        <v>0</v>
      </c>
      <c r="W50" s="85" t="s">
        <v>569</v>
      </c>
      <c r="X50" s="9">
        <f ca="1">IFERROR(OFFSET(ITEM_RES!$A$5,MATCH(BUILDING!W50,ITEM_RES!$J$5:$J$228,0)-1,0),0)</f>
        <v>211010301</v>
      </c>
      <c r="Z50" s="9" t="s">
        <v>539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448</v>
      </c>
      <c r="AR50" s="11">
        <v>250</v>
      </c>
      <c r="AU50" s="11">
        <f ca="1">IFERROR(OFFSET(ITEM_RES!$A$1,MATCH(AV50,ITEM_RES!$J:$J,0)-1,0),0)</f>
        <v>211020101</v>
      </c>
      <c r="AV50" s="10" t="s">
        <v>472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>
        <v>1</v>
      </c>
      <c r="M51" s="9">
        <v>15</v>
      </c>
      <c r="N51" s="9" t="s">
        <v>834</v>
      </c>
      <c r="R51" s="9" t="s">
        <v>757</v>
      </c>
      <c r="U51" s="9">
        <f ca="1">IFERROR(OFFSET(ITEM_RES!$A$5,MATCH(BUILDING!T51,ITEM_RES!$J$5:$J$228,0)-1,0),0)</f>
        <v>0</v>
      </c>
      <c r="W51" s="85" t="s">
        <v>569</v>
      </c>
      <c r="X51" s="9">
        <f ca="1">IFERROR(OFFSET(ITEM_RES!$A$5,MATCH(BUILDING!W51,ITEM_RES!$J$5:$J$228,0)-1,0),0)</f>
        <v>211010301</v>
      </c>
      <c r="Z51" s="9" t="s">
        <v>539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448</v>
      </c>
      <c r="AR51" s="11">
        <v>500</v>
      </c>
      <c r="AU51" s="11">
        <f ca="1">IFERROR(OFFSET(ITEM_RES!$A$1,MATCH(AV51,ITEM_RES!$J:$J,0)-1,0),0)</f>
        <v>211020101</v>
      </c>
      <c r="AV51" s="10" t="s">
        <v>472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>
        <v>1</v>
      </c>
      <c r="M52" s="9">
        <v>15</v>
      </c>
      <c r="N52" s="9" t="s">
        <v>834</v>
      </c>
      <c r="R52" s="9" t="s">
        <v>757</v>
      </c>
      <c r="U52" s="9">
        <f ca="1">IFERROR(OFFSET(ITEM_RES!$A$5,MATCH(BUILDING!T52,ITEM_RES!$J$5:$J$228,0)-1,0),0)</f>
        <v>0</v>
      </c>
      <c r="W52" s="85" t="s">
        <v>569</v>
      </c>
      <c r="X52" s="9">
        <f ca="1">IFERROR(OFFSET(ITEM_RES!$A$5,MATCH(BUILDING!W52,ITEM_RES!$J$5:$J$228,0)-1,0),0)</f>
        <v>211010301</v>
      </c>
      <c r="Z52" s="9" t="s">
        <v>539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448</v>
      </c>
      <c r="AR52" s="11">
        <v>500</v>
      </c>
      <c r="AU52" s="11">
        <f ca="1">IFERROR(OFFSET(ITEM_RES!$A$1,MATCH(AV52,ITEM_RES!$J:$J,0)-1,0),0)</f>
        <v>211020101</v>
      </c>
      <c r="AV52" s="10" t="s">
        <v>472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381</v>
      </c>
      <c r="L53" s="9">
        <v>1</v>
      </c>
      <c r="M53" s="9">
        <v>15</v>
      </c>
      <c r="N53" s="9" t="s">
        <v>834</v>
      </c>
      <c r="R53" s="9" t="s">
        <v>757</v>
      </c>
      <c r="U53" s="9">
        <f ca="1">IFERROR(OFFSET(ITEM_RES!$A$5,MATCH(BUILDING!T53,ITEM_RES!$J$5:$J$228,0)-1,0),0)</f>
        <v>0</v>
      </c>
      <c r="W53" s="85" t="s">
        <v>569</v>
      </c>
      <c r="X53" s="9">
        <f ca="1">IFERROR(OFFSET(ITEM_RES!$A$5,MATCH(BUILDING!W53,ITEM_RES!$J$5:$J$228,0)-1,0),0)</f>
        <v>211010301</v>
      </c>
      <c r="Z53" s="9" t="s">
        <v>539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448</v>
      </c>
      <c r="AR53" s="11">
        <v>750</v>
      </c>
      <c r="AU53" s="11">
        <f ca="1">IFERROR(OFFSET(ITEM_RES!$A$1,MATCH(AV53,ITEM_RES!$J:$J,0)-1,0),0)</f>
        <v>211020101</v>
      </c>
      <c r="AV53" s="10" t="s">
        <v>472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>
        <v>1</v>
      </c>
      <c r="M54" s="9">
        <v>15</v>
      </c>
      <c r="N54" s="9" t="s">
        <v>834</v>
      </c>
      <c r="R54" s="9" t="s">
        <v>757</v>
      </c>
      <c r="U54" s="9">
        <f ca="1">IFERROR(OFFSET(ITEM_RES!$A$5,MATCH(BUILDING!T54,ITEM_RES!$J$5:$J$228,0)-1,0),0)</f>
        <v>0</v>
      </c>
      <c r="W54" s="85" t="s">
        <v>569</v>
      </c>
      <c r="X54" s="9">
        <f ca="1">IFERROR(OFFSET(ITEM_RES!$A$5,MATCH(BUILDING!W54,ITEM_RES!$J$5:$J$228,0)-1,0),0)</f>
        <v>211010301</v>
      </c>
      <c r="Z54" s="9" t="s">
        <v>539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448</v>
      </c>
      <c r="AR54" s="11">
        <v>1000</v>
      </c>
      <c r="AU54" s="11">
        <f ca="1">IFERROR(OFFSET(ITEM_RES!$A$1,MATCH(AV54,ITEM_RES!$J:$J,0)-1,0),0)</f>
        <v>211020101</v>
      </c>
      <c r="AV54" s="10" t="s">
        <v>472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>
        <v>1</v>
      </c>
      <c r="M55" s="9">
        <v>15</v>
      </c>
      <c r="N55" s="9" t="s">
        <v>834</v>
      </c>
      <c r="R55" s="9" t="s">
        <v>757</v>
      </c>
      <c r="U55" s="9">
        <f ca="1">IFERROR(OFFSET(ITEM_RES!$A$5,MATCH(BUILDING!T55,ITEM_RES!$J$5:$J$228,0)-1,0),0)</f>
        <v>0</v>
      </c>
      <c r="W55" s="85" t="s">
        <v>569</v>
      </c>
      <c r="X55" s="9">
        <f ca="1">IFERROR(OFFSET(ITEM_RES!$A$5,MATCH(BUILDING!W55,ITEM_RES!$J$5:$J$228,0)-1,0),0)</f>
        <v>211010301</v>
      </c>
      <c r="Z55" s="9" t="s">
        <v>539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448</v>
      </c>
      <c r="AR55" s="11">
        <v>1250</v>
      </c>
      <c r="AU55" s="11">
        <f ca="1">IFERROR(OFFSET(ITEM_RES!$A$1,MATCH(AV55,ITEM_RES!$J:$J,0)-1,0),0)</f>
        <v>211020101</v>
      </c>
      <c r="AV55" s="10" t="s">
        <v>472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>
        <v>1</v>
      </c>
      <c r="M56" s="9">
        <v>15</v>
      </c>
      <c r="N56" s="9" t="s">
        <v>834</v>
      </c>
      <c r="R56" s="9" t="s">
        <v>757</v>
      </c>
      <c r="U56" s="9">
        <f ca="1">IFERROR(OFFSET(ITEM_RES!$A$5,MATCH(BUILDING!T56,ITEM_RES!$J$5:$J$228,0)-1,0),0)</f>
        <v>0</v>
      </c>
      <c r="W56" s="85" t="s">
        <v>569</v>
      </c>
      <c r="X56" s="9">
        <f ca="1">IFERROR(OFFSET(ITEM_RES!$A$5,MATCH(BUILDING!W56,ITEM_RES!$J$5:$J$228,0)-1,0),0)</f>
        <v>211010301</v>
      </c>
      <c r="Z56" s="9" t="s">
        <v>539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448</v>
      </c>
      <c r="AR56" s="11">
        <v>1500</v>
      </c>
      <c r="AU56" s="11">
        <f ca="1">IFERROR(OFFSET(ITEM_RES!$A$1,MATCH(AV56,ITEM_RES!$J:$J,0)-1,0),0)</f>
        <v>211020101</v>
      </c>
      <c r="AV56" s="10" t="s">
        <v>472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>
        <v>1</v>
      </c>
      <c r="M57" s="9">
        <v>15</v>
      </c>
      <c r="N57" s="9" t="s">
        <v>834</v>
      </c>
      <c r="R57" s="9" t="s">
        <v>757</v>
      </c>
      <c r="U57" s="9">
        <f ca="1">IFERROR(OFFSET(ITEM_RES!$A$5,MATCH(BUILDING!T57,ITEM_RES!$J$5:$J$228,0)-1,0),0)</f>
        <v>0</v>
      </c>
      <c r="W57" s="85" t="s">
        <v>569</v>
      </c>
      <c r="X57" s="9">
        <f ca="1">IFERROR(OFFSET(ITEM_RES!$A$5,MATCH(BUILDING!W57,ITEM_RES!$J$5:$J$228,0)-1,0),0)</f>
        <v>211010301</v>
      </c>
      <c r="Z57" s="9" t="s">
        <v>539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448</v>
      </c>
      <c r="AR57" s="11">
        <v>1750</v>
      </c>
      <c r="AU57" s="11">
        <f ca="1">IFERROR(OFFSET(ITEM_RES!$A$1,MATCH(AV57,ITEM_RES!$J:$J,0)-1,0),0)</f>
        <v>211020101</v>
      </c>
      <c r="AV57" s="10" t="s">
        <v>472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>
        <v>1</v>
      </c>
      <c r="M58" s="9">
        <v>15</v>
      </c>
      <c r="N58" s="9" t="s">
        <v>834</v>
      </c>
      <c r="R58" s="9" t="s">
        <v>757</v>
      </c>
      <c r="U58" s="9">
        <f ca="1">IFERROR(OFFSET(ITEM_RES!$A$5,MATCH(BUILDING!T58,ITEM_RES!$J$5:$J$228,0)-1,0),0)</f>
        <v>0</v>
      </c>
      <c r="W58" s="85" t="s">
        <v>569</v>
      </c>
      <c r="X58" s="9">
        <f ca="1">IFERROR(OFFSET(ITEM_RES!$A$5,MATCH(BUILDING!W58,ITEM_RES!$J$5:$J$228,0)-1,0),0)</f>
        <v>211010301</v>
      </c>
      <c r="Z58" s="9" t="s">
        <v>539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463</v>
      </c>
      <c r="AR58" s="11">
        <v>2250</v>
      </c>
      <c r="AU58" s="11">
        <f ca="1">IFERROR(OFFSET(ITEM_RES!$A$1,MATCH(AV58,ITEM_RES!$J:$J,0)-1,0),0)</f>
        <v>211020101</v>
      </c>
      <c r="AV58" s="10" t="s">
        <v>472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>
        <v>1</v>
      </c>
      <c r="M59" s="9">
        <v>15</v>
      </c>
      <c r="N59" s="9" t="s">
        <v>834</v>
      </c>
      <c r="R59" s="9" t="s">
        <v>757</v>
      </c>
      <c r="U59" s="9">
        <f ca="1">IFERROR(OFFSET(ITEM_RES!$A$5,MATCH(BUILDING!T59,ITEM_RES!$J$5:$J$228,0)-1,0),0)</f>
        <v>0</v>
      </c>
      <c r="W59" s="85" t="s">
        <v>569</v>
      </c>
      <c r="X59" s="9">
        <f ca="1">IFERROR(OFFSET(ITEM_RES!$A$5,MATCH(BUILDING!W59,ITEM_RES!$J$5:$J$228,0)-1,0),0)</f>
        <v>211010301</v>
      </c>
      <c r="Z59" s="9" t="s">
        <v>539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463</v>
      </c>
      <c r="AR59" s="11">
        <v>2750</v>
      </c>
      <c r="AU59" s="11">
        <f ca="1">IFERROR(OFFSET(ITEM_RES!$A$1,MATCH(AV59,ITEM_RES!$J:$J,0)-1,0),0)</f>
        <v>211020101</v>
      </c>
      <c r="AV59" s="10" t="s">
        <v>472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>
        <v>0</v>
      </c>
      <c r="M60" s="9">
        <v>15</v>
      </c>
      <c r="N60" s="9" t="s">
        <v>834</v>
      </c>
      <c r="R60" s="9" t="s">
        <v>757</v>
      </c>
      <c r="U60" s="9">
        <f ca="1">IFERROR(OFFSET(ITEM_RES!$A$5,MATCH(BUILDING!T60,ITEM_RES!$J$5:$J$228,0)-1,0),0)</f>
        <v>0</v>
      </c>
      <c r="W60" s="85" t="s">
        <v>569</v>
      </c>
      <c r="X60" s="9">
        <f ca="1">IFERROR(OFFSET(ITEM_RES!$A$5,MATCH(BUILDING!W60,ITEM_RES!$J$5:$J$228,0)-1,0),0)</f>
        <v>211010301</v>
      </c>
      <c r="Z60" s="9" t="s">
        <v>539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463</v>
      </c>
      <c r="AR60" s="11">
        <v>3500</v>
      </c>
      <c r="AU60" s="11">
        <f ca="1">IFERROR(OFFSET(ITEM_RES!$A$1,MATCH(AV60,ITEM_RES!$J:$J,0)-1,0),0)</f>
        <v>211020101</v>
      </c>
      <c r="AV60" s="10" t="s">
        <v>472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>
        <v>0</v>
      </c>
      <c r="M61" s="9">
        <v>15</v>
      </c>
      <c r="N61" s="9" t="s">
        <v>834</v>
      </c>
      <c r="R61" s="9" t="s">
        <v>757</v>
      </c>
      <c r="U61" s="9">
        <f ca="1">IFERROR(OFFSET(ITEM_RES!$A$5,MATCH(BUILDING!T61,ITEM_RES!$J$5:$J$228,0)-1,0),0)</f>
        <v>0</v>
      </c>
      <c r="W61" s="85" t="s">
        <v>569</v>
      </c>
      <c r="X61" s="9">
        <f ca="1">IFERROR(OFFSET(ITEM_RES!$A$5,MATCH(BUILDING!W61,ITEM_RES!$J$5:$J$228,0)-1,0),0)</f>
        <v>211010301</v>
      </c>
      <c r="Z61" s="9" t="s">
        <v>539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463</v>
      </c>
      <c r="AR61" s="11">
        <v>4250</v>
      </c>
      <c r="AU61" s="11">
        <f ca="1">IFERROR(OFFSET(ITEM_RES!$A$1,MATCH(AV61,ITEM_RES!$J:$J,0)-1,0),0)</f>
        <v>211020101</v>
      </c>
      <c r="AV61" s="10" t="s">
        <v>472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>
        <v>0</v>
      </c>
      <c r="M62" s="9">
        <v>15</v>
      </c>
      <c r="N62" s="9" t="s">
        <v>834</v>
      </c>
      <c r="R62" s="9" t="s">
        <v>757</v>
      </c>
      <c r="U62" s="9">
        <f ca="1">IFERROR(OFFSET(ITEM_RES!$A$5,MATCH(BUILDING!T62,ITEM_RES!$J$5:$J$228,0)-1,0),0)</f>
        <v>0</v>
      </c>
      <c r="W62" s="85" t="s">
        <v>569</v>
      </c>
      <c r="X62" s="9">
        <f ca="1">IFERROR(OFFSET(ITEM_RES!$A$5,MATCH(BUILDING!W62,ITEM_RES!$J$5:$J$228,0)-1,0),0)</f>
        <v>211010301</v>
      </c>
      <c r="Z62" s="9" t="s">
        <v>539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463</v>
      </c>
      <c r="AR62" s="11">
        <v>5250</v>
      </c>
      <c r="AU62" s="11">
        <f ca="1">IFERROR(OFFSET(ITEM_RES!$A$1,MATCH(AV62,ITEM_RES!$J:$J,0)-1,0),0)</f>
        <v>211020101</v>
      </c>
      <c r="AV62" s="10" t="s">
        <v>472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>
        <v>0</v>
      </c>
      <c r="M63" s="9">
        <v>15</v>
      </c>
      <c r="N63" s="9" t="s">
        <v>834</v>
      </c>
      <c r="R63" s="9" t="s">
        <v>757</v>
      </c>
      <c r="U63" s="9">
        <f ca="1">IFERROR(OFFSET(ITEM_RES!$A$5,MATCH(BUILDING!T63,ITEM_RES!$J$5:$J$228,0)-1,0),0)</f>
        <v>0</v>
      </c>
      <c r="W63" s="85" t="s">
        <v>569</v>
      </c>
      <c r="X63" s="9">
        <f ca="1">IFERROR(OFFSET(ITEM_RES!$A$5,MATCH(BUILDING!W63,ITEM_RES!$J$5:$J$228,0)-1,0),0)</f>
        <v>211010301</v>
      </c>
      <c r="Z63" s="9" t="s">
        <v>539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463</v>
      </c>
      <c r="AR63" s="11">
        <v>6250</v>
      </c>
      <c r="AU63" s="11">
        <f ca="1">IFERROR(OFFSET(ITEM_RES!$A$1,MATCH(AV63,ITEM_RES!$J:$J,0)-1,0),0)</f>
        <v>211020101</v>
      </c>
      <c r="AV63" s="10" t="s">
        <v>472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>
        <v>0</v>
      </c>
      <c r="M64" s="9">
        <v>15</v>
      </c>
      <c r="N64" s="9" t="s">
        <v>834</v>
      </c>
      <c r="R64" s="9" t="s">
        <v>757</v>
      </c>
      <c r="U64" s="9">
        <f ca="1">IFERROR(OFFSET(ITEM_RES!$A$5,MATCH(BUILDING!T64,ITEM_RES!$J$5:$J$228,0)-1,0),0)</f>
        <v>0</v>
      </c>
      <c r="W64" s="85" t="s">
        <v>569</v>
      </c>
      <c r="X64" s="9">
        <f ca="1">IFERROR(OFFSET(ITEM_RES!$A$5,MATCH(BUILDING!W64,ITEM_RES!$J$5:$J$228,0)-1,0),0)</f>
        <v>211010301</v>
      </c>
      <c r="Z64" s="9" t="s">
        <v>539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463</v>
      </c>
      <c r="AR64" s="11">
        <v>7500</v>
      </c>
      <c r="AU64" s="11">
        <f ca="1">IFERROR(OFFSET(ITEM_RES!$A$1,MATCH(AV64,ITEM_RES!$J:$J,0)-1,0),0)</f>
        <v>211020101</v>
      </c>
      <c r="AV64" s="10" t="s">
        <v>472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79"/>
      <c r="H65" s="16">
        <v>1</v>
      </c>
      <c r="I65" s="16">
        <v>1</v>
      </c>
      <c r="J65" s="79"/>
      <c r="K65" s="16" t="s">
        <v>460</v>
      </c>
      <c r="L65" s="16">
        <v>1</v>
      </c>
      <c r="M65" s="16">
        <v>15</v>
      </c>
      <c r="N65" s="16"/>
      <c r="O65" s="17"/>
      <c r="P65" s="17"/>
      <c r="Q65" s="18"/>
      <c r="R65" s="16" t="s">
        <v>758</v>
      </c>
      <c r="S65" s="79"/>
      <c r="T65" s="87"/>
      <c r="U65" s="16">
        <f ca="1">IFERROR(OFFSET(ITEM_RES!$A$5,MATCH(BUILDING!T65,ITEM_RES!$J$5:$J$228,0)-1,0),0)</f>
        <v>0</v>
      </c>
      <c r="V65" s="18"/>
      <c r="W65" s="87" t="s">
        <v>570</v>
      </c>
      <c r="X65" s="16">
        <f ca="1">IFERROR(OFFSET(ITEM_RES!$A$5,MATCH(BUILDING!W65,ITEM_RES!$J$5:$J$228,0)-1,0),0)</f>
        <v>211020101</v>
      </c>
      <c r="Y65" s="79"/>
      <c r="Z65" s="16" t="s">
        <v>540</v>
      </c>
      <c r="AA65" s="16">
        <v>1</v>
      </c>
      <c r="AB65" s="79"/>
      <c r="AC65" s="16">
        <v>400</v>
      </c>
      <c r="AD65" s="79"/>
      <c r="AE65" s="57">
        <f t="shared" si="5"/>
        <v>605</v>
      </c>
      <c r="AF65" s="17">
        <f>AE65</f>
        <v>605</v>
      </c>
      <c r="AG65" s="79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446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457</v>
      </c>
      <c r="AW65" s="18">
        <v>25</v>
      </c>
      <c r="AX65" s="17"/>
      <c r="AY65" s="18"/>
      <c r="AZ65" s="18">
        <f ca="1">IFERROR(OFFSET(ITEM_RES!$A$1,MATCH(BA65,ITEM_RES!$J:$J,0)-1,0),0)</f>
        <v>213010101</v>
      </c>
      <c r="BA65" s="17" t="s">
        <v>478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460</v>
      </c>
      <c r="L66" s="9">
        <v>1</v>
      </c>
      <c r="M66" s="9">
        <v>15</v>
      </c>
      <c r="R66" s="9" t="s">
        <v>758</v>
      </c>
      <c r="U66" s="9">
        <f ca="1">IFERROR(OFFSET(ITEM_RES!$A$5,MATCH(BUILDING!T66,ITEM_RES!$J$5:$J$228,0)-1,0),0)</f>
        <v>0</v>
      </c>
      <c r="W66" s="85" t="s">
        <v>570</v>
      </c>
      <c r="X66" s="9">
        <f ca="1">IFERROR(OFFSET(ITEM_RES!$A$5,MATCH(BUILDING!W66,ITEM_RES!$J$5:$J$228,0)-1,0),0)</f>
        <v>211020101</v>
      </c>
      <c r="Z66" s="9" t="s">
        <v>540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448</v>
      </c>
      <c r="AR66" s="11">
        <v>50</v>
      </c>
      <c r="AU66" s="11">
        <f ca="1">IFERROR(OFFSET(ITEM_RES!$A$1,MATCH(AV66,ITEM_RES!$J:$J,0)-1,0),0)</f>
        <v>211020801</v>
      </c>
      <c r="AV66" s="10" t="s">
        <v>457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460</v>
      </c>
      <c r="L67" s="9">
        <v>1</v>
      </c>
      <c r="M67" s="9">
        <v>15</v>
      </c>
      <c r="R67" s="9" t="s">
        <v>758</v>
      </c>
      <c r="U67" s="9">
        <f ca="1">IFERROR(OFFSET(ITEM_RES!$A$5,MATCH(BUILDING!T67,ITEM_RES!$J$5:$J$228,0)-1,0),0)</f>
        <v>0</v>
      </c>
      <c r="W67" s="85" t="s">
        <v>570</v>
      </c>
      <c r="X67" s="9">
        <f ca="1">IFERROR(OFFSET(ITEM_RES!$A$5,MATCH(BUILDING!W67,ITEM_RES!$J$5:$J$228,0)-1,0),0)</f>
        <v>211020101</v>
      </c>
      <c r="Z67" s="9" t="s">
        <v>540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448</v>
      </c>
      <c r="AR67" s="11">
        <v>75</v>
      </c>
      <c r="AU67" s="11">
        <f ca="1">IFERROR(OFFSET(ITEM_RES!$A$1,MATCH(AV67,ITEM_RES!$J:$J,0)-1,0),0)</f>
        <v>211020801</v>
      </c>
      <c r="AV67" s="10" t="s">
        <v>457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460</v>
      </c>
      <c r="L68" s="9">
        <v>1</v>
      </c>
      <c r="M68" s="9">
        <v>15</v>
      </c>
      <c r="R68" s="9" t="s">
        <v>758</v>
      </c>
      <c r="U68" s="9">
        <f ca="1">IFERROR(OFFSET(ITEM_RES!$A$5,MATCH(BUILDING!T68,ITEM_RES!$J$5:$J$228,0)-1,0),0)</f>
        <v>0</v>
      </c>
      <c r="W68" s="85" t="s">
        <v>570</v>
      </c>
      <c r="X68" s="9">
        <f ca="1">IFERROR(OFFSET(ITEM_RES!$A$5,MATCH(BUILDING!W68,ITEM_RES!$J$5:$J$228,0)-1,0),0)</f>
        <v>211020101</v>
      </c>
      <c r="Z68" s="9" t="s">
        <v>540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448</v>
      </c>
      <c r="AR68" s="11">
        <v>125</v>
      </c>
      <c r="AU68" s="11">
        <f ca="1">IFERROR(OFFSET(ITEM_RES!$A$1,MATCH(AV68,ITEM_RES!$J:$J,0)-1,0),0)</f>
        <v>211020801</v>
      </c>
      <c r="AV68" s="10" t="s">
        <v>457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460</v>
      </c>
      <c r="L69" s="9">
        <v>1</v>
      </c>
      <c r="M69" s="9">
        <v>15</v>
      </c>
      <c r="R69" s="9" t="s">
        <v>758</v>
      </c>
      <c r="U69" s="9">
        <f ca="1">IFERROR(OFFSET(ITEM_RES!$A$5,MATCH(BUILDING!T69,ITEM_RES!$J$5:$J$228,0)-1,0),0)</f>
        <v>0</v>
      </c>
      <c r="W69" s="85" t="s">
        <v>570</v>
      </c>
      <c r="X69" s="9">
        <f ca="1">IFERROR(OFFSET(ITEM_RES!$A$5,MATCH(BUILDING!W69,ITEM_RES!$J$5:$J$228,0)-1,0),0)</f>
        <v>211020101</v>
      </c>
      <c r="Z69" s="9" t="s">
        <v>540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448</v>
      </c>
      <c r="AR69" s="11">
        <v>200</v>
      </c>
      <c r="AU69" s="11">
        <f ca="1">IFERROR(OFFSET(ITEM_RES!$A$1,MATCH(AV69,ITEM_RES!$J:$J,0)-1,0),0)</f>
        <v>211020801</v>
      </c>
      <c r="AV69" s="10" t="s">
        <v>457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460</v>
      </c>
      <c r="L70" s="9">
        <v>1</v>
      </c>
      <c r="M70" s="9">
        <v>15</v>
      </c>
      <c r="R70" s="9" t="s">
        <v>758</v>
      </c>
      <c r="U70" s="9">
        <f ca="1">IFERROR(OFFSET(ITEM_RES!$A$5,MATCH(BUILDING!T70,ITEM_RES!$J$5:$J$228,0)-1,0),0)</f>
        <v>0</v>
      </c>
      <c r="W70" s="85" t="s">
        <v>570</v>
      </c>
      <c r="X70" s="9">
        <f ca="1">IFERROR(OFFSET(ITEM_RES!$A$5,MATCH(BUILDING!W70,ITEM_RES!$J$5:$J$228,0)-1,0),0)</f>
        <v>211020101</v>
      </c>
      <c r="Z70" s="9" t="s">
        <v>540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448</v>
      </c>
      <c r="AR70" s="11">
        <v>250</v>
      </c>
      <c r="AU70" s="11">
        <f ca="1">IFERROR(OFFSET(ITEM_RES!$A$1,MATCH(AV70,ITEM_RES!$J:$J,0)-1,0),0)</f>
        <v>211020801</v>
      </c>
      <c r="AV70" s="10" t="s">
        <v>457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460</v>
      </c>
      <c r="L71" s="9">
        <v>1</v>
      </c>
      <c r="M71" s="9">
        <v>15</v>
      </c>
      <c r="R71" s="9" t="s">
        <v>758</v>
      </c>
      <c r="U71" s="9">
        <f ca="1">IFERROR(OFFSET(ITEM_RES!$A$5,MATCH(BUILDING!T71,ITEM_RES!$J$5:$J$228,0)-1,0),0)</f>
        <v>0</v>
      </c>
      <c r="W71" s="85" t="s">
        <v>570</v>
      </c>
      <c r="X71" s="9">
        <f ca="1">IFERROR(OFFSET(ITEM_RES!$A$5,MATCH(BUILDING!W71,ITEM_RES!$J$5:$J$228,0)-1,0),0)</f>
        <v>211020101</v>
      </c>
      <c r="Z71" s="9" t="s">
        <v>540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448</v>
      </c>
      <c r="AR71" s="11">
        <v>500</v>
      </c>
      <c r="AU71" s="11">
        <f ca="1">IFERROR(OFFSET(ITEM_RES!$A$1,MATCH(AV71,ITEM_RES!$J:$J,0)-1,0),0)</f>
        <v>211020801</v>
      </c>
      <c r="AV71" s="10" t="s">
        <v>457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460</v>
      </c>
      <c r="L72" s="9">
        <v>1</v>
      </c>
      <c r="M72" s="9">
        <v>15</v>
      </c>
      <c r="R72" s="9" t="s">
        <v>758</v>
      </c>
      <c r="U72" s="9">
        <f ca="1">IFERROR(OFFSET(ITEM_RES!$A$5,MATCH(BUILDING!T72,ITEM_RES!$J$5:$J$228,0)-1,0),0)</f>
        <v>0</v>
      </c>
      <c r="W72" s="85" t="s">
        <v>570</v>
      </c>
      <c r="X72" s="9">
        <f ca="1">IFERROR(OFFSET(ITEM_RES!$A$5,MATCH(BUILDING!W72,ITEM_RES!$J$5:$J$228,0)-1,0),0)</f>
        <v>211020101</v>
      </c>
      <c r="Z72" s="9" t="s">
        <v>540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448</v>
      </c>
      <c r="AR72" s="11">
        <v>500</v>
      </c>
      <c r="AU72" s="11">
        <f ca="1">IFERROR(OFFSET(ITEM_RES!$A$1,MATCH(AV72,ITEM_RES!$J:$J,0)-1,0),0)</f>
        <v>211020801</v>
      </c>
      <c r="AV72" s="10" t="s">
        <v>457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460</v>
      </c>
      <c r="L73" s="9">
        <v>1</v>
      </c>
      <c r="M73" s="9">
        <v>15</v>
      </c>
      <c r="R73" s="9" t="s">
        <v>758</v>
      </c>
      <c r="U73" s="9">
        <f ca="1">IFERROR(OFFSET(ITEM_RES!$A$5,MATCH(BUILDING!T73,ITEM_RES!$J$5:$J$228,0)-1,0),0)</f>
        <v>0</v>
      </c>
      <c r="W73" s="85" t="s">
        <v>570</v>
      </c>
      <c r="X73" s="9">
        <f ca="1">IFERROR(OFFSET(ITEM_RES!$A$5,MATCH(BUILDING!W73,ITEM_RES!$J$5:$J$228,0)-1,0),0)</f>
        <v>211020101</v>
      </c>
      <c r="Z73" s="9" t="s">
        <v>540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448</v>
      </c>
      <c r="AR73" s="11">
        <v>750</v>
      </c>
      <c r="AU73" s="11">
        <f ca="1">IFERROR(OFFSET(ITEM_RES!$A$1,MATCH(AV73,ITEM_RES!$J:$J,0)-1,0),0)</f>
        <v>211020801</v>
      </c>
      <c r="AV73" s="10" t="s">
        <v>457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460</v>
      </c>
      <c r="L74" s="9">
        <v>1</v>
      </c>
      <c r="M74" s="9">
        <v>15</v>
      </c>
      <c r="R74" s="9" t="s">
        <v>758</v>
      </c>
      <c r="U74" s="9">
        <f ca="1">IFERROR(OFFSET(ITEM_RES!$A$5,MATCH(BUILDING!T74,ITEM_RES!$J$5:$J$228,0)-1,0),0)</f>
        <v>0</v>
      </c>
      <c r="W74" s="85" t="s">
        <v>570</v>
      </c>
      <c r="X74" s="9">
        <f ca="1">IFERROR(OFFSET(ITEM_RES!$A$5,MATCH(BUILDING!W74,ITEM_RES!$J$5:$J$228,0)-1,0),0)</f>
        <v>211020101</v>
      </c>
      <c r="Z74" s="9" t="s">
        <v>540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448</v>
      </c>
      <c r="AR74" s="11">
        <v>1000</v>
      </c>
      <c r="AU74" s="11">
        <f ca="1">IFERROR(OFFSET(ITEM_RES!$A$1,MATCH(AV74,ITEM_RES!$J:$J,0)-1,0),0)</f>
        <v>211020801</v>
      </c>
      <c r="AV74" s="10" t="s">
        <v>457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460</v>
      </c>
      <c r="L75" s="9">
        <v>1</v>
      </c>
      <c r="M75" s="9">
        <v>15</v>
      </c>
      <c r="R75" s="9" t="s">
        <v>758</v>
      </c>
      <c r="U75" s="9">
        <f ca="1">IFERROR(OFFSET(ITEM_RES!$A$5,MATCH(BUILDING!T75,ITEM_RES!$J$5:$J$228,0)-1,0),0)</f>
        <v>0</v>
      </c>
      <c r="W75" s="85" t="s">
        <v>570</v>
      </c>
      <c r="X75" s="9">
        <f ca="1">IFERROR(OFFSET(ITEM_RES!$A$5,MATCH(BUILDING!W75,ITEM_RES!$J$5:$J$228,0)-1,0),0)</f>
        <v>211020101</v>
      </c>
      <c r="Z75" s="9" t="s">
        <v>540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448</v>
      </c>
      <c r="AR75" s="11">
        <v>1250</v>
      </c>
      <c r="AU75" s="11">
        <f ca="1">IFERROR(OFFSET(ITEM_RES!$A$1,MATCH(AV75,ITEM_RES!$J:$J,0)-1,0),0)</f>
        <v>211020801</v>
      </c>
      <c r="AV75" s="10" t="s">
        <v>457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213010601</v>
      </c>
      <c r="BF75" s="10" t="s">
        <v>486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460</v>
      </c>
      <c r="L76" s="9">
        <v>1</v>
      </c>
      <c r="M76" s="9">
        <v>15</v>
      </c>
      <c r="R76" s="9" t="s">
        <v>758</v>
      </c>
      <c r="U76" s="9">
        <f ca="1">IFERROR(OFFSET(ITEM_RES!$A$5,MATCH(BUILDING!T76,ITEM_RES!$J$5:$J$228,0)-1,0),0)</f>
        <v>0</v>
      </c>
      <c r="W76" s="85" t="s">
        <v>570</v>
      </c>
      <c r="X76" s="9">
        <f ca="1">IFERROR(OFFSET(ITEM_RES!$A$5,MATCH(BUILDING!W76,ITEM_RES!$J$5:$J$228,0)-1,0),0)</f>
        <v>211020101</v>
      </c>
      <c r="Z76" s="9" t="s">
        <v>540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448</v>
      </c>
      <c r="AR76" s="11">
        <v>1500</v>
      </c>
      <c r="AU76" s="11">
        <f ca="1">IFERROR(OFFSET(ITEM_RES!$A$1,MATCH(AV76,ITEM_RES!$J:$J,0)-1,0),0)</f>
        <v>211020801</v>
      </c>
      <c r="AV76" s="10" t="s">
        <v>457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460</v>
      </c>
      <c r="L77" s="9">
        <v>1</v>
      </c>
      <c r="M77" s="9">
        <v>15</v>
      </c>
      <c r="R77" s="9" t="s">
        <v>758</v>
      </c>
      <c r="U77" s="9">
        <f ca="1">IFERROR(OFFSET(ITEM_RES!$A$5,MATCH(BUILDING!T77,ITEM_RES!$J$5:$J$228,0)-1,0),0)</f>
        <v>0</v>
      </c>
      <c r="W77" s="85" t="s">
        <v>570</v>
      </c>
      <c r="X77" s="9">
        <f ca="1">IFERROR(OFFSET(ITEM_RES!$A$5,MATCH(BUILDING!W77,ITEM_RES!$J$5:$J$228,0)-1,0),0)</f>
        <v>211020101</v>
      </c>
      <c r="Z77" s="9" t="s">
        <v>540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448</v>
      </c>
      <c r="AR77" s="11">
        <v>1750</v>
      </c>
      <c r="AU77" s="11">
        <f ca="1">IFERROR(OFFSET(ITEM_RES!$A$1,MATCH(AV77,ITEM_RES!$J:$J,0)-1,0),0)</f>
        <v>211020801</v>
      </c>
      <c r="AV77" s="10" t="s">
        <v>457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460</v>
      </c>
      <c r="L78" s="9">
        <v>1</v>
      </c>
      <c r="M78" s="9">
        <v>15</v>
      </c>
      <c r="R78" s="9" t="s">
        <v>758</v>
      </c>
      <c r="U78" s="9">
        <f ca="1">IFERROR(OFFSET(ITEM_RES!$A$5,MATCH(BUILDING!T78,ITEM_RES!$J$5:$J$228,0)-1,0),0)</f>
        <v>0</v>
      </c>
      <c r="W78" s="85" t="s">
        <v>570</v>
      </c>
      <c r="X78" s="9">
        <f ca="1">IFERROR(OFFSET(ITEM_RES!$A$5,MATCH(BUILDING!W78,ITEM_RES!$J$5:$J$228,0)-1,0),0)</f>
        <v>211020101</v>
      </c>
      <c r="Z78" s="9" t="s">
        <v>540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448</v>
      </c>
      <c r="AR78" s="11">
        <v>2250</v>
      </c>
      <c r="AU78" s="11">
        <f ca="1">IFERROR(OFFSET(ITEM_RES!$A$1,MATCH(AV78,ITEM_RES!$J:$J,0)-1,0),0)</f>
        <v>211020901</v>
      </c>
      <c r="AV78" s="10" t="s">
        <v>468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460</v>
      </c>
      <c r="L79" s="9">
        <v>1</v>
      </c>
      <c r="M79" s="9">
        <v>15</v>
      </c>
      <c r="R79" s="9" t="s">
        <v>758</v>
      </c>
      <c r="U79" s="9">
        <f ca="1">IFERROR(OFFSET(ITEM_RES!$A$5,MATCH(BUILDING!T79,ITEM_RES!$J$5:$J$228,0)-1,0),0)</f>
        <v>0</v>
      </c>
      <c r="W79" s="85" t="s">
        <v>570</v>
      </c>
      <c r="X79" s="9">
        <f ca="1">IFERROR(OFFSET(ITEM_RES!$A$5,MATCH(BUILDING!W79,ITEM_RES!$J$5:$J$228,0)-1,0),0)</f>
        <v>211020101</v>
      </c>
      <c r="Z79" s="9" t="s">
        <v>540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448</v>
      </c>
      <c r="AR79" s="11">
        <v>2750</v>
      </c>
      <c r="AU79" s="11">
        <f ca="1">IFERROR(OFFSET(ITEM_RES!$A$1,MATCH(AV79,ITEM_RES!$J:$J,0)-1,0),0)</f>
        <v>211020901</v>
      </c>
      <c r="AV79" s="10" t="s">
        <v>468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460</v>
      </c>
      <c r="L80" s="9">
        <v>0</v>
      </c>
      <c r="M80" s="9">
        <v>15</v>
      </c>
      <c r="R80" s="9" t="s">
        <v>758</v>
      </c>
      <c r="U80" s="9">
        <f ca="1">IFERROR(OFFSET(ITEM_RES!$A$5,MATCH(BUILDING!T80,ITEM_RES!$J$5:$J$228,0)-1,0),0)</f>
        <v>0</v>
      </c>
      <c r="W80" s="85" t="s">
        <v>570</v>
      </c>
      <c r="X80" s="9">
        <f ca="1">IFERROR(OFFSET(ITEM_RES!$A$5,MATCH(BUILDING!W80,ITEM_RES!$J$5:$J$228,0)-1,0),0)</f>
        <v>211020101</v>
      </c>
      <c r="Z80" s="9" t="s">
        <v>540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448</v>
      </c>
      <c r="AR80" s="11">
        <v>3500</v>
      </c>
      <c r="AU80" s="11">
        <f ca="1">IFERROR(OFFSET(ITEM_RES!$A$1,MATCH(AV80,ITEM_RES!$J:$J,0)-1,0),0)</f>
        <v>211020901</v>
      </c>
      <c r="AV80" s="10" t="s">
        <v>468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460</v>
      </c>
      <c r="L81" s="9">
        <v>0</v>
      </c>
      <c r="M81" s="9">
        <v>15</v>
      </c>
      <c r="R81" s="9" t="s">
        <v>758</v>
      </c>
      <c r="U81" s="9">
        <f ca="1">IFERROR(OFFSET(ITEM_RES!$A$5,MATCH(BUILDING!T81,ITEM_RES!$J$5:$J$228,0)-1,0),0)</f>
        <v>0</v>
      </c>
      <c r="W81" s="85" t="s">
        <v>570</v>
      </c>
      <c r="X81" s="9">
        <f ca="1">IFERROR(OFFSET(ITEM_RES!$A$5,MATCH(BUILDING!W81,ITEM_RES!$J$5:$J$228,0)-1,0),0)</f>
        <v>211020101</v>
      </c>
      <c r="Z81" s="9" t="s">
        <v>540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448</v>
      </c>
      <c r="AR81" s="11">
        <v>4250</v>
      </c>
      <c r="AU81" s="11">
        <f ca="1">IFERROR(OFFSET(ITEM_RES!$A$1,MATCH(AV81,ITEM_RES!$J:$J,0)-1,0),0)</f>
        <v>211020901</v>
      </c>
      <c r="AV81" s="10" t="s">
        <v>468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460</v>
      </c>
      <c r="L82" s="9">
        <v>0</v>
      </c>
      <c r="M82" s="9">
        <v>15</v>
      </c>
      <c r="R82" s="9" t="s">
        <v>758</v>
      </c>
      <c r="U82" s="9">
        <f ca="1">IFERROR(OFFSET(ITEM_RES!$A$5,MATCH(BUILDING!T82,ITEM_RES!$J$5:$J$228,0)-1,0),0)</f>
        <v>0</v>
      </c>
      <c r="W82" s="85" t="s">
        <v>570</v>
      </c>
      <c r="X82" s="9">
        <f ca="1">IFERROR(OFFSET(ITEM_RES!$A$5,MATCH(BUILDING!W82,ITEM_RES!$J$5:$J$228,0)-1,0),0)</f>
        <v>211020101</v>
      </c>
      <c r="Z82" s="9" t="s">
        <v>540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448</v>
      </c>
      <c r="AR82" s="11">
        <v>5250</v>
      </c>
      <c r="AU82" s="11">
        <f ca="1">IFERROR(OFFSET(ITEM_RES!$A$1,MATCH(AV82,ITEM_RES!$J:$J,0)-1,0),0)</f>
        <v>211020901</v>
      </c>
      <c r="AV82" s="10" t="s">
        <v>468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460</v>
      </c>
      <c r="L83" s="9">
        <v>0</v>
      </c>
      <c r="M83" s="9">
        <v>15</v>
      </c>
      <c r="R83" s="9" t="s">
        <v>758</v>
      </c>
      <c r="U83" s="9">
        <f ca="1">IFERROR(OFFSET(ITEM_RES!$A$5,MATCH(BUILDING!T83,ITEM_RES!$J$5:$J$228,0)-1,0),0)</f>
        <v>0</v>
      </c>
      <c r="W83" s="85" t="s">
        <v>570</v>
      </c>
      <c r="X83" s="9">
        <f ca="1">IFERROR(OFFSET(ITEM_RES!$A$5,MATCH(BUILDING!W83,ITEM_RES!$J$5:$J$228,0)-1,0),0)</f>
        <v>211020101</v>
      </c>
      <c r="Z83" s="9" t="s">
        <v>540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448</v>
      </c>
      <c r="AR83" s="11">
        <v>6250</v>
      </c>
      <c r="AU83" s="11">
        <f ca="1">IFERROR(OFFSET(ITEM_RES!$A$1,MATCH(AV83,ITEM_RES!$J:$J,0)-1,0),0)</f>
        <v>211020901</v>
      </c>
      <c r="AV83" s="10" t="s">
        <v>468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460</v>
      </c>
      <c r="L84" s="9">
        <v>0</v>
      </c>
      <c r="M84" s="9">
        <v>15</v>
      </c>
      <c r="R84" s="9" t="s">
        <v>758</v>
      </c>
      <c r="U84" s="9">
        <f ca="1">IFERROR(OFFSET(ITEM_RES!$A$5,MATCH(BUILDING!T84,ITEM_RES!$J$5:$J$228,0)-1,0),0)</f>
        <v>0</v>
      </c>
      <c r="W84" s="85" t="s">
        <v>570</v>
      </c>
      <c r="X84" s="9">
        <f ca="1">IFERROR(OFFSET(ITEM_RES!$A$5,MATCH(BUILDING!W84,ITEM_RES!$J$5:$J$228,0)-1,0),0)</f>
        <v>211020101</v>
      </c>
      <c r="Z84" s="9" t="s">
        <v>540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446</v>
      </c>
      <c r="AR84" s="11">
        <v>7500</v>
      </c>
      <c r="AU84" s="11">
        <f ca="1">IFERROR(OFFSET(ITEM_RES!$A$1,MATCH(AV84,ITEM_RES!$J:$J,0)-1,0),0)</f>
        <v>211020901</v>
      </c>
      <c r="AV84" s="10" t="s">
        <v>468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376</v>
      </c>
      <c r="L85" s="16">
        <v>1</v>
      </c>
      <c r="M85" s="16">
        <v>15</v>
      </c>
      <c r="N85" s="16" t="s">
        <v>850</v>
      </c>
      <c r="O85" s="17"/>
      <c r="P85" s="17"/>
      <c r="Q85" s="18"/>
      <c r="R85" s="16" t="s">
        <v>780</v>
      </c>
      <c r="S85" s="79"/>
      <c r="T85" s="87" t="s">
        <v>572</v>
      </c>
      <c r="U85" s="16">
        <f ca="1">IFERROR(OFFSET(ITEM_RES!$A$5,MATCH(BUILDING!T85,ITEM_RES!$J$5:$J$228,0)-1,0),0)</f>
        <v>211021101</v>
      </c>
      <c r="V85" s="18">
        <v>100</v>
      </c>
      <c r="W85" s="87" t="s">
        <v>571</v>
      </c>
      <c r="X85" s="16">
        <f ca="1">IFERROR(OFFSET(ITEM_RES!$A$5,MATCH(BUILDING!W85,ITEM_RES!$J$5:$J$228,0)-1,0),0)</f>
        <v>211010401</v>
      </c>
      <c r="Y85" s="79"/>
      <c r="Z85" s="16" t="s">
        <v>541</v>
      </c>
      <c r="AA85" s="16">
        <v>1</v>
      </c>
      <c r="AB85" s="79"/>
      <c r="AC85" s="16">
        <v>0</v>
      </c>
      <c r="AD85" s="79"/>
      <c r="AE85" s="57">
        <f t="shared" si="26"/>
        <v>605</v>
      </c>
      <c r="AF85" s="17">
        <f>AE85</f>
        <v>605</v>
      </c>
      <c r="AG85" s="79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450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456</v>
      </c>
      <c r="AW85" s="18">
        <v>25</v>
      </c>
      <c r="AX85" s="17"/>
      <c r="AY85" s="18"/>
      <c r="AZ85" s="18">
        <f ca="1">IFERROR(OFFSET(ITEM_RES!$A$1,MATCH(BA85,ITEM_RES!$J:$J,0)-1,0),0)</f>
        <v>213010101</v>
      </c>
      <c r="BA85" s="17" t="s">
        <v>478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376</v>
      </c>
      <c r="L86" s="9">
        <v>1</v>
      </c>
      <c r="M86" s="9">
        <v>15</v>
      </c>
      <c r="N86" s="9" t="s">
        <v>850</v>
      </c>
      <c r="R86" s="9" t="s">
        <v>780</v>
      </c>
      <c r="T86" s="85" t="s">
        <v>572</v>
      </c>
      <c r="U86" s="9">
        <f ca="1">IFERROR(OFFSET(ITEM_RES!$A$5,MATCH(BUILDING!T86,ITEM_RES!$J$5:$J$228,0)-1,0),0)</f>
        <v>211021101</v>
      </c>
      <c r="V86" s="11">
        <v>100</v>
      </c>
      <c r="W86" s="85" t="s">
        <v>571</v>
      </c>
      <c r="X86" s="9">
        <f ca="1">IFERROR(OFFSET(ITEM_RES!$A$5,MATCH(BUILDING!W86,ITEM_RES!$J$5:$J$228,0)-1,0),0)</f>
        <v>211010401</v>
      </c>
      <c r="Z86" s="9" t="s">
        <v>541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451</v>
      </c>
      <c r="AR86" s="11">
        <v>50</v>
      </c>
      <c r="AU86" s="11">
        <f ca="1">IFERROR(OFFSET(ITEM_RES!$A$1,MATCH(AV86,ITEM_RES!$J:$J,0)-1,0),0)</f>
        <v>211020401</v>
      </c>
      <c r="AV86" s="10" t="s">
        <v>456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376</v>
      </c>
      <c r="L87" s="9">
        <v>1</v>
      </c>
      <c r="M87" s="9">
        <v>15</v>
      </c>
      <c r="N87" s="9" t="s">
        <v>850</v>
      </c>
      <c r="R87" s="9" t="s">
        <v>780</v>
      </c>
      <c r="T87" s="85" t="s">
        <v>572</v>
      </c>
      <c r="U87" s="9">
        <f ca="1">IFERROR(OFFSET(ITEM_RES!$A$5,MATCH(BUILDING!T87,ITEM_RES!$J$5:$J$228,0)-1,0),0)</f>
        <v>211021101</v>
      </c>
      <c r="V87" s="11">
        <v>100</v>
      </c>
      <c r="W87" s="85" t="s">
        <v>571</v>
      </c>
      <c r="X87" s="9">
        <f ca="1">IFERROR(OFFSET(ITEM_RES!$A$5,MATCH(BUILDING!W87,ITEM_RES!$J$5:$J$228,0)-1,0),0)</f>
        <v>211010401</v>
      </c>
      <c r="Z87" s="9" t="s">
        <v>541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450</v>
      </c>
      <c r="AR87" s="11">
        <v>75</v>
      </c>
      <c r="AU87" s="11">
        <f ca="1">IFERROR(OFFSET(ITEM_RES!$A$1,MATCH(AV87,ITEM_RES!$J:$J,0)-1,0),0)</f>
        <v>211020401</v>
      </c>
      <c r="AV87" s="10" t="s">
        <v>456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376</v>
      </c>
      <c r="L88" s="9">
        <v>1</v>
      </c>
      <c r="M88" s="9">
        <v>15</v>
      </c>
      <c r="N88" s="9" t="s">
        <v>850</v>
      </c>
      <c r="R88" s="9" t="s">
        <v>780</v>
      </c>
      <c r="T88" s="85" t="s">
        <v>572</v>
      </c>
      <c r="U88" s="9">
        <f ca="1">IFERROR(OFFSET(ITEM_RES!$A$5,MATCH(BUILDING!T88,ITEM_RES!$J$5:$J$228,0)-1,0),0)</f>
        <v>211021101</v>
      </c>
      <c r="V88" s="11">
        <v>100</v>
      </c>
      <c r="W88" s="85" t="s">
        <v>571</v>
      </c>
      <c r="X88" s="9">
        <f ca="1">IFERROR(OFFSET(ITEM_RES!$A$5,MATCH(BUILDING!W88,ITEM_RES!$J$5:$J$228,0)-1,0),0)</f>
        <v>211010401</v>
      </c>
      <c r="Z88" s="9" t="s">
        <v>541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451</v>
      </c>
      <c r="AR88" s="11">
        <v>125</v>
      </c>
      <c r="AU88" s="11">
        <f ca="1">IFERROR(OFFSET(ITEM_RES!$A$1,MATCH(AV88,ITEM_RES!$J:$J,0)-1,0),0)</f>
        <v>211020401</v>
      </c>
      <c r="AV88" s="10" t="s">
        <v>456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376</v>
      </c>
      <c r="L89" s="9">
        <v>1</v>
      </c>
      <c r="M89" s="9">
        <v>15</v>
      </c>
      <c r="N89" s="9" t="s">
        <v>850</v>
      </c>
      <c r="R89" s="9" t="s">
        <v>780</v>
      </c>
      <c r="T89" s="85" t="s">
        <v>572</v>
      </c>
      <c r="U89" s="9">
        <f ca="1">IFERROR(OFFSET(ITEM_RES!$A$5,MATCH(BUILDING!T89,ITEM_RES!$J$5:$J$228,0)-1,0),0)</f>
        <v>211021101</v>
      </c>
      <c r="V89" s="11">
        <v>100</v>
      </c>
      <c r="W89" s="85" t="s">
        <v>571</v>
      </c>
      <c r="X89" s="9">
        <f ca="1">IFERROR(OFFSET(ITEM_RES!$A$5,MATCH(BUILDING!W89,ITEM_RES!$J$5:$J$228,0)-1,0),0)</f>
        <v>211010401</v>
      </c>
      <c r="Z89" s="9" t="s">
        <v>541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450</v>
      </c>
      <c r="AR89" s="11">
        <v>200</v>
      </c>
      <c r="AU89" s="11">
        <f ca="1">IFERROR(OFFSET(ITEM_RES!$A$1,MATCH(AV89,ITEM_RES!$J:$J,0)-1,0),0)</f>
        <v>211020401</v>
      </c>
      <c r="AV89" s="10" t="s">
        <v>456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376</v>
      </c>
      <c r="L90" s="9">
        <v>1</v>
      </c>
      <c r="M90" s="9">
        <v>15</v>
      </c>
      <c r="N90" s="9" t="s">
        <v>850</v>
      </c>
      <c r="R90" s="9" t="s">
        <v>780</v>
      </c>
      <c r="T90" s="85" t="s">
        <v>572</v>
      </c>
      <c r="U90" s="9">
        <f ca="1">IFERROR(OFFSET(ITEM_RES!$A$5,MATCH(BUILDING!T90,ITEM_RES!$J$5:$J$228,0)-1,0),0)</f>
        <v>211021101</v>
      </c>
      <c r="V90" s="11">
        <v>100</v>
      </c>
      <c r="W90" s="85" t="s">
        <v>571</v>
      </c>
      <c r="X90" s="9">
        <f ca="1">IFERROR(OFFSET(ITEM_RES!$A$5,MATCH(BUILDING!W90,ITEM_RES!$J$5:$J$228,0)-1,0),0)</f>
        <v>211010401</v>
      </c>
      <c r="Z90" s="9" t="s">
        <v>541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451</v>
      </c>
      <c r="AR90" s="11">
        <v>250</v>
      </c>
      <c r="AU90" s="11">
        <f ca="1">IFERROR(OFFSET(ITEM_RES!$A$1,MATCH(AV90,ITEM_RES!$J:$J,0)-1,0),0)</f>
        <v>211020401</v>
      </c>
      <c r="AV90" s="10" t="s">
        <v>456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376</v>
      </c>
      <c r="L91" s="9">
        <v>1</v>
      </c>
      <c r="M91" s="9">
        <v>15</v>
      </c>
      <c r="N91" s="9" t="s">
        <v>850</v>
      </c>
      <c r="R91" s="9" t="s">
        <v>780</v>
      </c>
      <c r="T91" s="85" t="s">
        <v>572</v>
      </c>
      <c r="U91" s="9">
        <f ca="1">IFERROR(OFFSET(ITEM_RES!$A$5,MATCH(BUILDING!T91,ITEM_RES!$J$5:$J$228,0)-1,0),0)</f>
        <v>211021101</v>
      </c>
      <c r="V91" s="11">
        <v>100</v>
      </c>
      <c r="W91" s="85" t="s">
        <v>571</v>
      </c>
      <c r="X91" s="9">
        <f ca="1">IFERROR(OFFSET(ITEM_RES!$A$5,MATCH(BUILDING!W91,ITEM_RES!$J$5:$J$228,0)-1,0),0)</f>
        <v>211010401</v>
      </c>
      <c r="Z91" s="9" t="s">
        <v>541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451</v>
      </c>
      <c r="AR91" s="11">
        <v>500</v>
      </c>
      <c r="AU91" s="11">
        <f ca="1">IFERROR(OFFSET(ITEM_RES!$A$1,MATCH(AV91,ITEM_RES!$J:$J,0)-1,0),0)</f>
        <v>211020401</v>
      </c>
      <c r="AV91" s="10" t="s">
        <v>456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376</v>
      </c>
      <c r="L92" s="9">
        <v>1</v>
      </c>
      <c r="M92" s="9">
        <v>15</v>
      </c>
      <c r="N92" s="9" t="s">
        <v>850</v>
      </c>
      <c r="R92" s="9" t="s">
        <v>780</v>
      </c>
      <c r="T92" s="85" t="s">
        <v>572</v>
      </c>
      <c r="U92" s="9">
        <f ca="1">IFERROR(OFFSET(ITEM_RES!$A$5,MATCH(BUILDING!T92,ITEM_RES!$J$5:$J$228,0)-1,0),0)</f>
        <v>211021101</v>
      </c>
      <c r="V92" s="11">
        <v>100</v>
      </c>
      <c r="W92" s="85" t="s">
        <v>571</v>
      </c>
      <c r="X92" s="9">
        <f ca="1">IFERROR(OFFSET(ITEM_RES!$A$5,MATCH(BUILDING!W92,ITEM_RES!$J$5:$J$228,0)-1,0),0)</f>
        <v>211010401</v>
      </c>
      <c r="Z92" s="9" t="s">
        <v>541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476</v>
      </c>
      <c r="AR92" s="11">
        <v>500</v>
      </c>
      <c r="AU92" s="11">
        <f ca="1">IFERROR(OFFSET(ITEM_RES!$A$1,MATCH(AV92,ITEM_RES!$J:$J,0)-1,0),0)</f>
        <v>211020401</v>
      </c>
      <c r="AV92" s="10" t="s">
        <v>456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376</v>
      </c>
      <c r="L93" s="9">
        <v>1</v>
      </c>
      <c r="M93" s="9">
        <v>15</v>
      </c>
      <c r="N93" s="9" t="s">
        <v>850</v>
      </c>
      <c r="R93" s="9" t="s">
        <v>780</v>
      </c>
      <c r="T93" s="85" t="s">
        <v>572</v>
      </c>
      <c r="U93" s="9">
        <f ca="1">IFERROR(OFFSET(ITEM_RES!$A$5,MATCH(BUILDING!T93,ITEM_RES!$J$5:$J$228,0)-1,0),0)</f>
        <v>211021101</v>
      </c>
      <c r="V93" s="11">
        <v>100</v>
      </c>
      <c r="W93" s="85" t="s">
        <v>571</v>
      </c>
      <c r="X93" s="9">
        <f ca="1">IFERROR(OFFSET(ITEM_RES!$A$5,MATCH(BUILDING!W93,ITEM_RES!$J$5:$J$228,0)-1,0),0)</f>
        <v>211010401</v>
      </c>
      <c r="Z93" s="9" t="s">
        <v>541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476</v>
      </c>
      <c r="AR93" s="11">
        <v>750</v>
      </c>
      <c r="AU93" s="11">
        <f ca="1">IFERROR(OFFSET(ITEM_RES!$A$1,MATCH(AV93,ITEM_RES!$J:$J,0)-1,0),0)</f>
        <v>211020401</v>
      </c>
      <c r="AV93" s="10" t="s">
        <v>456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376</v>
      </c>
      <c r="L94" s="9">
        <v>1</v>
      </c>
      <c r="M94" s="9">
        <v>15</v>
      </c>
      <c r="N94" s="9" t="s">
        <v>850</v>
      </c>
      <c r="R94" s="9" t="s">
        <v>780</v>
      </c>
      <c r="T94" s="85" t="s">
        <v>572</v>
      </c>
      <c r="U94" s="9">
        <f ca="1">IFERROR(OFFSET(ITEM_RES!$A$5,MATCH(BUILDING!T94,ITEM_RES!$J$5:$J$228,0)-1,0),0)</f>
        <v>211021101</v>
      </c>
      <c r="V94" s="11">
        <v>100</v>
      </c>
      <c r="W94" s="85" t="s">
        <v>571</v>
      </c>
      <c r="X94" s="9">
        <f ca="1">IFERROR(OFFSET(ITEM_RES!$A$5,MATCH(BUILDING!W94,ITEM_RES!$J$5:$J$228,0)-1,0),0)</f>
        <v>211010401</v>
      </c>
      <c r="Z94" s="9" t="s">
        <v>541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476</v>
      </c>
      <c r="AR94" s="11">
        <v>1000</v>
      </c>
      <c r="AU94" s="11">
        <f ca="1">IFERROR(OFFSET(ITEM_RES!$A$1,MATCH(AV94,ITEM_RES!$J:$J,0)-1,0),0)</f>
        <v>211020401</v>
      </c>
      <c r="AV94" s="10" t="s">
        <v>456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376</v>
      </c>
      <c r="L95" s="9">
        <v>1</v>
      </c>
      <c r="M95" s="9">
        <v>15</v>
      </c>
      <c r="N95" s="9" t="s">
        <v>850</v>
      </c>
      <c r="R95" s="9" t="s">
        <v>780</v>
      </c>
      <c r="T95" s="85" t="s">
        <v>572</v>
      </c>
      <c r="U95" s="9">
        <f ca="1">IFERROR(OFFSET(ITEM_RES!$A$5,MATCH(BUILDING!T95,ITEM_RES!$J$5:$J$228,0)-1,0),0)</f>
        <v>211021101</v>
      </c>
      <c r="V95" s="11">
        <v>100</v>
      </c>
      <c r="W95" s="85" t="s">
        <v>571</v>
      </c>
      <c r="X95" s="9">
        <f ca="1">IFERROR(OFFSET(ITEM_RES!$A$5,MATCH(BUILDING!W95,ITEM_RES!$J$5:$J$228,0)-1,0),0)</f>
        <v>211010401</v>
      </c>
      <c r="Z95" s="9" t="s">
        <v>541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465</v>
      </c>
      <c r="AR95" s="11">
        <v>1250</v>
      </c>
      <c r="AU95" s="11">
        <f ca="1">IFERROR(OFFSET(ITEM_RES!$A$1,MATCH(AV95,ITEM_RES!$J:$J,0)-1,0),0)</f>
        <v>211020401</v>
      </c>
      <c r="AV95" s="10" t="s">
        <v>456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376</v>
      </c>
      <c r="L96" s="9">
        <v>1</v>
      </c>
      <c r="M96" s="9">
        <v>15</v>
      </c>
      <c r="N96" s="9" t="s">
        <v>850</v>
      </c>
      <c r="R96" s="9" t="s">
        <v>780</v>
      </c>
      <c r="T96" s="85" t="s">
        <v>572</v>
      </c>
      <c r="U96" s="9">
        <f ca="1">IFERROR(OFFSET(ITEM_RES!$A$5,MATCH(BUILDING!T96,ITEM_RES!$J$5:$J$228,0)-1,0),0)</f>
        <v>211021101</v>
      </c>
      <c r="V96" s="11">
        <v>100</v>
      </c>
      <c r="W96" s="85" t="s">
        <v>571</v>
      </c>
      <c r="X96" s="9">
        <f ca="1">IFERROR(OFFSET(ITEM_RES!$A$5,MATCH(BUILDING!W96,ITEM_RES!$J$5:$J$228,0)-1,0),0)</f>
        <v>211010401</v>
      </c>
      <c r="Z96" s="9" t="s">
        <v>541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465</v>
      </c>
      <c r="AR96" s="11">
        <v>1500</v>
      </c>
      <c r="AU96" s="11">
        <f ca="1">IFERROR(OFFSET(ITEM_RES!$A$1,MATCH(AV96,ITEM_RES!$J:$J,0)-1,0),0)</f>
        <v>211020401</v>
      </c>
      <c r="AV96" s="10" t="s">
        <v>456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213010701</v>
      </c>
      <c r="BF96" s="10" t="s">
        <v>487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376</v>
      </c>
      <c r="L97" s="9">
        <v>1</v>
      </c>
      <c r="M97" s="9">
        <v>15</v>
      </c>
      <c r="N97" s="9" t="s">
        <v>850</v>
      </c>
      <c r="R97" s="9" t="s">
        <v>780</v>
      </c>
      <c r="T97" s="85" t="s">
        <v>572</v>
      </c>
      <c r="U97" s="9">
        <f ca="1">IFERROR(OFFSET(ITEM_RES!$A$5,MATCH(BUILDING!T97,ITEM_RES!$J$5:$J$228,0)-1,0),0)</f>
        <v>211021101</v>
      </c>
      <c r="V97" s="11">
        <v>100</v>
      </c>
      <c r="W97" s="85" t="s">
        <v>571</v>
      </c>
      <c r="X97" s="9">
        <f ca="1">IFERROR(OFFSET(ITEM_RES!$A$5,MATCH(BUILDING!W97,ITEM_RES!$J$5:$J$228,0)-1,0),0)</f>
        <v>211010401</v>
      </c>
      <c r="Z97" s="9" t="s">
        <v>541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465</v>
      </c>
      <c r="AR97" s="11">
        <v>1750</v>
      </c>
      <c r="AU97" s="11">
        <f ca="1">IFERROR(OFFSET(ITEM_RES!$A$1,MATCH(AV97,ITEM_RES!$J:$J,0)-1,0),0)</f>
        <v>211020401</v>
      </c>
      <c r="AV97" s="10" t="s">
        <v>456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376</v>
      </c>
      <c r="L98" s="9">
        <v>1</v>
      </c>
      <c r="M98" s="9">
        <v>15</v>
      </c>
      <c r="N98" s="9" t="s">
        <v>850</v>
      </c>
      <c r="R98" s="9" t="s">
        <v>780</v>
      </c>
      <c r="T98" s="85" t="s">
        <v>572</v>
      </c>
      <c r="U98" s="9">
        <f ca="1">IFERROR(OFFSET(ITEM_RES!$A$5,MATCH(BUILDING!T98,ITEM_RES!$J$5:$J$228,0)-1,0),0)</f>
        <v>211021101</v>
      </c>
      <c r="V98" s="11">
        <v>100</v>
      </c>
      <c r="W98" s="85" t="s">
        <v>571</v>
      </c>
      <c r="X98" s="9">
        <f ca="1">IFERROR(OFFSET(ITEM_RES!$A$5,MATCH(BUILDING!W98,ITEM_RES!$J$5:$J$228,0)-1,0),0)</f>
        <v>211010401</v>
      </c>
      <c r="Z98" s="9" t="s">
        <v>541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465</v>
      </c>
      <c r="AR98" s="11">
        <v>2250</v>
      </c>
      <c r="AU98" s="11">
        <f ca="1">IFERROR(OFFSET(ITEM_RES!$A$1,MATCH(AV98,ITEM_RES!$J:$J,0)-1,0),0)</f>
        <v>211020401</v>
      </c>
      <c r="AV98" s="10" t="s">
        <v>456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376</v>
      </c>
      <c r="L99" s="9">
        <v>1</v>
      </c>
      <c r="M99" s="9">
        <v>15</v>
      </c>
      <c r="N99" s="9" t="s">
        <v>850</v>
      </c>
      <c r="R99" s="9" t="s">
        <v>780</v>
      </c>
      <c r="T99" s="85" t="s">
        <v>572</v>
      </c>
      <c r="U99" s="9">
        <f ca="1">IFERROR(OFFSET(ITEM_RES!$A$5,MATCH(BUILDING!T99,ITEM_RES!$J$5:$J$228,0)-1,0),0)</f>
        <v>211021101</v>
      </c>
      <c r="V99" s="11">
        <v>100</v>
      </c>
      <c r="W99" s="85" t="s">
        <v>571</v>
      </c>
      <c r="X99" s="9">
        <f ca="1">IFERROR(OFFSET(ITEM_RES!$A$5,MATCH(BUILDING!W99,ITEM_RES!$J$5:$J$228,0)-1,0),0)</f>
        <v>211010401</v>
      </c>
      <c r="Z99" s="9" t="s">
        <v>541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465</v>
      </c>
      <c r="AR99" s="11">
        <v>2750</v>
      </c>
      <c r="AU99" s="11">
        <f ca="1">IFERROR(OFFSET(ITEM_RES!$A$1,MATCH(AV99,ITEM_RES!$J:$J,0)-1,0),0)</f>
        <v>211020501</v>
      </c>
      <c r="AV99" s="10" t="s">
        <v>452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376</v>
      </c>
      <c r="L100" s="9">
        <v>0</v>
      </c>
      <c r="M100" s="9">
        <v>15</v>
      </c>
      <c r="N100" s="9" t="s">
        <v>850</v>
      </c>
      <c r="R100" s="9" t="s">
        <v>780</v>
      </c>
      <c r="T100" s="85" t="s">
        <v>572</v>
      </c>
      <c r="U100" s="9">
        <f ca="1">IFERROR(OFFSET(ITEM_RES!$A$5,MATCH(BUILDING!T100,ITEM_RES!$J$5:$J$228,0)-1,0),0)</f>
        <v>211021101</v>
      </c>
      <c r="V100" s="11">
        <v>100</v>
      </c>
      <c r="W100" s="85" t="s">
        <v>571</v>
      </c>
      <c r="X100" s="9">
        <f ca="1">IFERROR(OFFSET(ITEM_RES!$A$5,MATCH(BUILDING!W100,ITEM_RES!$J$5:$J$228,0)-1,0),0)</f>
        <v>211010401</v>
      </c>
      <c r="Z100" s="9" t="s">
        <v>541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465</v>
      </c>
      <c r="AR100" s="11">
        <v>3500</v>
      </c>
      <c r="AU100" s="11">
        <f ca="1">IFERROR(OFFSET(ITEM_RES!$A$1,MATCH(AV100,ITEM_RES!$J:$J,0)-1,0),0)</f>
        <v>211020501</v>
      </c>
      <c r="AV100" s="10" t="s">
        <v>452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376</v>
      </c>
      <c r="L101" s="9">
        <v>0</v>
      </c>
      <c r="M101" s="9">
        <v>15</v>
      </c>
      <c r="N101" s="9" t="s">
        <v>850</v>
      </c>
      <c r="R101" s="9" t="s">
        <v>780</v>
      </c>
      <c r="T101" s="85" t="s">
        <v>572</v>
      </c>
      <c r="U101" s="9">
        <f ca="1">IFERROR(OFFSET(ITEM_RES!$A$5,MATCH(BUILDING!T101,ITEM_RES!$J$5:$J$228,0)-1,0),0)</f>
        <v>211021101</v>
      </c>
      <c r="V101" s="11">
        <v>100</v>
      </c>
      <c r="W101" s="85" t="s">
        <v>571</v>
      </c>
      <c r="X101" s="9">
        <f ca="1">IFERROR(OFFSET(ITEM_RES!$A$5,MATCH(BUILDING!W101,ITEM_RES!$J$5:$J$228,0)-1,0),0)</f>
        <v>211010401</v>
      </c>
      <c r="Z101" s="9" t="s">
        <v>541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465</v>
      </c>
      <c r="AR101" s="11">
        <v>4250</v>
      </c>
      <c r="AU101" s="11">
        <f ca="1">IFERROR(OFFSET(ITEM_RES!$A$1,MATCH(AV101,ITEM_RES!$J:$J,0)-1,0),0)</f>
        <v>211020501</v>
      </c>
      <c r="AV101" s="10" t="s">
        <v>452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376</v>
      </c>
      <c r="L102" s="9">
        <v>0</v>
      </c>
      <c r="M102" s="9">
        <v>15</v>
      </c>
      <c r="N102" s="9" t="s">
        <v>850</v>
      </c>
      <c r="R102" s="9" t="s">
        <v>780</v>
      </c>
      <c r="T102" s="85" t="s">
        <v>572</v>
      </c>
      <c r="U102" s="9">
        <f ca="1">IFERROR(OFFSET(ITEM_RES!$A$5,MATCH(BUILDING!T102,ITEM_RES!$J$5:$J$228,0)-1,0),0)</f>
        <v>211021101</v>
      </c>
      <c r="V102" s="11">
        <v>100</v>
      </c>
      <c r="W102" s="85" t="s">
        <v>571</v>
      </c>
      <c r="X102" s="9">
        <f ca="1">IFERROR(OFFSET(ITEM_RES!$A$5,MATCH(BUILDING!W102,ITEM_RES!$J$5:$J$228,0)-1,0),0)</f>
        <v>211010401</v>
      </c>
      <c r="Z102" s="9" t="s">
        <v>541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477</v>
      </c>
      <c r="AR102" s="11">
        <v>5250</v>
      </c>
      <c r="AU102" s="11">
        <f ca="1">IFERROR(OFFSET(ITEM_RES!$A$1,MATCH(AV102,ITEM_RES!$J:$J,0)-1,0),0)</f>
        <v>211020501</v>
      </c>
      <c r="AV102" s="10" t="s">
        <v>452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376</v>
      </c>
      <c r="L103" s="9">
        <v>0</v>
      </c>
      <c r="M103" s="9">
        <v>15</v>
      </c>
      <c r="N103" s="9" t="s">
        <v>850</v>
      </c>
      <c r="R103" s="9" t="s">
        <v>780</v>
      </c>
      <c r="T103" s="85" t="s">
        <v>572</v>
      </c>
      <c r="U103" s="9">
        <f ca="1">IFERROR(OFFSET(ITEM_RES!$A$5,MATCH(BUILDING!T103,ITEM_RES!$J$5:$J$228,0)-1,0),0)</f>
        <v>211021101</v>
      </c>
      <c r="V103" s="11">
        <v>100</v>
      </c>
      <c r="W103" s="85" t="s">
        <v>571</v>
      </c>
      <c r="X103" s="9">
        <f ca="1">IFERROR(OFFSET(ITEM_RES!$A$5,MATCH(BUILDING!W103,ITEM_RES!$J$5:$J$228,0)-1,0),0)</f>
        <v>211010401</v>
      </c>
      <c r="Z103" s="9" t="s">
        <v>541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477</v>
      </c>
      <c r="AR103" s="11">
        <v>6250</v>
      </c>
      <c r="AU103" s="11">
        <f ca="1">IFERROR(OFFSET(ITEM_RES!$A$1,MATCH(AV103,ITEM_RES!$J:$J,0)-1,0),0)</f>
        <v>211020501</v>
      </c>
      <c r="AV103" s="10" t="s">
        <v>452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376</v>
      </c>
      <c r="L104" s="9">
        <v>0</v>
      </c>
      <c r="M104" s="9">
        <v>15</v>
      </c>
      <c r="N104" s="9" t="s">
        <v>850</v>
      </c>
      <c r="R104" s="9" t="s">
        <v>780</v>
      </c>
      <c r="T104" s="85" t="s">
        <v>572</v>
      </c>
      <c r="U104" s="9">
        <f ca="1">IFERROR(OFFSET(ITEM_RES!$A$5,MATCH(BUILDING!T104,ITEM_RES!$J$5:$J$228,0)-1,0),0)</f>
        <v>211021101</v>
      </c>
      <c r="V104" s="11">
        <v>100</v>
      </c>
      <c r="W104" s="85" t="s">
        <v>571</v>
      </c>
      <c r="X104" s="9">
        <f ca="1">IFERROR(OFFSET(ITEM_RES!$A$5,MATCH(BUILDING!W104,ITEM_RES!$J$5:$J$228,0)-1,0),0)</f>
        <v>211010401</v>
      </c>
      <c r="Z104" s="9" t="s">
        <v>541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477</v>
      </c>
      <c r="AR104" s="11">
        <v>7500</v>
      </c>
      <c r="AU104" s="11">
        <f ca="1">IFERROR(OFFSET(ITEM_RES!$A$1,MATCH(AV104,ITEM_RES!$J:$J,0)-1,0),0)</f>
        <v>211020501</v>
      </c>
      <c r="AV104" s="10" t="s">
        <v>452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847</v>
      </c>
      <c r="L105" s="16">
        <v>1</v>
      </c>
      <c r="M105" s="16">
        <v>15</v>
      </c>
      <c r="N105" s="16" t="s">
        <v>849</v>
      </c>
      <c r="O105" s="17"/>
      <c r="P105" s="17"/>
      <c r="Q105" s="18"/>
      <c r="R105" s="16" t="s">
        <v>848</v>
      </c>
      <c r="S105" s="79"/>
      <c r="T105" s="87" t="s">
        <v>579</v>
      </c>
      <c r="U105" s="16">
        <f ca="1">IFERROR(OFFSET(ITEM_RES!$A$5,MATCH(BUILDING!T105,ITEM_RES!$J$5:$J$228,0)-1,0),0)</f>
        <v>211021001</v>
      </c>
      <c r="V105" s="18">
        <v>10</v>
      </c>
      <c r="W105" s="87" t="s">
        <v>572</v>
      </c>
      <c r="X105" s="16">
        <f ca="1">IFERROR(OFFSET(ITEM_RES!$A$5,MATCH(BUILDING!W105,ITEM_RES!$J$5:$J$228,0)-1,0),0)</f>
        <v>211021101</v>
      </c>
      <c r="Y105" s="79"/>
      <c r="Z105" s="16" t="s">
        <v>542</v>
      </c>
      <c r="AA105" s="16">
        <v>1</v>
      </c>
      <c r="AB105" s="79"/>
      <c r="AC105" s="16">
        <v>0</v>
      </c>
      <c r="AD105" s="79"/>
      <c r="AE105" s="57">
        <f t="shared" si="26"/>
        <v>605</v>
      </c>
      <c r="AF105" s="17">
        <f>AE105</f>
        <v>605</v>
      </c>
      <c r="AG105" s="79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450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441</v>
      </c>
      <c r="AW105" s="18">
        <v>25</v>
      </c>
      <c r="AX105" s="17"/>
      <c r="AY105" s="18"/>
      <c r="AZ105" s="18">
        <f ca="1">IFERROR(OFFSET(ITEM_RES!$A$1,MATCH(BA105,ITEM_RES!$J:$J,0)-1,0),0)</f>
        <v>213010101</v>
      </c>
      <c r="BA105" s="17" t="s">
        <v>478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847</v>
      </c>
      <c r="L106" s="9">
        <v>1</v>
      </c>
      <c r="M106" s="9">
        <v>15</v>
      </c>
      <c r="N106" s="9" t="s">
        <v>849</v>
      </c>
      <c r="R106" s="9" t="s">
        <v>848</v>
      </c>
      <c r="T106" s="85" t="s">
        <v>420</v>
      </c>
      <c r="U106" s="9">
        <f ca="1">IFERROR(OFFSET(ITEM_RES!$A$5,MATCH(BUILDING!T106,ITEM_RES!$J$5:$J$228,0)-1,0),0)</f>
        <v>211021001</v>
      </c>
      <c r="V106" s="11">
        <v>10</v>
      </c>
      <c r="W106" s="85" t="s">
        <v>572</v>
      </c>
      <c r="X106" s="9">
        <f ca="1">IFERROR(OFFSET(ITEM_RES!$A$5,MATCH(BUILDING!W106,ITEM_RES!$J$5:$J$228,0)-1,0),0)</f>
        <v>211021101</v>
      </c>
      <c r="Z106" s="9" t="s">
        <v>542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451</v>
      </c>
      <c r="AR106" s="11">
        <v>50</v>
      </c>
      <c r="AU106" s="11">
        <f ca="1">IFERROR(OFFSET(ITEM_RES!$A$1,MATCH(AV106,ITEM_RES!$J:$J,0)-1,0),0)</f>
        <v>211020401</v>
      </c>
      <c r="AV106" s="10" t="s">
        <v>441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847</v>
      </c>
      <c r="L107" s="9">
        <v>1</v>
      </c>
      <c r="M107" s="9">
        <v>15</v>
      </c>
      <c r="N107" s="9" t="s">
        <v>849</v>
      </c>
      <c r="R107" s="9" t="s">
        <v>848</v>
      </c>
      <c r="T107" s="85" t="s">
        <v>420</v>
      </c>
      <c r="U107" s="9">
        <f ca="1">IFERROR(OFFSET(ITEM_RES!$A$5,MATCH(BUILDING!T107,ITEM_RES!$J$5:$J$228,0)-1,0),0)</f>
        <v>211021001</v>
      </c>
      <c r="V107" s="11">
        <v>10</v>
      </c>
      <c r="W107" s="85" t="s">
        <v>572</v>
      </c>
      <c r="X107" s="9">
        <f ca="1">IFERROR(OFFSET(ITEM_RES!$A$5,MATCH(BUILDING!W107,ITEM_RES!$J$5:$J$228,0)-1,0),0)</f>
        <v>211021101</v>
      </c>
      <c r="Z107" s="9" t="s">
        <v>542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450</v>
      </c>
      <c r="AR107" s="11">
        <v>75</v>
      </c>
      <c r="AU107" s="11">
        <f ca="1">IFERROR(OFFSET(ITEM_RES!$A$1,MATCH(AV107,ITEM_RES!$J:$J,0)-1,0),0)</f>
        <v>211020401</v>
      </c>
      <c r="AV107" s="10" t="s">
        <v>441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847</v>
      </c>
      <c r="L108" s="9">
        <v>1</v>
      </c>
      <c r="M108" s="9">
        <v>15</v>
      </c>
      <c r="N108" s="9" t="s">
        <v>849</v>
      </c>
      <c r="R108" s="9" t="s">
        <v>848</v>
      </c>
      <c r="T108" s="85" t="s">
        <v>420</v>
      </c>
      <c r="U108" s="9">
        <f ca="1">IFERROR(OFFSET(ITEM_RES!$A$5,MATCH(BUILDING!T108,ITEM_RES!$J$5:$J$228,0)-1,0),0)</f>
        <v>211021001</v>
      </c>
      <c r="V108" s="11">
        <v>10</v>
      </c>
      <c r="W108" s="85" t="s">
        <v>572</v>
      </c>
      <c r="X108" s="9">
        <f ca="1">IFERROR(OFFSET(ITEM_RES!$A$5,MATCH(BUILDING!W108,ITEM_RES!$J$5:$J$228,0)-1,0),0)</f>
        <v>211021101</v>
      </c>
      <c r="Z108" s="9" t="s">
        <v>542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451</v>
      </c>
      <c r="AR108" s="11">
        <v>125</v>
      </c>
      <c r="AU108" s="11">
        <f ca="1">IFERROR(OFFSET(ITEM_RES!$A$1,MATCH(AV108,ITEM_RES!$J:$J,0)-1,0),0)</f>
        <v>211020401</v>
      </c>
      <c r="AV108" s="10" t="s">
        <v>441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847</v>
      </c>
      <c r="L109" s="9">
        <v>1</v>
      </c>
      <c r="M109" s="9">
        <v>15</v>
      </c>
      <c r="N109" s="9" t="s">
        <v>849</v>
      </c>
      <c r="R109" s="9" t="s">
        <v>848</v>
      </c>
      <c r="T109" s="85" t="s">
        <v>420</v>
      </c>
      <c r="U109" s="9">
        <f ca="1">IFERROR(OFFSET(ITEM_RES!$A$5,MATCH(BUILDING!T109,ITEM_RES!$J$5:$J$228,0)-1,0),0)</f>
        <v>211021001</v>
      </c>
      <c r="V109" s="11">
        <v>10</v>
      </c>
      <c r="W109" s="85" t="s">
        <v>572</v>
      </c>
      <c r="X109" s="9">
        <f ca="1">IFERROR(OFFSET(ITEM_RES!$A$5,MATCH(BUILDING!W109,ITEM_RES!$J$5:$J$228,0)-1,0),0)</f>
        <v>211021101</v>
      </c>
      <c r="Z109" s="9" t="s">
        <v>542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450</v>
      </c>
      <c r="AR109" s="11">
        <v>200</v>
      </c>
      <c r="AU109" s="11">
        <f ca="1">IFERROR(OFFSET(ITEM_RES!$A$1,MATCH(AV109,ITEM_RES!$J:$J,0)-1,0),0)</f>
        <v>211020401</v>
      </c>
      <c r="AV109" s="10" t="s">
        <v>441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847</v>
      </c>
      <c r="L110" s="9">
        <v>1</v>
      </c>
      <c r="M110" s="9">
        <v>15</v>
      </c>
      <c r="N110" s="9" t="s">
        <v>849</v>
      </c>
      <c r="R110" s="9" t="s">
        <v>848</v>
      </c>
      <c r="T110" s="85" t="s">
        <v>420</v>
      </c>
      <c r="U110" s="9">
        <f ca="1">IFERROR(OFFSET(ITEM_RES!$A$5,MATCH(BUILDING!T110,ITEM_RES!$J$5:$J$228,0)-1,0),0)</f>
        <v>211021001</v>
      </c>
      <c r="V110" s="11">
        <v>10</v>
      </c>
      <c r="W110" s="85" t="s">
        <v>572</v>
      </c>
      <c r="X110" s="9">
        <f ca="1">IFERROR(OFFSET(ITEM_RES!$A$5,MATCH(BUILDING!W110,ITEM_RES!$J$5:$J$228,0)-1,0),0)</f>
        <v>211021101</v>
      </c>
      <c r="Z110" s="9" t="s">
        <v>542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451</v>
      </c>
      <c r="AR110" s="11">
        <v>250</v>
      </c>
      <c r="AU110" s="11">
        <f ca="1">IFERROR(OFFSET(ITEM_RES!$A$1,MATCH(AV110,ITEM_RES!$J:$J,0)-1,0),0)</f>
        <v>211020401</v>
      </c>
      <c r="AV110" s="10" t="s">
        <v>441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847</v>
      </c>
      <c r="L111" s="9">
        <v>1</v>
      </c>
      <c r="M111" s="9">
        <v>15</v>
      </c>
      <c r="N111" s="9" t="s">
        <v>849</v>
      </c>
      <c r="R111" s="9" t="s">
        <v>848</v>
      </c>
      <c r="T111" s="85" t="s">
        <v>420</v>
      </c>
      <c r="U111" s="9">
        <f ca="1">IFERROR(OFFSET(ITEM_RES!$A$5,MATCH(BUILDING!T111,ITEM_RES!$J$5:$J$228,0)-1,0),0)</f>
        <v>211021001</v>
      </c>
      <c r="V111" s="11">
        <v>10</v>
      </c>
      <c r="W111" s="85" t="s">
        <v>572</v>
      </c>
      <c r="X111" s="9">
        <f ca="1">IFERROR(OFFSET(ITEM_RES!$A$5,MATCH(BUILDING!W111,ITEM_RES!$J$5:$J$228,0)-1,0),0)</f>
        <v>211021101</v>
      </c>
      <c r="Z111" s="9" t="s">
        <v>542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450</v>
      </c>
      <c r="AR111" s="11">
        <v>500</v>
      </c>
      <c r="AU111" s="11">
        <f ca="1">IFERROR(OFFSET(ITEM_RES!$A$1,MATCH(AV111,ITEM_RES!$J:$J,0)-1,0),0)</f>
        <v>211020401</v>
      </c>
      <c r="AV111" s="10" t="s">
        <v>441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847</v>
      </c>
      <c r="L112" s="9">
        <v>1</v>
      </c>
      <c r="M112" s="9">
        <v>15</v>
      </c>
      <c r="N112" s="9" t="s">
        <v>849</v>
      </c>
      <c r="R112" s="9" t="s">
        <v>848</v>
      </c>
      <c r="T112" s="85" t="s">
        <v>420</v>
      </c>
      <c r="U112" s="9">
        <f ca="1">IFERROR(OFFSET(ITEM_RES!$A$5,MATCH(BUILDING!T112,ITEM_RES!$J$5:$J$228,0)-1,0),0)</f>
        <v>211021001</v>
      </c>
      <c r="V112" s="11">
        <v>10</v>
      </c>
      <c r="W112" s="85" t="s">
        <v>572</v>
      </c>
      <c r="X112" s="9">
        <f ca="1">IFERROR(OFFSET(ITEM_RES!$A$5,MATCH(BUILDING!W112,ITEM_RES!$J$5:$J$228,0)-1,0),0)</f>
        <v>211021101</v>
      </c>
      <c r="Z112" s="9" t="s">
        <v>542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451</v>
      </c>
      <c r="AR112" s="11">
        <v>500</v>
      </c>
      <c r="AU112" s="11">
        <f ca="1">IFERROR(OFFSET(ITEM_RES!$A$1,MATCH(AV112,ITEM_RES!$J:$J,0)-1,0),0)</f>
        <v>211020401</v>
      </c>
      <c r="AV112" s="10" t="s">
        <v>441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847</v>
      </c>
      <c r="L113" s="9">
        <v>1</v>
      </c>
      <c r="M113" s="9">
        <v>15</v>
      </c>
      <c r="N113" s="9" t="s">
        <v>849</v>
      </c>
      <c r="R113" s="9" t="s">
        <v>848</v>
      </c>
      <c r="T113" s="85" t="s">
        <v>420</v>
      </c>
      <c r="U113" s="9">
        <f ca="1">IFERROR(OFFSET(ITEM_RES!$A$5,MATCH(BUILDING!T113,ITEM_RES!$J$5:$J$228,0)-1,0),0)</f>
        <v>211021001</v>
      </c>
      <c r="V113" s="11">
        <v>10</v>
      </c>
      <c r="W113" s="85" t="s">
        <v>572</v>
      </c>
      <c r="X113" s="9">
        <f ca="1">IFERROR(OFFSET(ITEM_RES!$A$5,MATCH(BUILDING!W113,ITEM_RES!$J$5:$J$228,0)-1,0),0)</f>
        <v>211021101</v>
      </c>
      <c r="Z113" s="9" t="s">
        <v>542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450</v>
      </c>
      <c r="AR113" s="11">
        <v>750</v>
      </c>
      <c r="AU113" s="11">
        <f ca="1">IFERROR(OFFSET(ITEM_RES!$A$1,MATCH(AV113,ITEM_RES!$J:$J,0)-1,0),0)</f>
        <v>211020401</v>
      </c>
      <c r="AV113" s="10" t="s">
        <v>441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847</v>
      </c>
      <c r="L114" s="9">
        <v>1</v>
      </c>
      <c r="M114" s="9">
        <v>15</v>
      </c>
      <c r="N114" s="9" t="s">
        <v>849</v>
      </c>
      <c r="R114" s="9" t="s">
        <v>848</v>
      </c>
      <c r="T114" s="85" t="s">
        <v>420</v>
      </c>
      <c r="U114" s="9">
        <f ca="1">IFERROR(OFFSET(ITEM_RES!$A$5,MATCH(BUILDING!T114,ITEM_RES!$J$5:$J$228,0)-1,0),0)</f>
        <v>211021001</v>
      </c>
      <c r="V114" s="11">
        <v>10</v>
      </c>
      <c r="W114" s="85" t="s">
        <v>572</v>
      </c>
      <c r="X114" s="9">
        <f ca="1">IFERROR(OFFSET(ITEM_RES!$A$5,MATCH(BUILDING!W114,ITEM_RES!$J$5:$J$228,0)-1,0),0)</f>
        <v>211021101</v>
      </c>
      <c r="Z114" s="9" t="s">
        <v>542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451</v>
      </c>
      <c r="AR114" s="11">
        <v>1000</v>
      </c>
      <c r="AU114" s="11">
        <f ca="1">IFERROR(OFFSET(ITEM_RES!$A$1,MATCH(AV114,ITEM_RES!$J:$J,0)-1,0),0)</f>
        <v>211020401</v>
      </c>
      <c r="AV114" s="10" t="s">
        <v>441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847</v>
      </c>
      <c r="L115" s="9">
        <v>1</v>
      </c>
      <c r="M115" s="9">
        <v>15</v>
      </c>
      <c r="N115" s="9" t="s">
        <v>849</v>
      </c>
      <c r="R115" s="9" t="s">
        <v>848</v>
      </c>
      <c r="T115" s="85" t="s">
        <v>420</v>
      </c>
      <c r="U115" s="9">
        <f ca="1">IFERROR(OFFSET(ITEM_RES!$A$5,MATCH(BUILDING!T115,ITEM_RES!$J$5:$J$228,0)-1,0),0)</f>
        <v>211021001</v>
      </c>
      <c r="V115" s="11">
        <v>10</v>
      </c>
      <c r="W115" s="85" t="s">
        <v>572</v>
      </c>
      <c r="X115" s="9">
        <f ca="1">IFERROR(OFFSET(ITEM_RES!$A$5,MATCH(BUILDING!W115,ITEM_RES!$J$5:$J$228,0)-1,0),0)</f>
        <v>211021101</v>
      </c>
      <c r="Z115" s="9" t="s">
        <v>542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476</v>
      </c>
      <c r="AR115" s="11">
        <v>1250</v>
      </c>
      <c r="AU115" s="11">
        <f ca="1">IFERROR(OFFSET(ITEM_RES!$A$1,MATCH(AV115,ITEM_RES!$J:$J,0)-1,0),0)</f>
        <v>211020401</v>
      </c>
      <c r="AV115" s="10" t="s">
        <v>441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847</v>
      </c>
      <c r="L116" s="9">
        <v>1</v>
      </c>
      <c r="M116" s="9">
        <v>15</v>
      </c>
      <c r="N116" s="9" t="s">
        <v>849</v>
      </c>
      <c r="R116" s="9" t="s">
        <v>848</v>
      </c>
      <c r="T116" s="85" t="s">
        <v>420</v>
      </c>
      <c r="U116" s="9">
        <f ca="1">IFERROR(OFFSET(ITEM_RES!$A$5,MATCH(BUILDING!T116,ITEM_RES!$J$5:$J$228,0)-1,0),0)</f>
        <v>211021001</v>
      </c>
      <c r="V116" s="11">
        <v>10</v>
      </c>
      <c r="W116" s="85" t="s">
        <v>572</v>
      </c>
      <c r="X116" s="9">
        <f ca="1">IFERROR(OFFSET(ITEM_RES!$A$5,MATCH(BUILDING!W116,ITEM_RES!$J$5:$J$228,0)-1,0),0)</f>
        <v>211021101</v>
      </c>
      <c r="Z116" s="9" t="s">
        <v>542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476</v>
      </c>
      <c r="AR116" s="11">
        <v>1500</v>
      </c>
      <c r="AU116" s="11">
        <f ca="1">IFERROR(OFFSET(ITEM_RES!$A$1,MATCH(AV116,ITEM_RES!$J:$J,0)-1,0),0)</f>
        <v>211020401</v>
      </c>
      <c r="AV116" s="10" t="s">
        <v>441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847</v>
      </c>
      <c r="L117" s="9">
        <v>1</v>
      </c>
      <c r="M117" s="9">
        <v>15</v>
      </c>
      <c r="N117" s="9" t="s">
        <v>849</v>
      </c>
      <c r="R117" s="9" t="s">
        <v>848</v>
      </c>
      <c r="T117" s="85" t="s">
        <v>420</v>
      </c>
      <c r="U117" s="9">
        <f ca="1">IFERROR(OFFSET(ITEM_RES!$A$5,MATCH(BUILDING!T117,ITEM_RES!$J$5:$J$228,0)-1,0),0)</f>
        <v>211021001</v>
      </c>
      <c r="V117" s="11">
        <v>10</v>
      </c>
      <c r="W117" s="85" t="s">
        <v>572</v>
      </c>
      <c r="X117" s="9">
        <f ca="1">IFERROR(OFFSET(ITEM_RES!$A$5,MATCH(BUILDING!W117,ITEM_RES!$J$5:$J$228,0)-1,0),0)</f>
        <v>211021101</v>
      </c>
      <c r="Z117" s="9" t="s">
        <v>542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476</v>
      </c>
      <c r="AR117" s="11">
        <v>1750</v>
      </c>
      <c r="AU117" s="11">
        <f ca="1">IFERROR(OFFSET(ITEM_RES!$A$1,MATCH(AV117,ITEM_RES!$J:$J,0)-1,0),0)</f>
        <v>211020401</v>
      </c>
      <c r="AV117" s="10" t="s">
        <v>441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847</v>
      </c>
      <c r="L118" s="9">
        <v>1</v>
      </c>
      <c r="M118" s="9">
        <v>15</v>
      </c>
      <c r="N118" s="9" t="s">
        <v>849</v>
      </c>
      <c r="R118" s="9" t="s">
        <v>848</v>
      </c>
      <c r="T118" s="85" t="s">
        <v>420</v>
      </c>
      <c r="U118" s="9">
        <f ca="1">IFERROR(OFFSET(ITEM_RES!$A$5,MATCH(BUILDING!T118,ITEM_RES!$J$5:$J$228,0)-1,0),0)</f>
        <v>211021001</v>
      </c>
      <c r="V118" s="11">
        <v>10</v>
      </c>
      <c r="W118" s="85" t="s">
        <v>572</v>
      </c>
      <c r="X118" s="9">
        <f ca="1">IFERROR(OFFSET(ITEM_RES!$A$5,MATCH(BUILDING!W118,ITEM_RES!$J$5:$J$228,0)-1,0),0)</f>
        <v>211021101</v>
      </c>
      <c r="Z118" s="9" t="s">
        <v>542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476</v>
      </c>
      <c r="AR118" s="11">
        <v>2250</v>
      </c>
      <c r="AU118" s="11">
        <f ca="1">IFERROR(OFFSET(ITEM_RES!$A$1,MATCH(AV118,ITEM_RES!$J:$J,0)-1,0),0)</f>
        <v>211020401</v>
      </c>
      <c r="AV118" s="10" t="s">
        <v>441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847</v>
      </c>
      <c r="L119" s="9">
        <v>1</v>
      </c>
      <c r="M119" s="9">
        <v>15</v>
      </c>
      <c r="N119" s="9" t="s">
        <v>849</v>
      </c>
      <c r="R119" s="9" t="s">
        <v>848</v>
      </c>
      <c r="T119" s="85" t="s">
        <v>420</v>
      </c>
      <c r="U119" s="9">
        <f ca="1">IFERROR(OFFSET(ITEM_RES!$A$5,MATCH(BUILDING!T119,ITEM_RES!$J$5:$J$228,0)-1,0),0)</f>
        <v>211021001</v>
      </c>
      <c r="V119" s="11">
        <v>10</v>
      </c>
      <c r="W119" s="85" t="s">
        <v>572</v>
      </c>
      <c r="X119" s="9">
        <f ca="1">IFERROR(OFFSET(ITEM_RES!$A$5,MATCH(BUILDING!W119,ITEM_RES!$J$5:$J$228,0)-1,0),0)</f>
        <v>211021101</v>
      </c>
      <c r="Z119" s="9" t="s">
        <v>542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476</v>
      </c>
      <c r="AR119" s="11">
        <v>2750</v>
      </c>
      <c r="AU119" s="11">
        <f ca="1">IFERROR(OFFSET(ITEM_RES!$A$1,MATCH(AV119,ITEM_RES!$J:$J,0)-1,0),0)</f>
        <v>211020501</v>
      </c>
      <c r="AV119" s="10" t="s">
        <v>442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847</v>
      </c>
      <c r="L120" s="9">
        <v>0</v>
      </c>
      <c r="M120" s="9">
        <v>15</v>
      </c>
      <c r="N120" s="9" t="s">
        <v>849</v>
      </c>
      <c r="R120" s="9" t="s">
        <v>848</v>
      </c>
      <c r="T120" s="85" t="s">
        <v>420</v>
      </c>
      <c r="U120" s="9">
        <f ca="1">IFERROR(OFFSET(ITEM_RES!$A$5,MATCH(BUILDING!T120,ITEM_RES!$J$5:$J$228,0)-1,0),0)</f>
        <v>211021001</v>
      </c>
      <c r="V120" s="11">
        <v>10</v>
      </c>
      <c r="W120" s="85" t="s">
        <v>572</v>
      </c>
      <c r="X120" s="9">
        <f ca="1">IFERROR(OFFSET(ITEM_RES!$A$5,MATCH(BUILDING!W120,ITEM_RES!$J$5:$J$228,0)-1,0),0)</f>
        <v>211021101</v>
      </c>
      <c r="Z120" s="9" t="s">
        <v>542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476</v>
      </c>
      <c r="AR120" s="11">
        <v>3500</v>
      </c>
      <c r="AU120" s="11">
        <f ca="1">IFERROR(OFFSET(ITEM_RES!$A$1,MATCH(AV120,ITEM_RES!$J:$J,0)-1,0),0)</f>
        <v>211020501</v>
      </c>
      <c r="AV120" s="10" t="s">
        <v>442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847</v>
      </c>
      <c r="L121" s="9">
        <v>0</v>
      </c>
      <c r="M121" s="9">
        <v>15</v>
      </c>
      <c r="N121" s="9" t="s">
        <v>849</v>
      </c>
      <c r="R121" s="9" t="s">
        <v>848</v>
      </c>
      <c r="T121" s="85" t="s">
        <v>420</v>
      </c>
      <c r="U121" s="9">
        <f ca="1">IFERROR(OFFSET(ITEM_RES!$A$5,MATCH(BUILDING!T121,ITEM_RES!$J$5:$J$228,0)-1,0),0)</f>
        <v>211021001</v>
      </c>
      <c r="V121" s="11">
        <v>10</v>
      </c>
      <c r="W121" s="85" t="s">
        <v>572</v>
      </c>
      <c r="X121" s="9">
        <f ca="1">IFERROR(OFFSET(ITEM_RES!$A$5,MATCH(BUILDING!W121,ITEM_RES!$J$5:$J$228,0)-1,0),0)</f>
        <v>211021101</v>
      </c>
      <c r="Z121" s="9" t="s">
        <v>542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465</v>
      </c>
      <c r="AR121" s="11">
        <v>4250</v>
      </c>
      <c r="AU121" s="11">
        <f ca="1">IFERROR(OFFSET(ITEM_RES!$A$1,MATCH(AV121,ITEM_RES!$J:$J,0)-1,0),0)</f>
        <v>211020501</v>
      </c>
      <c r="AV121" s="10" t="s">
        <v>442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847</v>
      </c>
      <c r="L122" s="9">
        <v>0</v>
      </c>
      <c r="M122" s="9">
        <v>15</v>
      </c>
      <c r="N122" s="9" t="s">
        <v>849</v>
      </c>
      <c r="R122" s="9" t="s">
        <v>848</v>
      </c>
      <c r="T122" s="85" t="s">
        <v>420</v>
      </c>
      <c r="U122" s="9">
        <f ca="1">IFERROR(OFFSET(ITEM_RES!$A$5,MATCH(BUILDING!T122,ITEM_RES!$J$5:$J$228,0)-1,0),0)</f>
        <v>211021001</v>
      </c>
      <c r="V122" s="11">
        <v>10</v>
      </c>
      <c r="W122" s="85" t="s">
        <v>572</v>
      </c>
      <c r="X122" s="9">
        <f ca="1">IFERROR(OFFSET(ITEM_RES!$A$5,MATCH(BUILDING!W122,ITEM_RES!$J$5:$J$228,0)-1,0),0)</f>
        <v>211021101</v>
      </c>
      <c r="Z122" s="9" t="s">
        <v>542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477</v>
      </c>
      <c r="AR122" s="11">
        <v>5250</v>
      </c>
      <c r="AU122" s="11">
        <f ca="1">IFERROR(OFFSET(ITEM_RES!$A$1,MATCH(AV122,ITEM_RES!$J:$J,0)-1,0),0)</f>
        <v>211020501</v>
      </c>
      <c r="AV122" s="10" t="s">
        <v>442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847</v>
      </c>
      <c r="L123" s="9">
        <v>0</v>
      </c>
      <c r="M123" s="9">
        <v>15</v>
      </c>
      <c r="N123" s="9" t="s">
        <v>849</v>
      </c>
      <c r="R123" s="9" t="s">
        <v>848</v>
      </c>
      <c r="T123" s="85" t="s">
        <v>420</v>
      </c>
      <c r="U123" s="9">
        <f ca="1">IFERROR(OFFSET(ITEM_RES!$A$5,MATCH(BUILDING!T123,ITEM_RES!$J$5:$J$228,0)-1,0),0)</f>
        <v>211021001</v>
      </c>
      <c r="V123" s="11">
        <v>10</v>
      </c>
      <c r="W123" s="85" t="s">
        <v>572</v>
      </c>
      <c r="X123" s="9">
        <f ca="1">IFERROR(OFFSET(ITEM_RES!$A$5,MATCH(BUILDING!W123,ITEM_RES!$J$5:$J$228,0)-1,0),0)</f>
        <v>211021101</v>
      </c>
      <c r="Z123" s="9" t="s">
        <v>542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477</v>
      </c>
      <c r="AR123" s="11">
        <v>6250</v>
      </c>
      <c r="AU123" s="11">
        <f ca="1">IFERROR(OFFSET(ITEM_RES!$A$1,MATCH(AV123,ITEM_RES!$J:$J,0)-1,0),0)</f>
        <v>211020501</v>
      </c>
      <c r="AV123" s="10" t="s">
        <v>442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847</v>
      </c>
      <c r="L124" s="9">
        <v>0</v>
      </c>
      <c r="M124" s="9">
        <v>15</v>
      </c>
      <c r="N124" s="9" t="s">
        <v>849</v>
      </c>
      <c r="R124" s="9" t="s">
        <v>848</v>
      </c>
      <c r="T124" s="85" t="s">
        <v>420</v>
      </c>
      <c r="U124" s="9">
        <f ca="1">IFERROR(OFFSET(ITEM_RES!$A$5,MATCH(BUILDING!T124,ITEM_RES!$J$5:$J$228,0)-1,0),0)</f>
        <v>211021001</v>
      </c>
      <c r="V124" s="11">
        <v>10</v>
      </c>
      <c r="W124" s="85" t="s">
        <v>572</v>
      </c>
      <c r="X124" s="9">
        <f ca="1">IFERROR(OFFSET(ITEM_RES!$A$5,MATCH(BUILDING!W124,ITEM_RES!$J$5:$J$228,0)-1,0),0)</f>
        <v>211021101</v>
      </c>
      <c r="Z124" s="9" t="s">
        <v>542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477</v>
      </c>
      <c r="AR124" s="11">
        <v>7500</v>
      </c>
      <c r="AU124" s="11">
        <f ca="1">IFERROR(OFFSET(ITEM_RES!$A$1,MATCH(AV124,ITEM_RES!$J:$J,0)-1,0),0)</f>
        <v>211020501</v>
      </c>
      <c r="AV124" s="10" t="s">
        <v>442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>
        <v>1</v>
      </c>
      <c r="M125" s="16">
        <v>15</v>
      </c>
      <c r="N125" s="16" t="s">
        <v>846</v>
      </c>
      <c r="O125" s="17"/>
      <c r="P125" s="17"/>
      <c r="Q125" s="18"/>
      <c r="R125" s="16" t="s">
        <v>759</v>
      </c>
      <c r="S125" s="79"/>
      <c r="T125" s="87"/>
      <c r="U125" s="16">
        <f ca="1">IFERROR(OFFSET(ITEM_RES!$A$5,MATCH(BUILDING!T125,ITEM_RES!$J$5:$J$228,0)-1,0),0)</f>
        <v>0</v>
      </c>
      <c r="V125" s="18"/>
      <c r="W125" s="87" t="s">
        <v>573</v>
      </c>
      <c r="X125" s="16">
        <f ca="1">IFERROR(OFFSET(ITEM_RES!$A$5,MATCH(BUILDING!W125,ITEM_RES!$J$5:$J$228,0)-1,0),0)</f>
        <v>211010501</v>
      </c>
      <c r="Y125" s="79"/>
      <c r="Z125" s="16" t="s">
        <v>543</v>
      </c>
      <c r="AA125" s="16">
        <v>1</v>
      </c>
      <c r="AB125" s="79"/>
      <c r="AC125" s="16">
        <v>0</v>
      </c>
      <c r="AD125" s="79"/>
      <c r="AE125" s="57">
        <f t="shared" si="26"/>
        <v>580</v>
      </c>
      <c r="AF125" s="17">
        <f>AE125</f>
        <v>580</v>
      </c>
      <c r="AG125" s="79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456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213010101</v>
      </c>
      <c r="BA125" s="17" t="s">
        <v>478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>
        <v>1</v>
      </c>
      <c r="M126" s="9">
        <v>15</v>
      </c>
      <c r="N126" s="9" t="s">
        <v>846</v>
      </c>
      <c r="R126" s="9" t="s">
        <v>759</v>
      </c>
      <c r="U126" s="9">
        <f ca="1">IFERROR(OFFSET(ITEM_RES!$A$5,MATCH(BUILDING!T126,ITEM_RES!$J$5:$J$228,0)-1,0),0)</f>
        <v>0</v>
      </c>
      <c r="W126" s="85" t="s">
        <v>573</v>
      </c>
      <c r="X126" s="9">
        <f ca="1">IFERROR(OFFSET(ITEM_RES!$A$5,MATCH(BUILDING!W126,ITEM_RES!$J$5:$J$228,0)-1,0),0)</f>
        <v>211010501</v>
      </c>
      <c r="Z126" s="9" t="s">
        <v>543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456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>
        <v>1</v>
      </c>
      <c r="M127" s="9">
        <v>15</v>
      </c>
      <c r="N127" s="9" t="s">
        <v>846</v>
      </c>
      <c r="R127" s="9" t="s">
        <v>759</v>
      </c>
      <c r="U127" s="9">
        <f ca="1">IFERROR(OFFSET(ITEM_RES!$A$5,MATCH(BUILDING!T127,ITEM_RES!$J$5:$J$228,0)-1,0),0)</f>
        <v>0</v>
      </c>
      <c r="W127" s="85" t="s">
        <v>573</v>
      </c>
      <c r="X127" s="9">
        <f ca="1">IFERROR(OFFSET(ITEM_RES!$A$5,MATCH(BUILDING!W127,ITEM_RES!$J$5:$J$228,0)-1,0),0)</f>
        <v>211010501</v>
      </c>
      <c r="Z127" s="9" t="s">
        <v>543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456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>
        <v>1</v>
      </c>
      <c r="M128" s="9">
        <v>15</v>
      </c>
      <c r="N128" s="9" t="s">
        <v>846</v>
      </c>
      <c r="R128" s="9" t="s">
        <v>759</v>
      </c>
      <c r="U128" s="9">
        <f ca="1">IFERROR(OFFSET(ITEM_RES!$A$5,MATCH(BUILDING!T128,ITEM_RES!$J$5:$J$228,0)-1,0),0)</f>
        <v>0</v>
      </c>
      <c r="W128" s="85" t="s">
        <v>573</v>
      </c>
      <c r="X128" s="9">
        <f ca="1">IFERROR(OFFSET(ITEM_RES!$A$5,MATCH(BUILDING!W128,ITEM_RES!$J$5:$J$228,0)-1,0),0)</f>
        <v>211010501</v>
      </c>
      <c r="Z128" s="9" t="s">
        <v>543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456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>
        <v>1</v>
      </c>
      <c r="M129" s="9">
        <v>15</v>
      </c>
      <c r="N129" s="9" t="s">
        <v>846</v>
      </c>
      <c r="R129" s="9" t="s">
        <v>759</v>
      </c>
      <c r="U129" s="9">
        <f ca="1">IFERROR(OFFSET(ITEM_RES!$A$5,MATCH(BUILDING!T129,ITEM_RES!$J$5:$J$228,0)-1,0),0)</f>
        <v>0</v>
      </c>
      <c r="W129" s="85" t="s">
        <v>573</v>
      </c>
      <c r="X129" s="9">
        <f ca="1">IFERROR(OFFSET(ITEM_RES!$A$5,MATCH(BUILDING!W129,ITEM_RES!$J$5:$J$228,0)-1,0),0)</f>
        <v>211010501</v>
      </c>
      <c r="Z129" s="9" t="s">
        <v>543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456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>
        <v>1</v>
      </c>
      <c r="M130" s="9">
        <v>15</v>
      </c>
      <c r="N130" s="9" t="s">
        <v>846</v>
      </c>
      <c r="R130" s="9" t="s">
        <v>759</v>
      </c>
      <c r="U130" s="9">
        <f ca="1">IFERROR(OFFSET(ITEM_RES!$A$5,MATCH(BUILDING!T130,ITEM_RES!$J$5:$J$228,0)-1,0),0)</f>
        <v>0</v>
      </c>
      <c r="W130" s="85" t="s">
        <v>573</v>
      </c>
      <c r="X130" s="9">
        <f ca="1">IFERROR(OFFSET(ITEM_RES!$A$5,MATCH(BUILDING!W130,ITEM_RES!$J$5:$J$228,0)-1,0),0)</f>
        <v>211010501</v>
      </c>
      <c r="Z130" s="9" t="s">
        <v>543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456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>
        <v>1</v>
      </c>
      <c r="M131" s="9">
        <v>15</v>
      </c>
      <c r="N131" s="9" t="s">
        <v>846</v>
      </c>
      <c r="R131" s="9" t="s">
        <v>759</v>
      </c>
      <c r="U131" s="9">
        <f ca="1">IFERROR(OFFSET(ITEM_RES!$A$5,MATCH(BUILDING!T131,ITEM_RES!$J$5:$J$228,0)-1,0),0)</f>
        <v>0</v>
      </c>
      <c r="W131" s="85" t="s">
        <v>573</v>
      </c>
      <c r="X131" s="9">
        <f ca="1">IFERROR(OFFSET(ITEM_RES!$A$5,MATCH(BUILDING!W131,ITEM_RES!$J$5:$J$228,0)-1,0),0)</f>
        <v>211010501</v>
      </c>
      <c r="Z131" s="9" t="s">
        <v>543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456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>
        <v>1</v>
      </c>
      <c r="M132" s="9">
        <v>15</v>
      </c>
      <c r="N132" s="9" t="s">
        <v>846</v>
      </c>
      <c r="R132" s="9" t="s">
        <v>759</v>
      </c>
      <c r="U132" s="9">
        <f ca="1">IFERROR(OFFSET(ITEM_RES!$A$5,MATCH(BUILDING!T132,ITEM_RES!$J$5:$J$228,0)-1,0),0)</f>
        <v>0</v>
      </c>
      <c r="W132" s="85" t="s">
        <v>573</v>
      </c>
      <c r="X132" s="9">
        <f ca="1">IFERROR(OFFSET(ITEM_RES!$A$5,MATCH(BUILDING!W132,ITEM_RES!$J$5:$J$228,0)-1,0),0)</f>
        <v>211010501</v>
      </c>
      <c r="Z132" s="9" t="s">
        <v>543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456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>
        <v>1</v>
      </c>
      <c r="M133" s="9">
        <v>15</v>
      </c>
      <c r="N133" s="9" t="s">
        <v>846</v>
      </c>
      <c r="R133" s="9" t="s">
        <v>759</v>
      </c>
      <c r="U133" s="9">
        <f ca="1">IFERROR(OFFSET(ITEM_RES!$A$5,MATCH(BUILDING!T133,ITEM_RES!$J$5:$J$228,0)-1,0),0)</f>
        <v>0</v>
      </c>
      <c r="W133" s="85" t="s">
        <v>573</v>
      </c>
      <c r="X133" s="9">
        <f ca="1">IFERROR(OFFSET(ITEM_RES!$A$5,MATCH(BUILDING!W133,ITEM_RES!$J$5:$J$228,0)-1,0),0)</f>
        <v>211010501</v>
      </c>
      <c r="Z133" s="9" t="s">
        <v>543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456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>
        <v>1</v>
      </c>
      <c r="M134" s="9">
        <v>15</v>
      </c>
      <c r="N134" s="9" t="s">
        <v>846</v>
      </c>
      <c r="R134" s="9" t="s">
        <v>759</v>
      </c>
      <c r="U134" s="9">
        <f ca="1">IFERROR(OFFSET(ITEM_RES!$A$5,MATCH(BUILDING!T134,ITEM_RES!$J$5:$J$228,0)-1,0),0)</f>
        <v>0</v>
      </c>
      <c r="W134" s="85" t="s">
        <v>573</v>
      </c>
      <c r="X134" s="9">
        <f ca="1">IFERROR(OFFSET(ITEM_RES!$A$5,MATCH(BUILDING!W134,ITEM_RES!$J$5:$J$228,0)-1,0),0)</f>
        <v>211010501</v>
      </c>
      <c r="Z134" s="9" t="s">
        <v>543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456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>
        <v>1</v>
      </c>
      <c r="M135" s="9">
        <v>15</v>
      </c>
      <c r="N135" s="9" t="s">
        <v>846</v>
      </c>
      <c r="R135" s="9" t="s">
        <v>759</v>
      </c>
      <c r="U135" s="9">
        <f ca="1">IFERROR(OFFSET(ITEM_RES!$A$5,MATCH(BUILDING!T135,ITEM_RES!$J$5:$J$228,0)-1,0),0)</f>
        <v>0</v>
      </c>
      <c r="W135" s="85" t="s">
        <v>573</v>
      </c>
      <c r="X135" s="9">
        <f ca="1">IFERROR(OFFSET(ITEM_RES!$A$5,MATCH(BUILDING!W135,ITEM_RES!$J$5:$J$228,0)-1,0),0)</f>
        <v>211010501</v>
      </c>
      <c r="Z135" s="9" t="s">
        <v>543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452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>
        <v>1</v>
      </c>
      <c r="M136" s="9">
        <v>15</v>
      </c>
      <c r="N136" s="9" t="s">
        <v>846</v>
      </c>
      <c r="R136" s="9" t="s">
        <v>759</v>
      </c>
      <c r="U136" s="9">
        <f ca="1">IFERROR(OFFSET(ITEM_RES!$A$5,MATCH(BUILDING!T136,ITEM_RES!$J$5:$J$228,0)-1,0),0)</f>
        <v>0</v>
      </c>
      <c r="W136" s="85" t="s">
        <v>573</v>
      </c>
      <c r="X136" s="9">
        <f ca="1">IFERROR(OFFSET(ITEM_RES!$A$5,MATCH(BUILDING!W136,ITEM_RES!$J$5:$J$228,0)-1,0),0)</f>
        <v>211010501</v>
      </c>
      <c r="Z136" s="9" t="s">
        <v>543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452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>
        <v>1</v>
      </c>
      <c r="M137" s="9">
        <v>15</v>
      </c>
      <c r="N137" s="9" t="s">
        <v>846</v>
      </c>
      <c r="R137" s="9" t="s">
        <v>759</v>
      </c>
      <c r="U137" s="9">
        <f ca="1">IFERROR(OFFSET(ITEM_RES!$A$5,MATCH(BUILDING!T137,ITEM_RES!$J$5:$J$228,0)-1,0),0)</f>
        <v>0</v>
      </c>
      <c r="W137" s="85" t="s">
        <v>573</v>
      </c>
      <c r="X137" s="9">
        <f ca="1">IFERROR(OFFSET(ITEM_RES!$A$5,MATCH(BUILDING!W137,ITEM_RES!$J$5:$J$228,0)-1,0),0)</f>
        <v>211010501</v>
      </c>
      <c r="Z137" s="9" t="s">
        <v>543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452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>
        <v>1</v>
      </c>
      <c r="M138" s="9">
        <v>15</v>
      </c>
      <c r="N138" s="9" t="s">
        <v>846</v>
      </c>
      <c r="R138" s="9" t="s">
        <v>759</v>
      </c>
      <c r="U138" s="9">
        <f ca="1">IFERROR(OFFSET(ITEM_RES!$A$5,MATCH(BUILDING!T138,ITEM_RES!$J$5:$J$228,0)-1,0),0)</f>
        <v>0</v>
      </c>
      <c r="W138" s="85" t="s">
        <v>573</v>
      </c>
      <c r="X138" s="9">
        <f ca="1">IFERROR(OFFSET(ITEM_RES!$A$5,MATCH(BUILDING!W138,ITEM_RES!$J$5:$J$228,0)-1,0),0)</f>
        <v>211010501</v>
      </c>
      <c r="Z138" s="9" t="s">
        <v>543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452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>
        <v>1</v>
      </c>
      <c r="M139" s="9">
        <v>15</v>
      </c>
      <c r="N139" s="9" t="s">
        <v>846</v>
      </c>
      <c r="R139" s="9" t="s">
        <v>759</v>
      </c>
      <c r="U139" s="9">
        <f ca="1">IFERROR(OFFSET(ITEM_RES!$A$5,MATCH(BUILDING!T139,ITEM_RES!$J$5:$J$228,0)-1,0),0)</f>
        <v>0</v>
      </c>
      <c r="W139" s="85" t="s">
        <v>573</v>
      </c>
      <c r="X139" s="9">
        <f ca="1">IFERROR(OFFSET(ITEM_RES!$A$5,MATCH(BUILDING!W139,ITEM_RES!$J$5:$J$228,0)-1,0),0)</f>
        <v>211010501</v>
      </c>
      <c r="Z139" s="9" t="s">
        <v>543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452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>
        <v>0</v>
      </c>
      <c r="M140" s="9">
        <v>15</v>
      </c>
      <c r="N140" s="9" t="s">
        <v>846</v>
      </c>
      <c r="R140" s="9" t="s">
        <v>759</v>
      </c>
      <c r="U140" s="9">
        <f ca="1">IFERROR(OFFSET(ITEM_RES!$A$5,MATCH(BUILDING!T140,ITEM_RES!$J$5:$J$228,0)-1,0),0)</f>
        <v>0</v>
      </c>
      <c r="W140" s="85" t="s">
        <v>573</v>
      </c>
      <c r="X140" s="9">
        <f ca="1">IFERROR(OFFSET(ITEM_RES!$A$5,MATCH(BUILDING!W140,ITEM_RES!$J$5:$J$228,0)-1,0),0)</f>
        <v>211010501</v>
      </c>
      <c r="Z140" s="9" t="s">
        <v>543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452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>
        <v>0</v>
      </c>
      <c r="M141" s="9">
        <v>15</v>
      </c>
      <c r="N141" s="9" t="s">
        <v>846</v>
      </c>
      <c r="R141" s="9" t="s">
        <v>759</v>
      </c>
      <c r="U141" s="9">
        <f ca="1">IFERROR(OFFSET(ITEM_RES!$A$5,MATCH(BUILDING!T141,ITEM_RES!$J$5:$J$228,0)-1,0),0)</f>
        <v>0</v>
      </c>
      <c r="W141" s="85" t="s">
        <v>573</v>
      </c>
      <c r="X141" s="9">
        <f ca="1">IFERROR(OFFSET(ITEM_RES!$A$5,MATCH(BUILDING!W141,ITEM_RES!$J$5:$J$228,0)-1,0),0)</f>
        <v>211010501</v>
      </c>
      <c r="Z141" s="9" t="s">
        <v>543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452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>
        <v>0</v>
      </c>
      <c r="M142" s="9">
        <v>15</v>
      </c>
      <c r="N142" s="9" t="s">
        <v>846</v>
      </c>
      <c r="R142" s="9" t="s">
        <v>759</v>
      </c>
      <c r="U142" s="9">
        <f ca="1">IFERROR(OFFSET(ITEM_RES!$A$5,MATCH(BUILDING!T142,ITEM_RES!$J$5:$J$228,0)-1,0),0)</f>
        <v>0</v>
      </c>
      <c r="W142" s="85" t="s">
        <v>573</v>
      </c>
      <c r="X142" s="9">
        <f ca="1">IFERROR(OFFSET(ITEM_RES!$A$5,MATCH(BUILDING!W142,ITEM_RES!$J$5:$J$228,0)-1,0),0)</f>
        <v>211010501</v>
      </c>
      <c r="Z142" s="9" t="s">
        <v>543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452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>
        <v>0</v>
      </c>
      <c r="M143" s="9">
        <v>15</v>
      </c>
      <c r="N143" s="9" t="s">
        <v>846</v>
      </c>
      <c r="R143" s="9" t="s">
        <v>759</v>
      </c>
      <c r="U143" s="9">
        <f ca="1">IFERROR(OFFSET(ITEM_RES!$A$5,MATCH(BUILDING!T143,ITEM_RES!$J$5:$J$228,0)-1,0),0)</f>
        <v>0</v>
      </c>
      <c r="W143" s="85" t="s">
        <v>573</v>
      </c>
      <c r="X143" s="9">
        <f ca="1">IFERROR(OFFSET(ITEM_RES!$A$5,MATCH(BUILDING!W143,ITEM_RES!$J$5:$J$228,0)-1,0),0)</f>
        <v>211010501</v>
      </c>
      <c r="Z143" s="9" t="s">
        <v>543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452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>
        <v>0</v>
      </c>
      <c r="M144" s="9">
        <v>15</v>
      </c>
      <c r="N144" s="9" t="s">
        <v>846</v>
      </c>
      <c r="R144" s="9" t="s">
        <v>759</v>
      </c>
      <c r="U144" s="9">
        <f ca="1">IFERROR(OFFSET(ITEM_RES!$A$5,MATCH(BUILDING!T144,ITEM_RES!$J$5:$J$228,0)-1,0),0)</f>
        <v>0</v>
      </c>
      <c r="W144" s="85" t="s">
        <v>573</v>
      </c>
      <c r="X144" s="9">
        <f ca="1">IFERROR(OFFSET(ITEM_RES!$A$5,MATCH(BUILDING!W144,ITEM_RES!$J$5:$J$228,0)-1,0),0)</f>
        <v>211010501</v>
      </c>
      <c r="Z144" s="9" t="s">
        <v>543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452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>
        <v>1</v>
      </c>
      <c r="M145" s="16">
        <v>15</v>
      </c>
      <c r="N145" s="16" t="s">
        <v>845</v>
      </c>
      <c r="O145" s="17"/>
      <c r="P145" s="17"/>
      <c r="Q145" s="18"/>
      <c r="R145" s="16" t="s">
        <v>779</v>
      </c>
      <c r="S145" s="79"/>
      <c r="T145" s="87"/>
      <c r="U145" s="16">
        <f ca="1">IFERROR(OFFSET(ITEM_RES!$A$5,MATCH(BUILDING!T145,ITEM_RES!$J$5:$J$228,0)-1,0),0)</f>
        <v>0</v>
      </c>
      <c r="V145" s="18"/>
      <c r="W145" s="87" t="s">
        <v>573</v>
      </c>
      <c r="X145" s="16">
        <f ca="1">IFERROR(OFFSET(ITEM_RES!$A$5,MATCH(BUILDING!W145,ITEM_RES!$J$5:$J$228,0)-1,0),0)</f>
        <v>211010501</v>
      </c>
      <c r="Y145" s="79"/>
      <c r="Z145" s="16" t="s">
        <v>544</v>
      </c>
      <c r="AA145" s="16">
        <v>1</v>
      </c>
      <c r="AB145" s="79"/>
      <c r="AC145" s="16">
        <v>0</v>
      </c>
      <c r="AD145" s="79"/>
      <c r="AE145" s="57">
        <f t="shared" si="67"/>
        <v>580</v>
      </c>
      <c r="AF145" s="17">
        <f>AE145</f>
        <v>580</v>
      </c>
      <c r="AG145" s="79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454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213010101</v>
      </c>
      <c r="BA145" s="17" t="s">
        <v>478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>
        <v>1</v>
      </c>
      <c r="M146" s="9">
        <v>15</v>
      </c>
      <c r="N146" s="9" t="s">
        <v>845</v>
      </c>
      <c r="R146" s="9" t="s">
        <v>779</v>
      </c>
      <c r="U146" s="9">
        <f ca="1">IFERROR(OFFSET(ITEM_RES!$A$5,MATCH(BUILDING!T146,ITEM_RES!$J$5:$J$228,0)-1,0),0)</f>
        <v>0</v>
      </c>
      <c r="W146" s="85" t="s">
        <v>573</v>
      </c>
      <c r="X146" s="9">
        <f ca="1">IFERROR(OFFSET(ITEM_RES!$A$5,MATCH(BUILDING!W146,ITEM_RES!$J$5:$J$228,0)-1,0),0)</f>
        <v>211010501</v>
      </c>
      <c r="Z146" s="9" t="s">
        <v>544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454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>
        <v>1</v>
      </c>
      <c r="M147" s="9">
        <v>15</v>
      </c>
      <c r="N147" s="9" t="s">
        <v>845</v>
      </c>
      <c r="R147" s="9" t="s">
        <v>779</v>
      </c>
      <c r="U147" s="9">
        <f ca="1">IFERROR(OFFSET(ITEM_RES!$A$5,MATCH(BUILDING!T147,ITEM_RES!$J$5:$J$228,0)-1,0),0)</f>
        <v>0</v>
      </c>
      <c r="W147" s="85" t="s">
        <v>573</v>
      </c>
      <c r="X147" s="9">
        <f ca="1">IFERROR(OFFSET(ITEM_RES!$A$5,MATCH(BUILDING!W147,ITEM_RES!$J$5:$J$228,0)-1,0),0)</f>
        <v>211010501</v>
      </c>
      <c r="Z147" s="9" t="s">
        <v>544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454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>
        <v>1</v>
      </c>
      <c r="M148" s="9">
        <v>15</v>
      </c>
      <c r="N148" s="9" t="s">
        <v>845</v>
      </c>
      <c r="R148" s="9" t="s">
        <v>779</v>
      </c>
      <c r="U148" s="9">
        <f ca="1">IFERROR(OFFSET(ITEM_RES!$A$5,MATCH(BUILDING!T148,ITEM_RES!$J$5:$J$228,0)-1,0),0)</f>
        <v>0</v>
      </c>
      <c r="W148" s="85" t="s">
        <v>573</v>
      </c>
      <c r="X148" s="9">
        <f ca="1">IFERROR(OFFSET(ITEM_RES!$A$5,MATCH(BUILDING!W148,ITEM_RES!$J$5:$J$228,0)-1,0),0)</f>
        <v>211010501</v>
      </c>
      <c r="Z148" s="9" t="s">
        <v>544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454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>
        <v>1</v>
      </c>
      <c r="M149" s="9">
        <v>15</v>
      </c>
      <c r="N149" s="9" t="s">
        <v>845</v>
      </c>
      <c r="R149" s="9" t="s">
        <v>779</v>
      </c>
      <c r="U149" s="9">
        <f ca="1">IFERROR(OFFSET(ITEM_RES!$A$5,MATCH(BUILDING!T149,ITEM_RES!$J$5:$J$228,0)-1,0),0)</f>
        <v>0</v>
      </c>
      <c r="W149" s="85" t="s">
        <v>573</v>
      </c>
      <c r="X149" s="9">
        <f ca="1">IFERROR(OFFSET(ITEM_RES!$A$5,MATCH(BUILDING!W149,ITEM_RES!$J$5:$J$228,0)-1,0),0)</f>
        <v>211010501</v>
      </c>
      <c r="Z149" s="9" t="s">
        <v>544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454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>
        <v>1</v>
      </c>
      <c r="M150" s="9">
        <v>15</v>
      </c>
      <c r="N150" s="9" t="s">
        <v>845</v>
      </c>
      <c r="R150" s="9" t="s">
        <v>779</v>
      </c>
      <c r="U150" s="9">
        <f ca="1">IFERROR(OFFSET(ITEM_RES!$A$5,MATCH(BUILDING!T150,ITEM_RES!$J$5:$J$228,0)-1,0),0)</f>
        <v>0</v>
      </c>
      <c r="W150" s="85" t="s">
        <v>573</v>
      </c>
      <c r="X150" s="9">
        <f ca="1">IFERROR(OFFSET(ITEM_RES!$A$5,MATCH(BUILDING!W150,ITEM_RES!$J$5:$J$228,0)-1,0),0)</f>
        <v>211010501</v>
      </c>
      <c r="Z150" s="9" t="s">
        <v>544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454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>
        <v>1</v>
      </c>
      <c r="M151" s="9">
        <v>15</v>
      </c>
      <c r="N151" s="9" t="s">
        <v>845</v>
      </c>
      <c r="R151" s="9" t="s">
        <v>779</v>
      </c>
      <c r="U151" s="9">
        <f ca="1">IFERROR(OFFSET(ITEM_RES!$A$5,MATCH(BUILDING!T151,ITEM_RES!$J$5:$J$228,0)-1,0),0)</f>
        <v>0</v>
      </c>
      <c r="W151" s="85" t="s">
        <v>573</v>
      </c>
      <c r="X151" s="9">
        <f ca="1">IFERROR(OFFSET(ITEM_RES!$A$5,MATCH(BUILDING!W151,ITEM_RES!$J$5:$J$228,0)-1,0),0)</f>
        <v>211010501</v>
      </c>
      <c r="Z151" s="9" t="s">
        <v>544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454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>
        <v>1</v>
      </c>
      <c r="M152" s="9">
        <v>15</v>
      </c>
      <c r="N152" s="9" t="s">
        <v>845</v>
      </c>
      <c r="R152" s="9" t="s">
        <v>779</v>
      </c>
      <c r="U152" s="9">
        <f ca="1">IFERROR(OFFSET(ITEM_RES!$A$5,MATCH(BUILDING!T152,ITEM_RES!$J$5:$J$228,0)-1,0),0)</f>
        <v>0</v>
      </c>
      <c r="W152" s="85" t="s">
        <v>573</v>
      </c>
      <c r="X152" s="9">
        <f ca="1">IFERROR(OFFSET(ITEM_RES!$A$5,MATCH(BUILDING!W152,ITEM_RES!$J$5:$J$228,0)-1,0),0)</f>
        <v>211010501</v>
      </c>
      <c r="Z152" s="9" t="s">
        <v>544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454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>
        <v>1</v>
      </c>
      <c r="M153" s="9">
        <v>15</v>
      </c>
      <c r="N153" s="9" t="s">
        <v>845</v>
      </c>
      <c r="R153" s="9" t="s">
        <v>779</v>
      </c>
      <c r="U153" s="9">
        <f ca="1">IFERROR(OFFSET(ITEM_RES!$A$5,MATCH(BUILDING!T153,ITEM_RES!$J$5:$J$228,0)-1,0),0)</f>
        <v>0</v>
      </c>
      <c r="W153" s="85" t="s">
        <v>573</v>
      </c>
      <c r="X153" s="9">
        <f ca="1">IFERROR(OFFSET(ITEM_RES!$A$5,MATCH(BUILDING!W153,ITEM_RES!$J$5:$J$228,0)-1,0),0)</f>
        <v>211010501</v>
      </c>
      <c r="Z153" s="9" t="s">
        <v>544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454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>
        <v>1</v>
      </c>
      <c r="M154" s="9">
        <v>15</v>
      </c>
      <c r="N154" s="9" t="s">
        <v>845</v>
      </c>
      <c r="R154" s="9" t="s">
        <v>779</v>
      </c>
      <c r="U154" s="9">
        <f ca="1">IFERROR(OFFSET(ITEM_RES!$A$5,MATCH(BUILDING!T154,ITEM_RES!$J$5:$J$228,0)-1,0),0)</f>
        <v>0</v>
      </c>
      <c r="W154" s="85" t="s">
        <v>573</v>
      </c>
      <c r="X154" s="9">
        <f ca="1">IFERROR(OFFSET(ITEM_RES!$A$5,MATCH(BUILDING!W154,ITEM_RES!$J$5:$J$228,0)-1,0),0)</f>
        <v>211010501</v>
      </c>
      <c r="Z154" s="9" t="s">
        <v>544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454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>
        <v>1</v>
      </c>
      <c r="M155" s="9">
        <v>15</v>
      </c>
      <c r="N155" s="9" t="s">
        <v>845</v>
      </c>
      <c r="R155" s="9" t="s">
        <v>779</v>
      </c>
      <c r="U155" s="9">
        <f ca="1">IFERROR(OFFSET(ITEM_RES!$A$5,MATCH(BUILDING!T155,ITEM_RES!$J$5:$J$228,0)-1,0),0)</f>
        <v>0</v>
      </c>
      <c r="W155" s="85" t="s">
        <v>573</v>
      </c>
      <c r="X155" s="9">
        <f ca="1">IFERROR(OFFSET(ITEM_RES!$A$5,MATCH(BUILDING!W155,ITEM_RES!$J$5:$J$228,0)-1,0),0)</f>
        <v>211010501</v>
      </c>
      <c r="Z155" s="9" t="s">
        <v>544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457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>
        <v>1</v>
      </c>
      <c r="M156" s="9">
        <v>15</v>
      </c>
      <c r="N156" s="9" t="s">
        <v>845</v>
      </c>
      <c r="R156" s="9" t="s">
        <v>779</v>
      </c>
      <c r="U156" s="9">
        <f ca="1">IFERROR(OFFSET(ITEM_RES!$A$5,MATCH(BUILDING!T156,ITEM_RES!$J$5:$J$228,0)-1,0),0)</f>
        <v>0</v>
      </c>
      <c r="W156" s="85" t="s">
        <v>573</v>
      </c>
      <c r="X156" s="9">
        <f ca="1">IFERROR(OFFSET(ITEM_RES!$A$5,MATCH(BUILDING!W156,ITEM_RES!$J$5:$J$228,0)-1,0),0)</f>
        <v>211010501</v>
      </c>
      <c r="Z156" s="9" t="s">
        <v>544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454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>
        <v>1</v>
      </c>
      <c r="M157" s="9">
        <v>15</v>
      </c>
      <c r="N157" s="9" t="s">
        <v>845</v>
      </c>
      <c r="R157" s="9" t="s">
        <v>779</v>
      </c>
      <c r="U157" s="9">
        <f ca="1">IFERROR(OFFSET(ITEM_RES!$A$5,MATCH(BUILDING!T157,ITEM_RES!$J$5:$J$228,0)-1,0),0)</f>
        <v>0</v>
      </c>
      <c r="W157" s="85" t="s">
        <v>573</v>
      </c>
      <c r="X157" s="9">
        <f ca="1">IFERROR(OFFSET(ITEM_RES!$A$5,MATCH(BUILDING!W157,ITEM_RES!$J$5:$J$228,0)-1,0),0)</f>
        <v>211010501</v>
      </c>
      <c r="Z157" s="9" t="s">
        <v>544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467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>
        <v>1</v>
      </c>
      <c r="M158" s="9">
        <v>15</v>
      </c>
      <c r="N158" s="9" t="s">
        <v>845</v>
      </c>
      <c r="R158" s="9" t="s">
        <v>779</v>
      </c>
      <c r="U158" s="9">
        <f ca="1">IFERROR(OFFSET(ITEM_RES!$A$5,MATCH(BUILDING!T158,ITEM_RES!$J$5:$J$228,0)-1,0),0)</f>
        <v>0</v>
      </c>
      <c r="W158" s="85" t="s">
        <v>573</v>
      </c>
      <c r="X158" s="9">
        <f ca="1">IFERROR(OFFSET(ITEM_RES!$A$5,MATCH(BUILDING!W158,ITEM_RES!$J$5:$J$228,0)-1,0),0)</f>
        <v>211010501</v>
      </c>
      <c r="Z158" s="9" t="s">
        <v>544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467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>
        <v>1</v>
      </c>
      <c r="M159" s="9">
        <v>15</v>
      </c>
      <c r="N159" s="9" t="s">
        <v>845</v>
      </c>
      <c r="R159" s="9" t="s">
        <v>779</v>
      </c>
      <c r="U159" s="9">
        <f ca="1">IFERROR(OFFSET(ITEM_RES!$A$5,MATCH(BUILDING!T159,ITEM_RES!$J$5:$J$228,0)-1,0),0)</f>
        <v>0</v>
      </c>
      <c r="W159" s="85" t="s">
        <v>573</v>
      </c>
      <c r="X159" s="9">
        <f ca="1">IFERROR(OFFSET(ITEM_RES!$A$5,MATCH(BUILDING!W159,ITEM_RES!$J$5:$J$228,0)-1,0),0)</f>
        <v>211010501</v>
      </c>
      <c r="Z159" s="9" t="s">
        <v>544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467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>
        <v>0</v>
      </c>
      <c r="M160" s="9">
        <v>15</v>
      </c>
      <c r="N160" s="9" t="s">
        <v>845</v>
      </c>
      <c r="R160" s="9" t="s">
        <v>779</v>
      </c>
      <c r="U160" s="9">
        <f ca="1">IFERROR(OFFSET(ITEM_RES!$A$5,MATCH(BUILDING!T160,ITEM_RES!$J$5:$J$228,0)-1,0),0)</f>
        <v>0</v>
      </c>
      <c r="W160" s="85" t="s">
        <v>573</v>
      </c>
      <c r="X160" s="9">
        <f ca="1">IFERROR(OFFSET(ITEM_RES!$A$5,MATCH(BUILDING!W160,ITEM_RES!$J$5:$J$228,0)-1,0),0)</f>
        <v>211010501</v>
      </c>
      <c r="Z160" s="9" t="s">
        <v>544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467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>
        <v>0</v>
      </c>
      <c r="M161" s="9">
        <v>15</v>
      </c>
      <c r="N161" s="9" t="s">
        <v>845</v>
      </c>
      <c r="R161" s="9" t="s">
        <v>779</v>
      </c>
      <c r="U161" s="9">
        <f ca="1">IFERROR(OFFSET(ITEM_RES!$A$5,MATCH(BUILDING!T161,ITEM_RES!$J$5:$J$228,0)-1,0),0)</f>
        <v>0</v>
      </c>
      <c r="W161" s="85" t="s">
        <v>573</v>
      </c>
      <c r="X161" s="9">
        <f ca="1">IFERROR(OFFSET(ITEM_RES!$A$5,MATCH(BUILDING!W161,ITEM_RES!$J$5:$J$228,0)-1,0),0)</f>
        <v>211010501</v>
      </c>
      <c r="Z161" s="9" t="s">
        <v>544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467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>
        <v>0</v>
      </c>
      <c r="M162" s="9">
        <v>15</v>
      </c>
      <c r="N162" s="9" t="s">
        <v>845</v>
      </c>
      <c r="R162" s="9" t="s">
        <v>779</v>
      </c>
      <c r="U162" s="9">
        <f ca="1">IFERROR(OFFSET(ITEM_RES!$A$5,MATCH(BUILDING!T162,ITEM_RES!$J$5:$J$228,0)-1,0),0)</f>
        <v>0</v>
      </c>
      <c r="W162" s="85" t="s">
        <v>573</v>
      </c>
      <c r="X162" s="9">
        <f ca="1">IFERROR(OFFSET(ITEM_RES!$A$5,MATCH(BUILDING!W162,ITEM_RES!$J$5:$J$228,0)-1,0),0)</f>
        <v>211010501</v>
      </c>
      <c r="Z162" s="9" t="s">
        <v>544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467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>
        <v>0</v>
      </c>
      <c r="M163" s="9">
        <v>15</v>
      </c>
      <c r="N163" s="9" t="s">
        <v>845</v>
      </c>
      <c r="R163" s="9" t="s">
        <v>779</v>
      </c>
      <c r="U163" s="9">
        <f ca="1">IFERROR(OFFSET(ITEM_RES!$A$5,MATCH(BUILDING!T163,ITEM_RES!$J$5:$J$228,0)-1,0),0)</f>
        <v>0</v>
      </c>
      <c r="W163" s="85" t="s">
        <v>573</v>
      </c>
      <c r="X163" s="9">
        <f ca="1">IFERROR(OFFSET(ITEM_RES!$A$5,MATCH(BUILDING!W163,ITEM_RES!$J$5:$J$228,0)-1,0),0)</f>
        <v>211010501</v>
      </c>
      <c r="Z163" s="9" t="s">
        <v>544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467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>
        <v>0</v>
      </c>
      <c r="M164" s="9">
        <v>15</v>
      </c>
      <c r="N164" s="9" t="s">
        <v>845</v>
      </c>
      <c r="R164" s="9" t="s">
        <v>779</v>
      </c>
      <c r="U164" s="9">
        <f ca="1">IFERROR(OFFSET(ITEM_RES!$A$5,MATCH(BUILDING!T164,ITEM_RES!$J$5:$J$228,0)-1,0),0)</f>
        <v>0</v>
      </c>
      <c r="W164" s="85" t="s">
        <v>573</v>
      </c>
      <c r="X164" s="9">
        <f ca="1">IFERROR(OFFSET(ITEM_RES!$A$5,MATCH(BUILDING!W164,ITEM_RES!$J$5:$J$228,0)-1,0),0)</f>
        <v>211010501</v>
      </c>
      <c r="Z164" s="9" t="s">
        <v>544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467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>
        <v>1</v>
      </c>
      <c r="M165" s="16">
        <v>15</v>
      </c>
      <c r="N165" s="16" t="s">
        <v>844</v>
      </c>
      <c r="O165" s="17"/>
      <c r="P165" s="17"/>
      <c r="Q165" s="18"/>
      <c r="R165" s="16" t="s">
        <v>760</v>
      </c>
      <c r="S165" s="79"/>
      <c r="T165" s="87" t="s">
        <v>573</v>
      </c>
      <c r="U165" s="16">
        <f ca="1">IFERROR(OFFSET(ITEM_RES!$A$5,MATCH(BUILDING!T165,ITEM_RES!$J$5:$J$228,0)-1,0),0)</f>
        <v>211010501</v>
      </c>
      <c r="V165" s="18">
        <v>1</v>
      </c>
      <c r="W165" s="87" t="s">
        <v>574</v>
      </c>
      <c r="X165" s="16">
        <f ca="1">IFERROR(OFFSET(ITEM_RES!$A$5,MATCH(BUILDING!W165,ITEM_RES!$J$5:$J$228,0)-1,0),0)</f>
        <v>211010601</v>
      </c>
      <c r="Y165" s="79"/>
      <c r="Z165" s="16" t="s">
        <v>545</v>
      </c>
      <c r="AA165" s="16">
        <v>1</v>
      </c>
      <c r="AB165" s="79"/>
      <c r="AC165" s="16">
        <v>0</v>
      </c>
      <c r="AD165" s="79"/>
      <c r="AE165" s="57">
        <f t="shared" si="67"/>
        <v>580</v>
      </c>
      <c r="AF165" s="17">
        <f>AE165</f>
        <v>580</v>
      </c>
      <c r="AG165" s="79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454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213010101</v>
      </c>
      <c r="BA165" s="17" t="s">
        <v>478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>
        <v>1</v>
      </c>
      <c r="M166" s="9">
        <v>15</v>
      </c>
      <c r="N166" s="9" t="s">
        <v>844</v>
      </c>
      <c r="R166" s="9" t="s">
        <v>760</v>
      </c>
      <c r="T166" s="85" t="s">
        <v>573</v>
      </c>
      <c r="U166" s="9">
        <f ca="1">IFERROR(OFFSET(ITEM_RES!$A$5,MATCH(BUILDING!T166,ITEM_RES!$J$5:$J$228,0)-1,0),0)</f>
        <v>211010501</v>
      </c>
      <c r="V166" s="11">
        <v>1</v>
      </c>
      <c r="W166" s="85" t="s">
        <v>574</v>
      </c>
      <c r="X166" s="9">
        <f ca="1">IFERROR(OFFSET(ITEM_RES!$A$5,MATCH(BUILDING!W166,ITEM_RES!$J$5:$J$228,0)-1,0),0)</f>
        <v>211010601</v>
      </c>
      <c r="Z166" s="9" t="s">
        <v>545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454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>
        <v>1</v>
      </c>
      <c r="M167" s="9">
        <v>15</v>
      </c>
      <c r="N167" s="9" t="s">
        <v>844</v>
      </c>
      <c r="R167" s="9" t="s">
        <v>760</v>
      </c>
      <c r="T167" s="85" t="s">
        <v>573</v>
      </c>
      <c r="U167" s="9">
        <f ca="1">IFERROR(OFFSET(ITEM_RES!$A$5,MATCH(BUILDING!T167,ITEM_RES!$J$5:$J$228,0)-1,0),0)</f>
        <v>211010501</v>
      </c>
      <c r="V167" s="11">
        <v>1</v>
      </c>
      <c r="W167" s="85" t="s">
        <v>574</v>
      </c>
      <c r="X167" s="9">
        <f ca="1">IFERROR(OFFSET(ITEM_RES!$A$5,MATCH(BUILDING!W167,ITEM_RES!$J$5:$J$228,0)-1,0),0)</f>
        <v>211010601</v>
      </c>
      <c r="Z167" s="9" t="s">
        <v>545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454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>
        <v>1</v>
      </c>
      <c r="M168" s="9">
        <v>15</v>
      </c>
      <c r="N168" s="9" t="s">
        <v>844</v>
      </c>
      <c r="R168" s="9" t="s">
        <v>760</v>
      </c>
      <c r="T168" s="85" t="s">
        <v>573</v>
      </c>
      <c r="U168" s="9">
        <f ca="1">IFERROR(OFFSET(ITEM_RES!$A$5,MATCH(BUILDING!T168,ITEM_RES!$J$5:$J$228,0)-1,0),0)</f>
        <v>211010501</v>
      </c>
      <c r="V168" s="11">
        <v>1</v>
      </c>
      <c r="W168" s="85" t="s">
        <v>574</v>
      </c>
      <c r="X168" s="9">
        <f ca="1">IFERROR(OFFSET(ITEM_RES!$A$5,MATCH(BUILDING!W168,ITEM_RES!$J$5:$J$228,0)-1,0),0)</f>
        <v>211010601</v>
      </c>
      <c r="Z168" s="9" t="s">
        <v>545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454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>
        <v>1</v>
      </c>
      <c r="M169" s="9">
        <v>15</v>
      </c>
      <c r="N169" s="9" t="s">
        <v>844</v>
      </c>
      <c r="R169" s="9" t="s">
        <v>760</v>
      </c>
      <c r="T169" s="85" t="s">
        <v>573</v>
      </c>
      <c r="U169" s="9">
        <f ca="1">IFERROR(OFFSET(ITEM_RES!$A$5,MATCH(BUILDING!T169,ITEM_RES!$J$5:$J$228,0)-1,0),0)</f>
        <v>211010501</v>
      </c>
      <c r="V169" s="11">
        <v>1</v>
      </c>
      <c r="W169" s="85" t="s">
        <v>574</v>
      </c>
      <c r="X169" s="9">
        <f ca="1">IFERROR(OFFSET(ITEM_RES!$A$5,MATCH(BUILDING!W169,ITEM_RES!$J$5:$J$228,0)-1,0),0)</f>
        <v>211010601</v>
      </c>
      <c r="Z169" s="9" t="s">
        <v>545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454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>
        <v>1</v>
      </c>
      <c r="M170" s="9">
        <v>15</v>
      </c>
      <c r="N170" s="9" t="s">
        <v>844</v>
      </c>
      <c r="R170" s="9" t="s">
        <v>760</v>
      </c>
      <c r="T170" s="85" t="s">
        <v>573</v>
      </c>
      <c r="U170" s="9">
        <f ca="1">IFERROR(OFFSET(ITEM_RES!$A$5,MATCH(BUILDING!T170,ITEM_RES!$J$5:$J$228,0)-1,0),0)</f>
        <v>211010501</v>
      </c>
      <c r="V170" s="11">
        <v>1</v>
      </c>
      <c r="W170" s="85" t="s">
        <v>574</v>
      </c>
      <c r="X170" s="9">
        <f ca="1">IFERROR(OFFSET(ITEM_RES!$A$5,MATCH(BUILDING!W170,ITEM_RES!$J$5:$J$228,0)-1,0),0)</f>
        <v>211010601</v>
      </c>
      <c r="Z170" s="9" t="s">
        <v>545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454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>
        <v>1</v>
      </c>
      <c r="M171" s="9">
        <v>15</v>
      </c>
      <c r="N171" s="9" t="s">
        <v>844</v>
      </c>
      <c r="R171" s="9" t="s">
        <v>760</v>
      </c>
      <c r="T171" s="85" t="s">
        <v>573</v>
      </c>
      <c r="U171" s="9">
        <f ca="1">IFERROR(OFFSET(ITEM_RES!$A$5,MATCH(BUILDING!T171,ITEM_RES!$J$5:$J$228,0)-1,0),0)</f>
        <v>211010501</v>
      </c>
      <c r="V171" s="11">
        <v>1</v>
      </c>
      <c r="W171" s="85" t="s">
        <v>574</v>
      </c>
      <c r="X171" s="9">
        <f ca="1">IFERROR(OFFSET(ITEM_RES!$A$5,MATCH(BUILDING!W171,ITEM_RES!$J$5:$J$228,0)-1,0),0)</f>
        <v>211010601</v>
      </c>
      <c r="Z171" s="9" t="s">
        <v>545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454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>
        <v>1</v>
      </c>
      <c r="M172" s="9">
        <v>15</v>
      </c>
      <c r="N172" s="9" t="s">
        <v>844</v>
      </c>
      <c r="R172" s="9" t="s">
        <v>760</v>
      </c>
      <c r="T172" s="85" t="s">
        <v>573</v>
      </c>
      <c r="U172" s="9">
        <f ca="1">IFERROR(OFFSET(ITEM_RES!$A$5,MATCH(BUILDING!T172,ITEM_RES!$J$5:$J$228,0)-1,0),0)</f>
        <v>211010501</v>
      </c>
      <c r="V172" s="11">
        <v>1</v>
      </c>
      <c r="W172" s="85" t="s">
        <v>574</v>
      </c>
      <c r="X172" s="9">
        <f ca="1">IFERROR(OFFSET(ITEM_RES!$A$5,MATCH(BUILDING!W172,ITEM_RES!$J$5:$J$228,0)-1,0),0)</f>
        <v>211010601</v>
      </c>
      <c r="Z172" s="9" t="s">
        <v>545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454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>
        <v>1</v>
      </c>
      <c r="M173" s="9">
        <v>15</v>
      </c>
      <c r="N173" s="9" t="s">
        <v>844</v>
      </c>
      <c r="R173" s="9" t="s">
        <v>760</v>
      </c>
      <c r="T173" s="85" t="s">
        <v>573</v>
      </c>
      <c r="U173" s="9">
        <f ca="1">IFERROR(OFFSET(ITEM_RES!$A$5,MATCH(BUILDING!T173,ITEM_RES!$J$5:$J$228,0)-1,0),0)</f>
        <v>211010501</v>
      </c>
      <c r="V173" s="11">
        <v>1</v>
      </c>
      <c r="W173" s="85" t="s">
        <v>574</v>
      </c>
      <c r="X173" s="9">
        <f ca="1">IFERROR(OFFSET(ITEM_RES!$A$5,MATCH(BUILDING!W173,ITEM_RES!$J$5:$J$228,0)-1,0),0)</f>
        <v>211010601</v>
      </c>
      <c r="Z173" s="9" t="s">
        <v>545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454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>
        <v>1</v>
      </c>
      <c r="M174" s="9">
        <v>15</v>
      </c>
      <c r="N174" s="9" t="s">
        <v>844</v>
      </c>
      <c r="R174" s="9" t="s">
        <v>760</v>
      </c>
      <c r="T174" s="85" t="s">
        <v>573</v>
      </c>
      <c r="U174" s="9">
        <f ca="1">IFERROR(OFFSET(ITEM_RES!$A$5,MATCH(BUILDING!T174,ITEM_RES!$J$5:$J$228,0)-1,0),0)</f>
        <v>211010501</v>
      </c>
      <c r="V174" s="11">
        <v>1</v>
      </c>
      <c r="W174" s="85" t="s">
        <v>574</v>
      </c>
      <c r="X174" s="9">
        <f ca="1">IFERROR(OFFSET(ITEM_RES!$A$5,MATCH(BUILDING!W174,ITEM_RES!$J$5:$J$228,0)-1,0),0)</f>
        <v>211010601</v>
      </c>
      <c r="Z174" s="9" t="s">
        <v>545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454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>
        <v>1</v>
      </c>
      <c r="M175" s="9">
        <v>15</v>
      </c>
      <c r="N175" s="9" t="s">
        <v>844</v>
      </c>
      <c r="R175" s="9" t="s">
        <v>760</v>
      </c>
      <c r="T175" s="85" t="s">
        <v>573</v>
      </c>
      <c r="U175" s="9">
        <f ca="1">IFERROR(OFFSET(ITEM_RES!$A$5,MATCH(BUILDING!T175,ITEM_RES!$J$5:$J$228,0)-1,0),0)</f>
        <v>211010501</v>
      </c>
      <c r="V175" s="11">
        <v>1</v>
      </c>
      <c r="W175" s="85" t="s">
        <v>574</v>
      </c>
      <c r="X175" s="9">
        <f ca="1">IFERROR(OFFSET(ITEM_RES!$A$5,MATCH(BUILDING!W175,ITEM_RES!$J$5:$J$228,0)-1,0),0)</f>
        <v>211010601</v>
      </c>
      <c r="Z175" s="9" t="s">
        <v>545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454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>
        <v>1</v>
      </c>
      <c r="M176" s="9">
        <v>15</v>
      </c>
      <c r="N176" s="9" t="s">
        <v>844</v>
      </c>
      <c r="R176" s="9" t="s">
        <v>760</v>
      </c>
      <c r="T176" s="85" t="s">
        <v>573</v>
      </c>
      <c r="U176" s="9">
        <f ca="1">IFERROR(OFFSET(ITEM_RES!$A$5,MATCH(BUILDING!T176,ITEM_RES!$J$5:$J$228,0)-1,0),0)</f>
        <v>211010501</v>
      </c>
      <c r="V176" s="11">
        <v>1</v>
      </c>
      <c r="W176" s="85" t="s">
        <v>574</v>
      </c>
      <c r="X176" s="9">
        <f ca="1">IFERROR(OFFSET(ITEM_RES!$A$5,MATCH(BUILDING!W176,ITEM_RES!$J$5:$J$228,0)-1,0),0)</f>
        <v>211010601</v>
      </c>
      <c r="Z176" s="9" t="s">
        <v>545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454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>
        <v>1</v>
      </c>
      <c r="M177" s="9">
        <v>15</v>
      </c>
      <c r="N177" s="9" t="s">
        <v>844</v>
      </c>
      <c r="R177" s="9" t="s">
        <v>760</v>
      </c>
      <c r="T177" s="85" t="s">
        <v>573</v>
      </c>
      <c r="U177" s="9">
        <f ca="1">IFERROR(OFFSET(ITEM_RES!$A$5,MATCH(BUILDING!T177,ITEM_RES!$J$5:$J$228,0)-1,0),0)</f>
        <v>211010501</v>
      </c>
      <c r="V177" s="11">
        <v>1</v>
      </c>
      <c r="W177" s="85" t="s">
        <v>574</v>
      </c>
      <c r="X177" s="9">
        <f ca="1">IFERROR(OFFSET(ITEM_RES!$A$5,MATCH(BUILDING!W177,ITEM_RES!$J$5:$J$228,0)-1,0),0)</f>
        <v>211010601</v>
      </c>
      <c r="Z177" s="9" t="s">
        <v>545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454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>
        <v>1</v>
      </c>
      <c r="M178" s="9">
        <v>15</v>
      </c>
      <c r="N178" s="9" t="s">
        <v>844</v>
      </c>
      <c r="R178" s="9" t="s">
        <v>760</v>
      </c>
      <c r="T178" s="85" t="s">
        <v>573</v>
      </c>
      <c r="U178" s="9">
        <f ca="1">IFERROR(OFFSET(ITEM_RES!$A$5,MATCH(BUILDING!T178,ITEM_RES!$J$5:$J$228,0)-1,0),0)</f>
        <v>211010501</v>
      </c>
      <c r="V178" s="11">
        <v>1</v>
      </c>
      <c r="W178" s="85" t="s">
        <v>574</v>
      </c>
      <c r="X178" s="9">
        <f ca="1">IFERROR(OFFSET(ITEM_RES!$A$5,MATCH(BUILDING!W178,ITEM_RES!$J$5:$J$228,0)-1,0),0)</f>
        <v>211010601</v>
      </c>
      <c r="Z178" s="9" t="s">
        <v>545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454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>
        <v>1</v>
      </c>
      <c r="M179" s="9">
        <v>15</v>
      </c>
      <c r="N179" s="9" t="s">
        <v>844</v>
      </c>
      <c r="R179" s="9" t="s">
        <v>760</v>
      </c>
      <c r="T179" s="85" t="s">
        <v>573</v>
      </c>
      <c r="U179" s="9">
        <f ca="1">IFERROR(OFFSET(ITEM_RES!$A$5,MATCH(BUILDING!T179,ITEM_RES!$J$5:$J$228,0)-1,0),0)</f>
        <v>211010501</v>
      </c>
      <c r="V179" s="11">
        <v>1</v>
      </c>
      <c r="W179" s="85" t="s">
        <v>574</v>
      </c>
      <c r="X179" s="9">
        <f ca="1">IFERROR(OFFSET(ITEM_RES!$A$5,MATCH(BUILDING!W179,ITEM_RES!$J$5:$J$228,0)-1,0),0)</f>
        <v>211010601</v>
      </c>
      <c r="Z179" s="9" t="s">
        <v>545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454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>
        <v>0</v>
      </c>
      <c r="M180" s="9">
        <v>15</v>
      </c>
      <c r="N180" s="9" t="s">
        <v>844</v>
      </c>
      <c r="R180" s="9" t="s">
        <v>760</v>
      </c>
      <c r="T180" s="85" t="s">
        <v>573</v>
      </c>
      <c r="U180" s="9">
        <f ca="1">IFERROR(OFFSET(ITEM_RES!$A$5,MATCH(BUILDING!T180,ITEM_RES!$J$5:$J$228,0)-1,0),0)</f>
        <v>211010501</v>
      </c>
      <c r="V180" s="11">
        <v>1</v>
      </c>
      <c r="W180" s="85" t="s">
        <v>574</v>
      </c>
      <c r="X180" s="9">
        <f ca="1">IFERROR(OFFSET(ITEM_RES!$A$5,MATCH(BUILDING!W180,ITEM_RES!$J$5:$J$228,0)-1,0),0)</f>
        <v>211010601</v>
      </c>
      <c r="Z180" s="9" t="s">
        <v>545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454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>
        <v>0</v>
      </c>
      <c r="M181" s="9">
        <v>15</v>
      </c>
      <c r="N181" s="9" t="s">
        <v>844</v>
      </c>
      <c r="R181" s="9" t="s">
        <v>760</v>
      </c>
      <c r="T181" s="85" t="s">
        <v>573</v>
      </c>
      <c r="U181" s="9">
        <f ca="1">IFERROR(OFFSET(ITEM_RES!$A$5,MATCH(BUILDING!T181,ITEM_RES!$J$5:$J$228,0)-1,0),0)</f>
        <v>211010501</v>
      </c>
      <c r="V181" s="11">
        <v>1</v>
      </c>
      <c r="W181" s="85" t="s">
        <v>574</v>
      </c>
      <c r="X181" s="9">
        <f ca="1">IFERROR(OFFSET(ITEM_RES!$A$5,MATCH(BUILDING!W181,ITEM_RES!$J$5:$J$228,0)-1,0),0)</f>
        <v>211010601</v>
      </c>
      <c r="Z181" s="9" t="s">
        <v>545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467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>
        <v>0</v>
      </c>
      <c r="M182" s="9">
        <v>15</v>
      </c>
      <c r="N182" s="9" t="s">
        <v>844</v>
      </c>
      <c r="R182" s="9" t="s">
        <v>760</v>
      </c>
      <c r="T182" s="85" t="s">
        <v>573</v>
      </c>
      <c r="U182" s="9">
        <f ca="1">IFERROR(OFFSET(ITEM_RES!$A$5,MATCH(BUILDING!T182,ITEM_RES!$J$5:$J$228,0)-1,0),0)</f>
        <v>211010501</v>
      </c>
      <c r="V182" s="11">
        <v>1</v>
      </c>
      <c r="W182" s="85" t="s">
        <v>574</v>
      </c>
      <c r="X182" s="9">
        <f ca="1">IFERROR(OFFSET(ITEM_RES!$A$5,MATCH(BUILDING!W182,ITEM_RES!$J$5:$J$228,0)-1,0),0)</f>
        <v>211010601</v>
      </c>
      <c r="Z182" s="9" t="s">
        <v>545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467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>
        <v>0</v>
      </c>
      <c r="M183" s="9">
        <v>15</v>
      </c>
      <c r="N183" s="9" t="s">
        <v>844</v>
      </c>
      <c r="R183" s="9" t="s">
        <v>760</v>
      </c>
      <c r="T183" s="85" t="s">
        <v>573</v>
      </c>
      <c r="U183" s="9">
        <f ca="1">IFERROR(OFFSET(ITEM_RES!$A$5,MATCH(BUILDING!T183,ITEM_RES!$J$5:$J$228,0)-1,0),0)</f>
        <v>211010501</v>
      </c>
      <c r="V183" s="11">
        <v>1</v>
      </c>
      <c r="W183" s="85" t="s">
        <v>574</v>
      </c>
      <c r="X183" s="9">
        <f ca="1">IFERROR(OFFSET(ITEM_RES!$A$5,MATCH(BUILDING!W183,ITEM_RES!$J$5:$J$228,0)-1,0),0)</f>
        <v>211010601</v>
      </c>
      <c r="Z183" s="9" t="s">
        <v>545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467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>
        <v>0</v>
      </c>
      <c r="M184" s="9">
        <v>15</v>
      </c>
      <c r="N184" s="9" t="s">
        <v>844</v>
      </c>
      <c r="R184" s="9" t="s">
        <v>760</v>
      </c>
      <c r="T184" s="85" t="s">
        <v>573</v>
      </c>
      <c r="U184" s="9">
        <f ca="1">IFERROR(OFFSET(ITEM_RES!$A$5,MATCH(BUILDING!T184,ITEM_RES!$J$5:$J$228,0)-1,0),0)</f>
        <v>211010501</v>
      </c>
      <c r="V184" s="11">
        <v>1</v>
      </c>
      <c r="W184" s="85" t="s">
        <v>574</v>
      </c>
      <c r="X184" s="9">
        <f ca="1">IFERROR(OFFSET(ITEM_RES!$A$5,MATCH(BUILDING!W184,ITEM_RES!$J$5:$J$228,0)-1,0),0)</f>
        <v>211010601</v>
      </c>
      <c r="Z184" s="9" t="s">
        <v>545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467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79"/>
      <c r="H185" s="16">
        <v>3</v>
      </c>
      <c r="I185" s="16">
        <v>1</v>
      </c>
      <c r="J185" s="79"/>
      <c r="K185" s="64" t="s">
        <v>532</v>
      </c>
      <c r="L185" s="16">
        <v>1</v>
      </c>
      <c r="M185" s="16">
        <v>15</v>
      </c>
      <c r="N185" s="16"/>
      <c r="O185" s="17"/>
      <c r="P185" s="17"/>
      <c r="Q185" s="18"/>
      <c r="R185" s="16" t="s">
        <v>778</v>
      </c>
      <c r="S185" s="79"/>
      <c r="T185" s="87"/>
      <c r="U185" s="16">
        <f ca="1">IFERROR(OFFSET(ITEM_RES!$A$5,MATCH(BUILDING!T185,ITEM_RES!$J$5:$J$228,0)-1,0),0)</f>
        <v>0</v>
      </c>
      <c r="V185" s="18"/>
      <c r="W185" s="87"/>
      <c r="X185" s="16">
        <f ca="1">IFERROR(OFFSET(ITEM_RES!$A$5,MATCH(BUILDING!W185,ITEM_RES!$J$5:$J$228,0)-1,0),0)</f>
        <v>0</v>
      </c>
      <c r="Y185" s="79"/>
      <c r="Z185" s="16" t="s">
        <v>546</v>
      </c>
      <c r="AA185" s="16">
        <v>1</v>
      </c>
      <c r="AB185" s="79"/>
      <c r="AC185" s="16">
        <v>0</v>
      </c>
      <c r="AD185" s="79"/>
      <c r="AE185" s="57">
        <f t="shared" ref="AE185:AE204" si="79">AK185*10+AM185+AR185+AW185+500*BB185+500*BG185+500*BL185</f>
        <v>580</v>
      </c>
      <c r="AF185" s="17">
        <f>AE185</f>
        <v>580</v>
      </c>
      <c r="AG185" s="79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407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213010101</v>
      </c>
      <c r="BA185" s="17" t="s">
        <v>410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532</v>
      </c>
      <c r="L186" s="9">
        <v>1</v>
      </c>
      <c r="M186" s="9">
        <v>15</v>
      </c>
      <c r="N186" s="84"/>
      <c r="R186" s="9" t="s">
        <v>761</v>
      </c>
      <c r="U186" s="9">
        <f ca="1">IFERROR(OFFSET(ITEM_RES!$A$5,MATCH(BUILDING!T186,ITEM_RES!$J$5:$J$228,0)-1,0),0)</f>
        <v>0</v>
      </c>
      <c r="X186" s="9">
        <f ca="1">IFERROR(OFFSET(ITEM_RES!$A$5,MATCH(BUILDING!W186,ITEM_RES!$J$5:$J$228,0)-1,0),0)</f>
        <v>0</v>
      </c>
      <c r="Z186" s="9" t="s">
        <v>546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407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532</v>
      </c>
      <c r="L187" s="9">
        <v>1</v>
      </c>
      <c r="M187" s="9">
        <v>15</v>
      </c>
      <c r="R187" s="9" t="s">
        <v>761</v>
      </c>
      <c r="U187" s="9">
        <f ca="1">IFERROR(OFFSET(ITEM_RES!$A$5,MATCH(BUILDING!T187,ITEM_RES!$J$5:$J$228,0)-1,0),0)</f>
        <v>0</v>
      </c>
      <c r="X187" s="9">
        <f ca="1">IFERROR(OFFSET(ITEM_RES!$A$5,MATCH(BUILDING!W187,ITEM_RES!$J$5:$J$228,0)-1,0),0)</f>
        <v>0</v>
      </c>
      <c r="Z187" s="9" t="s">
        <v>546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407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532</v>
      </c>
      <c r="L188" s="9">
        <v>1</v>
      </c>
      <c r="M188" s="9">
        <v>15</v>
      </c>
      <c r="R188" s="9" t="s">
        <v>761</v>
      </c>
      <c r="U188" s="9">
        <f ca="1">IFERROR(OFFSET(ITEM_RES!$A$5,MATCH(BUILDING!T188,ITEM_RES!$J$5:$J$228,0)-1,0),0)</f>
        <v>0</v>
      </c>
      <c r="X188" s="9">
        <f ca="1">IFERROR(OFFSET(ITEM_RES!$A$5,MATCH(BUILDING!W188,ITEM_RES!$J$5:$J$228,0)-1,0),0)</f>
        <v>0</v>
      </c>
      <c r="Z188" s="9" t="s">
        <v>546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407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532</v>
      </c>
      <c r="L189" s="9">
        <v>1</v>
      </c>
      <c r="M189" s="9">
        <v>15</v>
      </c>
      <c r="R189" s="9" t="s">
        <v>761</v>
      </c>
      <c r="U189" s="9">
        <f ca="1">IFERROR(OFFSET(ITEM_RES!$A$5,MATCH(BUILDING!T189,ITEM_RES!$J$5:$J$228,0)-1,0),0)</f>
        <v>0</v>
      </c>
      <c r="X189" s="9">
        <f ca="1">IFERROR(OFFSET(ITEM_RES!$A$5,MATCH(BUILDING!W189,ITEM_RES!$J$5:$J$228,0)-1,0),0)</f>
        <v>0</v>
      </c>
      <c r="Z189" s="9" t="s">
        <v>546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407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532</v>
      </c>
      <c r="L190" s="9">
        <v>1</v>
      </c>
      <c r="M190" s="9">
        <v>15</v>
      </c>
      <c r="R190" s="9" t="s">
        <v>761</v>
      </c>
      <c r="U190" s="9">
        <f ca="1">IFERROR(OFFSET(ITEM_RES!$A$5,MATCH(BUILDING!T190,ITEM_RES!$J$5:$J$228,0)-1,0),0)</f>
        <v>0</v>
      </c>
      <c r="X190" s="9">
        <f ca="1">IFERROR(OFFSET(ITEM_RES!$A$5,MATCH(BUILDING!W190,ITEM_RES!$J$5:$J$228,0)-1,0),0)</f>
        <v>0</v>
      </c>
      <c r="Z190" s="9" t="s">
        <v>546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407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532</v>
      </c>
      <c r="L191" s="9">
        <v>1</v>
      </c>
      <c r="M191" s="9">
        <v>15</v>
      </c>
      <c r="R191" s="9" t="s">
        <v>761</v>
      </c>
      <c r="U191" s="9">
        <f ca="1">IFERROR(OFFSET(ITEM_RES!$A$5,MATCH(BUILDING!T191,ITEM_RES!$J$5:$J$228,0)-1,0),0)</f>
        <v>0</v>
      </c>
      <c r="X191" s="9">
        <f ca="1">IFERROR(OFFSET(ITEM_RES!$A$5,MATCH(BUILDING!W191,ITEM_RES!$J$5:$J$228,0)-1,0),0)</f>
        <v>0</v>
      </c>
      <c r="Z191" s="9" t="s">
        <v>546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407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532</v>
      </c>
      <c r="L192" s="9">
        <v>1</v>
      </c>
      <c r="M192" s="9">
        <v>15</v>
      </c>
      <c r="R192" s="9" t="s">
        <v>761</v>
      </c>
      <c r="U192" s="9">
        <f ca="1">IFERROR(OFFSET(ITEM_RES!$A$5,MATCH(BUILDING!T192,ITEM_RES!$J$5:$J$228,0)-1,0),0)</f>
        <v>0</v>
      </c>
      <c r="X192" s="9">
        <f ca="1">IFERROR(OFFSET(ITEM_RES!$A$5,MATCH(BUILDING!W192,ITEM_RES!$J$5:$J$228,0)-1,0),0)</f>
        <v>0</v>
      </c>
      <c r="Z192" s="9" t="s">
        <v>546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407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532</v>
      </c>
      <c r="L193" s="9">
        <v>1</v>
      </c>
      <c r="M193" s="9">
        <v>15</v>
      </c>
      <c r="R193" s="9" t="s">
        <v>761</v>
      </c>
      <c r="U193" s="9">
        <f ca="1">IFERROR(OFFSET(ITEM_RES!$A$5,MATCH(BUILDING!T193,ITEM_RES!$J$5:$J$228,0)-1,0),0)</f>
        <v>0</v>
      </c>
      <c r="X193" s="9">
        <f ca="1">IFERROR(OFFSET(ITEM_RES!$A$5,MATCH(BUILDING!W193,ITEM_RES!$J$5:$J$228,0)-1,0),0)</f>
        <v>0</v>
      </c>
      <c r="Z193" s="9" t="s">
        <v>546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407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532</v>
      </c>
      <c r="L194" s="9">
        <v>1</v>
      </c>
      <c r="M194" s="9">
        <v>15</v>
      </c>
      <c r="R194" s="9" t="s">
        <v>761</v>
      </c>
      <c r="U194" s="9">
        <f ca="1">IFERROR(OFFSET(ITEM_RES!$A$5,MATCH(BUILDING!T194,ITEM_RES!$J$5:$J$228,0)-1,0),0)</f>
        <v>0</v>
      </c>
      <c r="X194" s="9">
        <f ca="1">IFERROR(OFFSET(ITEM_RES!$A$5,MATCH(BUILDING!W194,ITEM_RES!$J$5:$J$228,0)-1,0),0)</f>
        <v>0</v>
      </c>
      <c r="Z194" s="9" t="s">
        <v>546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407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213010801</v>
      </c>
      <c r="BF194" s="10" t="s">
        <v>489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532</v>
      </c>
      <c r="L195" s="9">
        <v>1</v>
      </c>
      <c r="M195" s="9">
        <v>15</v>
      </c>
      <c r="R195" s="9" t="s">
        <v>761</v>
      </c>
      <c r="U195" s="9">
        <f ca="1">IFERROR(OFFSET(ITEM_RES!$A$5,MATCH(BUILDING!T195,ITEM_RES!$J$5:$J$228,0)-1,0),0)</f>
        <v>0</v>
      </c>
      <c r="X195" s="9">
        <f ca="1">IFERROR(OFFSET(ITEM_RES!$A$5,MATCH(BUILDING!W195,ITEM_RES!$J$5:$J$228,0)-1,0),0)</f>
        <v>0</v>
      </c>
      <c r="Z195" s="9" t="s">
        <v>546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407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532</v>
      </c>
      <c r="L196" s="9">
        <v>1</v>
      </c>
      <c r="M196" s="9">
        <v>15</v>
      </c>
      <c r="R196" s="9" t="s">
        <v>761</v>
      </c>
      <c r="U196" s="9">
        <f ca="1">IFERROR(OFFSET(ITEM_RES!$A$5,MATCH(BUILDING!T196,ITEM_RES!$J$5:$J$228,0)-1,0),0)</f>
        <v>0</v>
      </c>
      <c r="X196" s="9">
        <f ca="1">IFERROR(OFFSET(ITEM_RES!$A$5,MATCH(BUILDING!W196,ITEM_RES!$J$5:$J$228,0)-1,0),0)</f>
        <v>0</v>
      </c>
      <c r="Z196" s="9" t="s">
        <v>546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407</v>
      </c>
      <c r="AR196" s="11">
        <v>1500</v>
      </c>
      <c r="AU196" s="11">
        <f ca="1">IFERROR(OFFSET(ITEM_RES!$A$1,MATCH(AV196,ITEM_RES!$J:$J,0)-1,0),0)</f>
        <v>211020901</v>
      </c>
      <c r="AV196" s="10" t="s">
        <v>408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532</v>
      </c>
      <c r="L197" s="9">
        <v>1</v>
      </c>
      <c r="M197" s="9">
        <v>15</v>
      </c>
      <c r="R197" s="9" t="s">
        <v>761</v>
      </c>
      <c r="U197" s="9">
        <f ca="1">IFERROR(OFFSET(ITEM_RES!$A$5,MATCH(BUILDING!T197,ITEM_RES!$J$5:$J$228,0)-1,0),0)</f>
        <v>0</v>
      </c>
      <c r="X197" s="9">
        <f ca="1">IFERROR(OFFSET(ITEM_RES!$A$5,MATCH(BUILDING!W197,ITEM_RES!$J$5:$J$228,0)-1,0),0)</f>
        <v>0</v>
      </c>
      <c r="Z197" s="9" t="s">
        <v>546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407</v>
      </c>
      <c r="AR197" s="11">
        <v>1750</v>
      </c>
      <c r="AU197" s="11">
        <f ca="1">IFERROR(OFFSET(ITEM_RES!$A$1,MATCH(AV197,ITEM_RES!$J:$J,0)-1,0),0)</f>
        <v>211020901</v>
      </c>
      <c r="AV197" s="10" t="s">
        <v>408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532</v>
      </c>
      <c r="L198" s="9">
        <v>1</v>
      </c>
      <c r="M198" s="9">
        <v>15</v>
      </c>
      <c r="R198" s="9" t="s">
        <v>761</v>
      </c>
      <c r="U198" s="9">
        <f ca="1">IFERROR(OFFSET(ITEM_RES!$A$5,MATCH(BUILDING!T198,ITEM_RES!$J$5:$J$228,0)-1,0),0)</f>
        <v>0</v>
      </c>
      <c r="X198" s="9">
        <f ca="1">IFERROR(OFFSET(ITEM_RES!$A$5,MATCH(BUILDING!W198,ITEM_RES!$J$5:$J$228,0)-1,0),0)</f>
        <v>0</v>
      </c>
      <c r="Z198" s="9" t="s">
        <v>546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407</v>
      </c>
      <c r="AR198" s="11">
        <v>2250</v>
      </c>
      <c r="AU198" s="11">
        <f ca="1">IFERROR(OFFSET(ITEM_RES!$A$1,MATCH(AV198,ITEM_RES!$J:$J,0)-1,0),0)</f>
        <v>211020901</v>
      </c>
      <c r="AV198" s="10" t="s">
        <v>408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532</v>
      </c>
      <c r="L199" s="9">
        <v>1</v>
      </c>
      <c r="M199" s="9">
        <v>15</v>
      </c>
      <c r="R199" s="9" t="s">
        <v>761</v>
      </c>
      <c r="U199" s="9">
        <f ca="1">IFERROR(OFFSET(ITEM_RES!$A$5,MATCH(BUILDING!T199,ITEM_RES!$J$5:$J$228,0)-1,0),0)</f>
        <v>0</v>
      </c>
      <c r="X199" s="9">
        <f ca="1">IFERROR(OFFSET(ITEM_RES!$A$5,MATCH(BUILDING!W199,ITEM_RES!$J$5:$J$228,0)-1,0),0)</f>
        <v>0</v>
      </c>
      <c r="Z199" s="9" t="s">
        <v>546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407</v>
      </c>
      <c r="AR199" s="11">
        <v>2750</v>
      </c>
      <c r="AU199" s="11">
        <f ca="1">IFERROR(OFFSET(ITEM_RES!$A$1,MATCH(AV199,ITEM_RES!$J:$J,0)-1,0),0)</f>
        <v>211020901</v>
      </c>
      <c r="AV199" s="10" t="s">
        <v>408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532</v>
      </c>
      <c r="L200" s="9">
        <v>0</v>
      </c>
      <c r="M200" s="9">
        <v>15</v>
      </c>
      <c r="R200" s="9" t="s">
        <v>761</v>
      </c>
      <c r="U200" s="9">
        <f ca="1">IFERROR(OFFSET(ITEM_RES!$A$5,MATCH(BUILDING!T200,ITEM_RES!$J$5:$J$228,0)-1,0),0)</f>
        <v>0</v>
      </c>
      <c r="X200" s="9">
        <f ca="1">IFERROR(OFFSET(ITEM_RES!$A$5,MATCH(BUILDING!W200,ITEM_RES!$J$5:$J$228,0)-1,0),0)</f>
        <v>0</v>
      </c>
      <c r="Z200" s="9" t="s">
        <v>546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407</v>
      </c>
      <c r="AR200" s="11">
        <v>3500</v>
      </c>
      <c r="AU200" s="11">
        <f ca="1">IFERROR(OFFSET(ITEM_RES!$A$1,MATCH(AV200,ITEM_RES!$J:$J,0)-1,0),0)</f>
        <v>211020901</v>
      </c>
      <c r="AV200" s="10" t="s">
        <v>408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532</v>
      </c>
      <c r="L201" s="9">
        <v>0</v>
      </c>
      <c r="M201" s="9">
        <v>15</v>
      </c>
      <c r="R201" s="9" t="s">
        <v>761</v>
      </c>
      <c r="U201" s="9">
        <f ca="1">IFERROR(OFFSET(ITEM_RES!$A$5,MATCH(BUILDING!T201,ITEM_RES!$J$5:$J$228,0)-1,0),0)</f>
        <v>0</v>
      </c>
      <c r="X201" s="9">
        <f ca="1">IFERROR(OFFSET(ITEM_RES!$A$5,MATCH(BUILDING!W201,ITEM_RES!$J$5:$J$228,0)-1,0),0)</f>
        <v>0</v>
      </c>
      <c r="Z201" s="9" t="s">
        <v>546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407</v>
      </c>
      <c r="AR201" s="11">
        <v>4250</v>
      </c>
      <c r="AU201" s="11">
        <f ca="1">IFERROR(OFFSET(ITEM_RES!$A$1,MATCH(AV201,ITEM_RES!$J:$J,0)-1,0),0)</f>
        <v>211020901</v>
      </c>
      <c r="AV201" s="10" t="s">
        <v>408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532</v>
      </c>
      <c r="L202" s="9">
        <v>0</v>
      </c>
      <c r="M202" s="9">
        <v>15</v>
      </c>
      <c r="R202" s="9" t="s">
        <v>761</v>
      </c>
      <c r="U202" s="9">
        <f ca="1">IFERROR(OFFSET(ITEM_RES!$A$5,MATCH(BUILDING!T202,ITEM_RES!$J$5:$J$228,0)-1,0),0)</f>
        <v>0</v>
      </c>
      <c r="X202" s="9">
        <f ca="1">IFERROR(OFFSET(ITEM_RES!$A$5,MATCH(BUILDING!W202,ITEM_RES!$J$5:$J$228,0)-1,0),0)</f>
        <v>0</v>
      </c>
      <c r="Z202" s="9" t="s">
        <v>546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407</v>
      </c>
      <c r="AR202" s="11">
        <v>5250</v>
      </c>
      <c r="AU202" s="11">
        <f ca="1">IFERROR(OFFSET(ITEM_RES!$A$1,MATCH(AV202,ITEM_RES!$J:$J,0)-1,0),0)</f>
        <v>211020901</v>
      </c>
      <c r="AV202" s="10" t="s">
        <v>408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532</v>
      </c>
      <c r="L203" s="9">
        <v>0</v>
      </c>
      <c r="M203" s="9">
        <v>15</v>
      </c>
      <c r="R203" s="9" t="s">
        <v>761</v>
      </c>
      <c r="U203" s="9">
        <f ca="1">IFERROR(OFFSET(ITEM_RES!$A$5,MATCH(BUILDING!T203,ITEM_RES!$J$5:$J$228,0)-1,0),0)</f>
        <v>0</v>
      </c>
      <c r="X203" s="9">
        <f ca="1">IFERROR(OFFSET(ITEM_RES!$A$5,MATCH(BUILDING!W203,ITEM_RES!$J$5:$J$228,0)-1,0),0)</f>
        <v>0</v>
      </c>
      <c r="Z203" s="9" t="s">
        <v>546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408</v>
      </c>
      <c r="AR203" s="11">
        <v>6250</v>
      </c>
      <c r="AU203" s="11">
        <f ca="1">IFERROR(OFFSET(ITEM_RES!$A$1,MATCH(AV203,ITEM_RES!$J:$J,0)-1,0),0)</f>
        <v>211020501</v>
      </c>
      <c r="AV203" s="10" t="s">
        <v>442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532</v>
      </c>
      <c r="L204" s="9">
        <v>0</v>
      </c>
      <c r="M204" s="9">
        <v>15</v>
      </c>
      <c r="R204" s="9" t="s">
        <v>761</v>
      </c>
      <c r="U204" s="9">
        <f ca="1">IFERROR(OFFSET(ITEM_RES!$A$5,MATCH(BUILDING!T204,ITEM_RES!$J$5:$J$228,0)-1,0),0)</f>
        <v>0</v>
      </c>
      <c r="X204" s="9">
        <f ca="1">IFERROR(OFFSET(ITEM_RES!$A$5,MATCH(BUILDING!W204,ITEM_RES!$J$5:$J$228,0)-1,0),0)</f>
        <v>0</v>
      </c>
      <c r="Z204" s="9" t="s">
        <v>546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533</v>
      </c>
      <c r="AR204" s="11">
        <v>7500</v>
      </c>
      <c r="AU204" s="11">
        <f ca="1">IFERROR(OFFSET(ITEM_RES!$A$1,MATCH(AV204,ITEM_RES!$J:$J,0)-1,0),0)</f>
        <v>211020501</v>
      </c>
      <c r="AV204" s="10" t="s">
        <v>442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600</v>
      </c>
      <c r="L205" s="16">
        <v>1</v>
      </c>
      <c r="M205" s="16">
        <v>15</v>
      </c>
      <c r="N205" s="16"/>
      <c r="O205" s="17"/>
      <c r="P205" s="17"/>
      <c r="Q205" s="18"/>
      <c r="R205" s="16" t="s">
        <v>762</v>
      </c>
      <c r="S205" s="79"/>
      <c r="T205" s="87"/>
      <c r="U205" s="16">
        <f ca="1">IFERROR(OFFSET(ITEM_RES!$A$5,MATCH(BUILDING!T205,ITEM_RES!$J$5:$J$228,0)-1,0),0)</f>
        <v>0</v>
      </c>
      <c r="V205" s="18"/>
      <c r="W205" s="87"/>
      <c r="X205" s="16">
        <f ca="1">IFERROR(OFFSET(ITEM_RES!$A$5,MATCH(BUILDING!W205,ITEM_RES!$J$5:$J$228,0)-1,0),0)</f>
        <v>0</v>
      </c>
      <c r="Y205" s="79"/>
      <c r="Z205" s="16" t="s">
        <v>601</v>
      </c>
      <c r="AA205" s="16">
        <v>1</v>
      </c>
      <c r="AB205" s="79"/>
      <c r="AC205" s="16">
        <v>0</v>
      </c>
      <c r="AD205" s="79"/>
      <c r="AE205" s="57">
        <f t="shared" ref="AE205:AE224" si="89">AK205*10+AM205+AR205+AW205+500*BB205+500*BG205+500*BL205</f>
        <v>580</v>
      </c>
      <c r="AF205" s="17">
        <f>AE205</f>
        <v>580</v>
      </c>
      <c r="AG205" s="79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407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213010101</v>
      </c>
      <c r="BA205" s="17" t="s">
        <v>410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600</v>
      </c>
      <c r="L206" s="9">
        <v>1</v>
      </c>
      <c r="M206" s="9">
        <v>15</v>
      </c>
      <c r="N206" s="84"/>
      <c r="R206" s="9" t="s">
        <v>762</v>
      </c>
      <c r="U206" s="9">
        <f ca="1">IFERROR(OFFSET(ITEM_RES!$A$5,MATCH(BUILDING!T206,ITEM_RES!$J$5:$J$228,0)-1,0),0)</f>
        <v>0</v>
      </c>
      <c r="X206" s="9">
        <f ca="1">IFERROR(OFFSET(ITEM_RES!$A$5,MATCH(BUILDING!W206,ITEM_RES!$J$5:$J$228,0)-1,0),0)</f>
        <v>0</v>
      </c>
      <c r="Z206" s="9" t="s">
        <v>601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407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600</v>
      </c>
      <c r="L207" s="9">
        <v>1</v>
      </c>
      <c r="M207" s="9">
        <v>15</v>
      </c>
      <c r="R207" s="9" t="s">
        <v>762</v>
      </c>
      <c r="U207" s="9">
        <f ca="1">IFERROR(OFFSET(ITEM_RES!$A$5,MATCH(BUILDING!T207,ITEM_RES!$J$5:$J$228,0)-1,0),0)</f>
        <v>0</v>
      </c>
      <c r="X207" s="9">
        <f ca="1">IFERROR(OFFSET(ITEM_RES!$A$5,MATCH(BUILDING!W207,ITEM_RES!$J$5:$J$228,0)-1,0),0)</f>
        <v>0</v>
      </c>
      <c r="Z207" s="9" t="s">
        <v>601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407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600</v>
      </c>
      <c r="L208" s="9">
        <v>1</v>
      </c>
      <c r="M208" s="9">
        <v>15</v>
      </c>
      <c r="R208" s="9" t="s">
        <v>762</v>
      </c>
      <c r="U208" s="9">
        <f ca="1">IFERROR(OFFSET(ITEM_RES!$A$5,MATCH(BUILDING!T208,ITEM_RES!$J$5:$J$228,0)-1,0),0)</f>
        <v>0</v>
      </c>
      <c r="X208" s="9">
        <f ca="1">IFERROR(OFFSET(ITEM_RES!$A$5,MATCH(BUILDING!W208,ITEM_RES!$J$5:$J$228,0)-1,0),0)</f>
        <v>0</v>
      </c>
      <c r="Z208" s="9" t="s">
        <v>601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407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600</v>
      </c>
      <c r="L209" s="9">
        <v>1</v>
      </c>
      <c r="M209" s="9">
        <v>15</v>
      </c>
      <c r="R209" s="9" t="s">
        <v>762</v>
      </c>
      <c r="U209" s="9">
        <f ca="1">IFERROR(OFFSET(ITEM_RES!$A$5,MATCH(BUILDING!T209,ITEM_RES!$J$5:$J$228,0)-1,0),0)</f>
        <v>0</v>
      </c>
      <c r="X209" s="9">
        <f ca="1">IFERROR(OFFSET(ITEM_RES!$A$5,MATCH(BUILDING!W209,ITEM_RES!$J$5:$J$228,0)-1,0),0)</f>
        <v>0</v>
      </c>
      <c r="Z209" s="9" t="s">
        <v>601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407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600</v>
      </c>
      <c r="L210" s="9">
        <v>1</v>
      </c>
      <c r="M210" s="9">
        <v>15</v>
      </c>
      <c r="R210" s="9" t="s">
        <v>762</v>
      </c>
      <c r="U210" s="9">
        <f ca="1">IFERROR(OFFSET(ITEM_RES!$A$5,MATCH(BUILDING!T210,ITEM_RES!$J$5:$J$228,0)-1,0),0)</f>
        <v>0</v>
      </c>
      <c r="X210" s="9">
        <f ca="1">IFERROR(OFFSET(ITEM_RES!$A$5,MATCH(BUILDING!W210,ITEM_RES!$J$5:$J$228,0)-1,0),0)</f>
        <v>0</v>
      </c>
      <c r="Z210" s="9" t="s">
        <v>601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407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600</v>
      </c>
      <c r="L211" s="9">
        <v>1</v>
      </c>
      <c r="M211" s="9">
        <v>15</v>
      </c>
      <c r="R211" s="9" t="s">
        <v>762</v>
      </c>
      <c r="U211" s="9">
        <f ca="1">IFERROR(OFFSET(ITEM_RES!$A$5,MATCH(BUILDING!T211,ITEM_RES!$J$5:$J$228,0)-1,0),0)</f>
        <v>0</v>
      </c>
      <c r="X211" s="9">
        <f ca="1">IFERROR(OFFSET(ITEM_RES!$A$5,MATCH(BUILDING!W211,ITEM_RES!$J$5:$J$228,0)-1,0),0)</f>
        <v>0</v>
      </c>
      <c r="Z211" s="9" t="s">
        <v>601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407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600</v>
      </c>
      <c r="L212" s="9">
        <v>1</v>
      </c>
      <c r="M212" s="9">
        <v>15</v>
      </c>
      <c r="R212" s="9" t="s">
        <v>762</v>
      </c>
      <c r="U212" s="9">
        <f ca="1">IFERROR(OFFSET(ITEM_RES!$A$5,MATCH(BUILDING!T212,ITEM_RES!$J$5:$J$228,0)-1,0),0)</f>
        <v>0</v>
      </c>
      <c r="X212" s="9">
        <f ca="1">IFERROR(OFFSET(ITEM_RES!$A$5,MATCH(BUILDING!W212,ITEM_RES!$J$5:$J$228,0)-1,0),0)</f>
        <v>0</v>
      </c>
      <c r="Z212" s="9" t="s">
        <v>601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407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600</v>
      </c>
      <c r="L213" s="9">
        <v>1</v>
      </c>
      <c r="M213" s="9">
        <v>15</v>
      </c>
      <c r="R213" s="9" t="s">
        <v>762</v>
      </c>
      <c r="U213" s="9">
        <f ca="1">IFERROR(OFFSET(ITEM_RES!$A$5,MATCH(BUILDING!T213,ITEM_RES!$J$5:$J$228,0)-1,0),0)</f>
        <v>0</v>
      </c>
      <c r="X213" s="9">
        <f ca="1">IFERROR(OFFSET(ITEM_RES!$A$5,MATCH(BUILDING!W213,ITEM_RES!$J$5:$J$228,0)-1,0),0)</f>
        <v>0</v>
      </c>
      <c r="Z213" s="9" t="s">
        <v>601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407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600</v>
      </c>
      <c r="L214" s="9">
        <v>1</v>
      </c>
      <c r="M214" s="9">
        <v>15</v>
      </c>
      <c r="R214" s="9" t="s">
        <v>762</v>
      </c>
      <c r="U214" s="9">
        <f ca="1">IFERROR(OFFSET(ITEM_RES!$A$5,MATCH(BUILDING!T214,ITEM_RES!$J$5:$J$228,0)-1,0),0)</f>
        <v>0</v>
      </c>
      <c r="X214" s="9">
        <f ca="1">IFERROR(OFFSET(ITEM_RES!$A$5,MATCH(BUILDING!W214,ITEM_RES!$J$5:$J$228,0)-1,0),0)</f>
        <v>0</v>
      </c>
      <c r="Z214" s="9" t="s">
        <v>601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407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213010801</v>
      </c>
      <c r="BF214" s="10" t="s">
        <v>488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600</v>
      </c>
      <c r="L215" s="9">
        <v>1</v>
      </c>
      <c r="M215" s="9">
        <v>15</v>
      </c>
      <c r="R215" s="9" t="s">
        <v>762</v>
      </c>
      <c r="U215" s="9">
        <f ca="1">IFERROR(OFFSET(ITEM_RES!$A$5,MATCH(BUILDING!T215,ITEM_RES!$J$5:$J$228,0)-1,0),0)</f>
        <v>0</v>
      </c>
      <c r="X215" s="9">
        <f ca="1">IFERROR(OFFSET(ITEM_RES!$A$5,MATCH(BUILDING!W215,ITEM_RES!$J$5:$J$228,0)-1,0),0)</f>
        <v>0</v>
      </c>
      <c r="Z215" s="9" t="s">
        <v>601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407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600</v>
      </c>
      <c r="L216" s="9">
        <v>1</v>
      </c>
      <c r="M216" s="9">
        <v>15</v>
      </c>
      <c r="R216" s="9" t="s">
        <v>762</v>
      </c>
      <c r="U216" s="9">
        <f ca="1">IFERROR(OFFSET(ITEM_RES!$A$5,MATCH(BUILDING!T216,ITEM_RES!$J$5:$J$228,0)-1,0),0)</f>
        <v>0</v>
      </c>
      <c r="X216" s="9">
        <f ca="1">IFERROR(OFFSET(ITEM_RES!$A$5,MATCH(BUILDING!W216,ITEM_RES!$J$5:$J$228,0)-1,0),0)</f>
        <v>0</v>
      </c>
      <c r="Z216" s="9" t="s">
        <v>601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407</v>
      </c>
      <c r="AR216" s="11">
        <v>1500</v>
      </c>
      <c r="AU216" s="11">
        <f ca="1">IFERROR(OFFSET(ITEM_RES!$A$1,MATCH(AV216,ITEM_RES!$J:$J,0)-1,0),0)</f>
        <v>211020901</v>
      </c>
      <c r="AV216" s="10" t="s">
        <v>408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600</v>
      </c>
      <c r="L217" s="9">
        <v>1</v>
      </c>
      <c r="M217" s="9">
        <v>15</v>
      </c>
      <c r="R217" s="9" t="s">
        <v>762</v>
      </c>
      <c r="U217" s="9">
        <f ca="1">IFERROR(OFFSET(ITEM_RES!$A$5,MATCH(BUILDING!T217,ITEM_RES!$J$5:$J$228,0)-1,0),0)</f>
        <v>0</v>
      </c>
      <c r="X217" s="9">
        <f ca="1">IFERROR(OFFSET(ITEM_RES!$A$5,MATCH(BUILDING!W217,ITEM_RES!$J$5:$J$228,0)-1,0),0)</f>
        <v>0</v>
      </c>
      <c r="Z217" s="9" t="s">
        <v>601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407</v>
      </c>
      <c r="AR217" s="11">
        <v>1750</v>
      </c>
      <c r="AU217" s="11">
        <f ca="1">IFERROR(OFFSET(ITEM_RES!$A$1,MATCH(AV217,ITEM_RES!$J:$J,0)-1,0),0)</f>
        <v>211020901</v>
      </c>
      <c r="AV217" s="10" t="s">
        <v>408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600</v>
      </c>
      <c r="L218" s="9">
        <v>1</v>
      </c>
      <c r="M218" s="9">
        <v>15</v>
      </c>
      <c r="R218" s="9" t="s">
        <v>762</v>
      </c>
      <c r="U218" s="9">
        <f ca="1">IFERROR(OFFSET(ITEM_RES!$A$5,MATCH(BUILDING!T218,ITEM_RES!$J$5:$J$228,0)-1,0),0)</f>
        <v>0</v>
      </c>
      <c r="X218" s="9">
        <f ca="1">IFERROR(OFFSET(ITEM_RES!$A$5,MATCH(BUILDING!W218,ITEM_RES!$J$5:$J$228,0)-1,0),0)</f>
        <v>0</v>
      </c>
      <c r="Z218" s="9" t="s">
        <v>601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407</v>
      </c>
      <c r="AR218" s="11">
        <v>2250</v>
      </c>
      <c r="AU218" s="11">
        <f ca="1">IFERROR(OFFSET(ITEM_RES!$A$1,MATCH(AV218,ITEM_RES!$J:$J,0)-1,0),0)</f>
        <v>211020901</v>
      </c>
      <c r="AV218" s="10" t="s">
        <v>408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600</v>
      </c>
      <c r="L219" s="9">
        <v>1</v>
      </c>
      <c r="M219" s="9">
        <v>15</v>
      </c>
      <c r="R219" s="9" t="s">
        <v>762</v>
      </c>
      <c r="U219" s="9">
        <f ca="1">IFERROR(OFFSET(ITEM_RES!$A$5,MATCH(BUILDING!T219,ITEM_RES!$J$5:$J$228,0)-1,0),0)</f>
        <v>0</v>
      </c>
      <c r="X219" s="9">
        <f ca="1">IFERROR(OFFSET(ITEM_RES!$A$5,MATCH(BUILDING!W219,ITEM_RES!$J$5:$J$228,0)-1,0),0)</f>
        <v>0</v>
      </c>
      <c r="Z219" s="9" t="s">
        <v>601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407</v>
      </c>
      <c r="AR219" s="11">
        <v>2750</v>
      </c>
      <c r="AU219" s="11">
        <f ca="1">IFERROR(OFFSET(ITEM_RES!$A$1,MATCH(AV219,ITEM_RES!$J:$J,0)-1,0),0)</f>
        <v>211020901</v>
      </c>
      <c r="AV219" s="10" t="s">
        <v>408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600</v>
      </c>
      <c r="L220" s="9">
        <v>0</v>
      </c>
      <c r="M220" s="9">
        <v>15</v>
      </c>
      <c r="R220" s="9" t="s">
        <v>762</v>
      </c>
      <c r="U220" s="9">
        <f ca="1">IFERROR(OFFSET(ITEM_RES!$A$5,MATCH(BUILDING!T220,ITEM_RES!$J$5:$J$228,0)-1,0),0)</f>
        <v>0</v>
      </c>
      <c r="X220" s="9">
        <f ca="1">IFERROR(OFFSET(ITEM_RES!$A$5,MATCH(BUILDING!W220,ITEM_RES!$J$5:$J$228,0)-1,0),0)</f>
        <v>0</v>
      </c>
      <c r="Z220" s="9" t="s">
        <v>601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407</v>
      </c>
      <c r="AR220" s="11">
        <v>3500</v>
      </c>
      <c r="AU220" s="11">
        <f ca="1">IFERROR(OFFSET(ITEM_RES!$A$1,MATCH(AV220,ITEM_RES!$J:$J,0)-1,0),0)</f>
        <v>211020901</v>
      </c>
      <c r="AV220" s="10" t="s">
        <v>408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600</v>
      </c>
      <c r="L221" s="9">
        <v>0</v>
      </c>
      <c r="M221" s="9">
        <v>15</v>
      </c>
      <c r="R221" s="9" t="s">
        <v>762</v>
      </c>
      <c r="U221" s="9">
        <f ca="1">IFERROR(OFFSET(ITEM_RES!$A$5,MATCH(BUILDING!T221,ITEM_RES!$J$5:$J$228,0)-1,0),0)</f>
        <v>0</v>
      </c>
      <c r="X221" s="9">
        <f ca="1">IFERROR(OFFSET(ITEM_RES!$A$5,MATCH(BUILDING!W221,ITEM_RES!$J$5:$J$228,0)-1,0),0)</f>
        <v>0</v>
      </c>
      <c r="Z221" s="9" t="s">
        <v>601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407</v>
      </c>
      <c r="AR221" s="11">
        <v>4250</v>
      </c>
      <c r="AU221" s="11">
        <f ca="1">IFERROR(OFFSET(ITEM_RES!$A$1,MATCH(AV221,ITEM_RES!$J:$J,0)-1,0),0)</f>
        <v>211020901</v>
      </c>
      <c r="AV221" s="10" t="s">
        <v>408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600</v>
      </c>
      <c r="L222" s="9">
        <v>0</v>
      </c>
      <c r="M222" s="9">
        <v>15</v>
      </c>
      <c r="R222" s="9" t="s">
        <v>762</v>
      </c>
      <c r="U222" s="9">
        <f ca="1">IFERROR(OFFSET(ITEM_RES!$A$5,MATCH(BUILDING!T222,ITEM_RES!$J$5:$J$228,0)-1,0),0)</f>
        <v>0</v>
      </c>
      <c r="X222" s="9">
        <f ca="1">IFERROR(OFFSET(ITEM_RES!$A$5,MATCH(BUILDING!W222,ITEM_RES!$J$5:$J$228,0)-1,0),0)</f>
        <v>0</v>
      </c>
      <c r="Z222" s="9" t="s">
        <v>601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407</v>
      </c>
      <c r="AR222" s="11">
        <v>5250</v>
      </c>
      <c r="AU222" s="11">
        <f ca="1">IFERROR(OFFSET(ITEM_RES!$A$1,MATCH(AV222,ITEM_RES!$J:$J,0)-1,0),0)</f>
        <v>211020901</v>
      </c>
      <c r="AV222" s="10" t="s">
        <v>408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600</v>
      </c>
      <c r="L223" s="9">
        <v>0</v>
      </c>
      <c r="M223" s="9">
        <v>15</v>
      </c>
      <c r="R223" s="9" t="s">
        <v>762</v>
      </c>
      <c r="U223" s="9">
        <f ca="1">IFERROR(OFFSET(ITEM_RES!$A$5,MATCH(BUILDING!T223,ITEM_RES!$J$5:$J$228,0)-1,0),0)</f>
        <v>0</v>
      </c>
      <c r="X223" s="9">
        <f ca="1">IFERROR(OFFSET(ITEM_RES!$A$5,MATCH(BUILDING!W223,ITEM_RES!$J$5:$J$228,0)-1,0),0)</f>
        <v>0</v>
      </c>
      <c r="Z223" s="9" t="s">
        <v>601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408</v>
      </c>
      <c r="AR223" s="11">
        <v>6250</v>
      </c>
      <c r="AU223" s="11">
        <f ca="1">IFERROR(OFFSET(ITEM_RES!$A$1,MATCH(AV223,ITEM_RES!$J:$J,0)-1,0),0)</f>
        <v>211020501</v>
      </c>
      <c r="AV223" s="10" t="s">
        <v>442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600</v>
      </c>
      <c r="L224" s="9">
        <v>0</v>
      </c>
      <c r="M224" s="9">
        <v>15</v>
      </c>
      <c r="R224" s="9" t="s">
        <v>762</v>
      </c>
      <c r="U224" s="9">
        <f ca="1">IFERROR(OFFSET(ITEM_RES!$A$5,MATCH(BUILDING!T224,ITEM_RES!$J$5:$J$228,0)-1,0),0)</f>
        <v>0</v>
      </c>
      <c r="X224" s="9">
        <f ca="1">IFERROR(OFFSET(ITEM_RES!$A$5,MATCH(BUILDING!W224,ITEM_RES!$J$5:$J$228,0)-1,0),0)</f>
        <v>0</v>
      </c>
      <c r="Z224" s="9" t="s">
        <v>601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408</v>
      </c>
      <c r="AR224" s="11">
        <v>7500</v>
      </c>
      <c r="AU224" s="11">
        <f ca="1">IFERROR(OFFSET(ITEM_RES!$A$1,MATCH(AV224,ITEM_RES!$J:$J,0)-1,0),0)</f>
        <v>211020501</v>
      </c>
      <c r="AV224" s="10" t="s">
        <v>442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378</v>
      </c>
      <c r="L225" s="16">
        <v>1</v>
      </c>
      <c r="M225" s="16">
        <v>15</v>
      </c>
      <c r="N225" s="16" t="s">
        <v>843</v>
      </c>
      <c r="O225" s="17"/>
      <c r="P225" s="17"/>
      <c r="Q225" s="18"/>
      <c r="R225" s="16" t="s">
        <v>763</v>
      </c>
      <c r="S225" s="79"/>
      <c r="T225" s="87"/>
      <c r="U225" s="16">
        <f ca="1">IFERROR(OFFSET(ITEM_RES!$A$5,MATCH(BUILDING!T225,ITEM_RES!$J$5:$J$228,0)-1,0),0)</f>
        <v>0</v>
      </c>
      <c r="V225" s="18"/>
      <c r="W225" s="87"/>
      <c r="X225" s="16">
        <f ca="1">IFERROR(OFFSET(ITEM_RES!$A$5,MATCH(BUILDING!W225,ITEM_RES!$J$5:$J$228,0)-1,0),0)</f>
        <v>0</v>
      </c>
      <c r="Y225" s="79"/>
      <c r="Z225" s="16" t="s">
        <v>547</v>
      </c>
      <c r="AA225" s="16">
        <v>1</v>
      </c>
      <c r="AB225" s="79"/>
      <c r="AC225" s="16">
        <v>0</v>
      </c>
      <c r="AD225" s="79"/>
      <c r="AE225" s="57">
        <f t="shared" si="67"/>
        <v>605</v>
      </c>
      <c r="AF225" s="17">
        <f>AE225</f>
        <v>605</v>
      </c>
      <c r="AG225" s="79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455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441</v>
      </c>
      <c r="AW225" s="18">
        <v>25</v>
      </c>
      <c r="AX225" s="17"/>
      <c r="AY225" s="18"/>
      <c r="AZ225" s="18">
        <f ca="1">IFERROR(OFFSET(ITEM_RES!$A$1,MATCH(BA225,ITEM_RES!$J:$J,0)-1,0),0)</f>
        <v>213010101</v>
      </c>
      <c r="BA225" s="17" t="s">
        <v>478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378</v>
      </c>
      <c r="L226" s="9">
        <v>1</v>
      </c>
      <c r="M226" s="9">
        <v>15</v>
      </c>
      <c r="N226" s="9" t="s">
        <v>843</v>
      </c>
      <c r="R226" s="9" t="s">
        <v>763</v>
      </c>
      <c r="U226" s="9">
        <f ca="1">IFERROR(OFFSET(ITEM_RES!$A$5,MATCH(BUILDING!T226,ITEM_RES!$J$5:$J$228,0)-1,0),0)</f>
        <v>0</v>
      </c>
      <c r="X226" s="9">
        <f ca="1">IFERROR(OFFSET(ITEM_RES!$A$5,MATCH(BUILDING!W226,ITEM_RES!$J$5:$J$228,0)-1,0),0)</f>
        <v>0</v>
      </c>
      <c r="Z226" s="9" t="s">
        <v>547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455</v>
      </c>
      <c r="AR226" s="11">
        <v>50</v>
      </c>
      <c r="AU226" s="11">
        <f ca="1">IFERROR(OFFSET(ITEM_RES!$A$1,MATCH(AV226,ITEM_RES!$J:$J,0)-1,0),0)</f>
        <v>211020401</v>
      </c>
      <c r="AV226" s="10" t="s">
        <v>441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378</v>
      </c>
      <c r="L227" s="9">
        <v>1</v>
      </c>
      <c r="M227" s="9">
        <v>15</v>
      </c>
      <c r="N227" s="9" t="s">
        <v>843</v>
      </c>
      <c r="R227" s="9" t="s">
        <v>763</v>
      </c>
      <c r="U227" s="9">
        <f ca="1">IFERROR(OFFSET(ITEM_RES!$A$5,MATCH(BUILDING!T227,ITEM_RES!$J$5:$J$228,0)-1,0),0)</f>
        <v>0</v>
      </c>
      <c r="X227" s="9">
        <f ca="1">IFERROR(OFFSET(ITEM_RES!$A$5,MATCH(BUILDING!W227,ITEM_RES!$J$5:$J$228,0)-1,0),0)</f>
        <v>0</v>
      </c>
      <c r="Z227" s="9" t="s">
        <v>547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455</v>
      </c>
      <c r="AR227" s="11">
        <v>75</v>
      </c>
      <c r="AU227" s="11">
        <f ca="1">IFERROR(OFFSET(ITEM_RES!$A$1,MATCH(AV227,ITEM_RES!$J:$J,0)-1,0),0)</f>
        <v>211020401</v>
      </c>
      <c r="AV227" s="10" t="s">
        <v>441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378</v>
      </c>
      <c r="L228" s="9">
        <v>1</v>
      </c>
      <c r="M228" s="9">
        <v>15</v>
      </c>
      <c r="N228" s="9" t="s">
        <v>843</v>
      </c>
      <c r="R228" s="9" t="s">
        <v>763</v>
      </c>
      <c r="U228" s="9">
        <f ca="1">IFERROR(OFFSET(ITEM_RES!$A$5,MATCH(BUILDING!T228,ITEM_RES!$J$5:$J$228,0)-1,0),0)</f>
        <v>0</v>
      </c>
      <c r="X228" s="9">
        <f ca="1">IFERROR(OFFSET(ITEM_RES!$A$5,MATCH(BUILDING!W228,ITEM_RES!$J$5:$J$228,0)-1,0),0)</f>
        <v>0</v>
      </c>
      <c r="Z228" s="9" t="s">
        <v>547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455</v>
      </c>
      <c r="AR228" s="11">
        <v>125</v>
      </c>
      <c r="AU228" s="11">
        <f ca="1">IFERROR(OFFSET(ITEM_RES!$A$1,MATCH(AV228,ITEM_RES!$J:$J,0)-1,0),0)</f>
        <v>211020401</v>
      </c>
      <c r="AV228" s="10" t="s">
        <v>441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378</v>
      </c>
      <c r="L229" s="9">
        <v>1</v>
      </c>
      <c r="M229" s="9">
        <v>15</v>
      </c>
      <c r="N229" s="9" t="s">
        <v>843</v>
      </c>
      <c r="R229" s="9" t="s">
        <v>763</v>
      </c>
      <c r="U229" s="9">
        <f ca="1">IFERROR(OFFSET(ITEM_RES!$A$5,MATCH(BUILDING!T229,ITEM_RES!$J$5:$J$228,0)-1,0),0)</f>
        <v>0</v>
      </c>
      <c r="X229" s="9">
        <f ca="1">IFERROR(OFFSET(ITEM_RES!$A$5,MATCH(BUILDING!W229,ITEM_RES!$J$5:$J$228,0)-1,0),0)</f>
        <v>0</v>
      </c>
      <c r="Z229" s="9" t="s">
        <v>547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455</v>
      </c>
      <c r="AR229" s="11">
        <v>200</v>
      </c>
      <c r="AU229" s="11">
        <f ca="1">IFERROR(OFFSET(ITEM_RES!$A$1,MATCH(AV229,ITEM_RES!$J:$J,0)-1,0),0)</f>
        <v>211020401</v>
      </c>
      <c r="AV229" s="10" t="s">
        <v>441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378</v>
      </c>
      <c r="L230" s="9">
        <v>1</v>
      </c>
      <c r="M230" s="9">
        <v>15</v>
      </c>
      <c r="N230" s="9" t="s">
        <v>843</v>
      </c>
      <c r="R230" s="9" t="s">
        <v>763</v>
      </c>
      <c r="U230" s="9">
        <f ca="1">IFERROR(OFFSET(ITEM_RES!$A$5,MATCH(BUILDING!T230,ITEM_RES!$J$5:$J$228,0)-1,0),0)</f>
        <v>0</v>
      </c>
      <c r="X230" s="9">
        <f ca="1">IFERROR(OFFSET(ITEM_RES!$A$5,MATCH(BUILDING!W230,ITEM_RES!$J$5:$J$228,0)-1,0),0)</f>
        <v>0</v>
      </c>
      <c r="Z230" s="9" t="s">
        <v>547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455</v>
      </c>
      <c r="AR230" s="11">
        <v>250</v>
      </c>
      <c r="AU230" s="11">
        <f ca="1">IFERROR(OFFSET(ITEM_RES!$A$1,MATCH(AV230,ITEM_RES!$J:$J,0)-1,0),0)</f>
        <v>211020401</v>
      </c>
      <c r="AV230" s="10" t="s">
        <v>441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378</v>
      </c>
      <c r="L231" s="9">
        <v>1</v>
      </c>
      <c r="M231" s="9">
        <v>15</v>
      </c>
      <c r="N231" s="9" t="s">
        <v>843</v>
      </c>
      <c r="R231" s="9" t="s">
        <v>763</v>
      </c>
      <c r="U231" s="9">
        <f ca="1">IFERROR(OFFSET(ITEM_RES!$A$5,MATCH(BUILDING!T231,ITEM_RES!$J$5:$J$228,0)-1,0),0)</f>
        <v>0</v>
      </c>
      <c r="X231" s="9">
        <f ca="1">IFERROR(OFFSET(ITEM_RES!$A$5,MATCH(BUILDING!W231,ITEM_RES!$J$5:$J$228,0)-1,0),0)</f>
        <v>0</v>
      </c>
      <c r="Z231" s="9" t="s">
        <v>547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455</v>
      </c>
      <c r="AR231" s="11">
        <v>500</v>
      </c>
      <c r="AU231" s="11">
        <f ca="1">IFERROR(OFFSET(ITEM_RES!$A$1,MATCH(AV231,ITEM_RES!$J:$J,0)-1,0),0)</f>
        <v>211020401</v>
      </c>
      <c r="AV231" s="10" t="s">
        <v>441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378</v>
      </c>
      <c r="L232" s="9">
        <v>1</v>
      </c>
      <c r="M232" s="9">
        <v>15</v>
      </c>
      <c r="N232" s="9" t="s">
        <v>843</v>
      </c>
      <c r="R232" s="9" t="s">
        <v>763</v>
      </c>
      <c r="U232" s="9">
        <f ca="1">IFERROR(OFFSET(ITEM_RES!$A$5,MATCH(BUILDING!T232,ITEM_RES!$J$5:$J$228,0)-1,0),0)</f>
        <v>0</v>
      </c>
      <c r="X232" s="9">
        <f ca="1">IFERROR(OFFSET(ITEM_RES!$A$5,MATCH(BUILDING!W232,ITEM_RES!$J$5:$J$228,0)-1,0),0)</f>
        <v>0</v>
      </c>
      <c r="Z232" s="9" t="s">
        <v>547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455</v>
      </c>
      <c r="AR232" s="11">
        <v>500</v>
      </c>
      <c r="AU232" s="11">
        <f ca="1">IFERROR(OFFSET(ITEM_RES!$A$1,MATCH(AV232,ITEM_RES!$J:$J,0)-1,0),0)</f>
        <v>211020401</v>
      </c>
      <c r="AV232" s="10" t="s">
        <v>441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378</v>
      </c>
      <c r="L233" s="9">
        <v>1</v>
      </c>
      <c r="M233" s="9">
        <v>15</v>
      </c>
      <c r="N233" s="9" t="s">
        <v>843</v>
      </c>
      <c r="R233" s="9" t="s">
        <v>763</v>
      </c>
      <c r="U233" s="9">
        <f ca="1">IFERROR(OFFSET(ITEM_RES!$A$5,MATCH(BUILDING!T233,ITEM_RES!$J$5:$J$228,0)-1,0),0)</f>
        <v>0</v>
      </c>
      <c r="X233" s="9">
        <f ca="1">IFERROR(OFFSET(ITEM_RES!$A$5,MATCH(BUILDING!W233,ITEM_RES!$J$5:$J$228,0)-1,0),0)</f>
        <v>0</v>
      </c>
      <c r="Z233" s="9" t="s">
        <v>547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455</v>
      </c>
      <c r="AR233" s="11">
        <v>750</v>
      </c>
      <c r="AU233" s="11">
        <f ca="1">IFERROR(OFFSET(ITEM_RES!$A$1,MATCH(AV233,ITEM_RES!$J:$J,0)-1,0),0)</f>
        <v>211020401</v>
      </c>
      <c r="AV233" s="10" t="s">
        <v>441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378</v>
      </c>
      <c r="L234" s="9">
        <v>1</v>
      </c>
      <c r="M234" s="9">
        <v>15</v>
      </c>
      <c r="N234" s="9" t="s">
        <v>843</v>
      </c>
      <c r="R234" s="9" t="s">
        <v>763</v>
      </c>
      <c r="U234" s="9">
        <f ca="1">IFERROR(OFFSET(ITEM_RES!$A$5,MATCH(BUILDING!T234,ITEM_RES!$J$5:$J$228,0)-1,0),0)</f>
        <v>0</v>
      </c>
      <c r="X234" s="9">
        <f ca="1">IFERROR(OFFSET(ITEM_RES!$A$5,MATCH(BUILDING!W234,ITEM_RES!$J$5:$J$228,0)-1,0),0)</f>
        <v>0</v>
      </c>
      <c r="Z234" s="9" t="s">
        <v>547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455</v>
      </c>
      <c r="AR234" s="11">
        <v>1000</v>
      </c>
      <c r="AU234" s="11">
        <f ca="1">IFERROR(OFFSET(ITEM_RES!$A$1,MATCH(AV234,ITEM_RES!$J:$J,0)-1,0),0)</f>
        <v>211020401</v>
      </c>
      <c r="AV234" s="10" t="s">
        <v>441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213010901</v>
      </c>
      <c r="BF234" s="10" t="s">
        <v>534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378</v>
      </c>
      <c r="L235" s="9">
        <v>1</v>
      </c>
      <c r="M235" s="9">
        <v>15</v>
      </c>
      <c r="N235" s="9" t="s">
        <v>843</v>
      </c>
      <c r="R235" s="9" t="s">
        <v>763</v>
      </c>
      <c r="U235" s="9">
        <f ca="1">IFERROR(OFFSET(ITEM_RES!$A$5,MATCH(BUILDING!T235,ITEM_RES!$J$5:$J$228,0)-1,0),0)</f>
        <v>0</v>
      </c>
      <c r="X235" s="9">
        <f ca="1">IFERROR(OFFSET(ITEM_RES!$A$5,MATCH(BUILDING!W235,ITEM_RES!$J$5:$J$228,0)-1,0),0)</f>
        <v>0</v>
      </c>
      <c r="Z235" s="9" t="s">
        <v>547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468</v>
      </c>
      <c r="AR235" s="11">
        <v>1250</v>
      </c>
      <c r="AU235" s="11">
        <f ca="1">IFERROR(OFFSET(ITEM_RES!$A$1,MATCH(AV235,ITEM_RES!$J:$J,0)-1,0),0)</f>
        <v>211020401</v>
      </c>
      <c r="AV235" s="10" t="s">
        <v>441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378</v>
      </c>
      <c r="L236" s="9">
        <v>1</v>
      </c>
      <c r="M236" s="9">
        <v>15</v>
      </c>
      <c r="N236" s="9" t="s">
        <v>843</v>
      </c>
      <c r="R236" s="9" t="s">
        <v>764</v>
      </c>
      <c r="U236" s="9">
        <f ca="1">IFERROR(OFFSET(ITEM_RES!$A$5,MATCH(BUILDING!T236,ITEM_RES!$J$5:$J$228,0)-1,0),0)</f>
        <v>0</v>
      </c>
      <c r="X236" s="9">
        <f ca="1">IFERROR(OFFSET(ITEM_RES!$A$5,MATCH(BUILDING!W236,ITEM_RES!$J$5:$J$228,0)-1,0),0)</f>
        <v>0</v>
      </c>
      <c r="Z236" s="9" t="s">
        <v>547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468</v>
      </c>
      <c r="AR236" s="11">
        <v>1500</v>
      </c>
      <c r="AU236" s="11">
        <f ca="1">IFERROR(OFFSET(ITEM_RES!$A$1,MATCH(AV236,ITEM_RES!$J:$J,0)-1,0),0)</f>
        <v>211020401</v>
      </c>
      <c r="AV236" s="10" t="s">
        <v>441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378</v>
      </c>
      <c r="L237" s="9">
        <v>1</v>
      </c>
      <c r="M237" s="9">
        <v>15</v>
      </c>
      <c r="N237" s="9" t="s">
        <v>843</v>
      </c>
      <c r="R237" s="9" t="s">
        <v>764</v>
      </c>
      <c r="U237" s="9">
        <f ca="1">IFERROR(OFFSET(ITEM_RES!$A$5,MATCH(BUILDING!T237,ITEM_RES!$J$5:$J$228,0)-1,0),0)</f>
        <v>0</v>
      </c>
      <c r="X237" s="9">
        <f ca="1">IFERROR(OFFSET(ITEM_RES!$A$5,MATCH(BUILDING!W237,ITEM_RES!$J$5:$J$228,0)-1,0),0)</f>
        <v>0</v>
      </c>
      <c r="Z237" s="9" t="s">
        <v>547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468</v>
      </c>
      <c r="AR237" s="11">
        <v>1750</v>
      </c>
      <c r="AU237" s="11">
        <f ca="1">IFERROR(OFFSET(ITEM_RES!$A$1,MATCH(AV237,ITEM_RES!$J:$J,0)-1,0),0)</f>
        <v>211020401</v>
      </c>
      <c r="AV237" s="10" t="s">
        <v>441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378</v>
      </c>
      <c r="L238" s="9">
        <v>1</v>
      </c>
      <c r="M238" s="9">
        <v>15</v>
      </c>
      <c r="N238" s="9" t="s">
        <v>843</v>
      </c>
      <c r="R238" s="9" t="s">
        <v>764</v>
      </c>
      <c r="U238" s="9">
        <f ca="1">IFERROR(OFFSET(ITEM_RES!$A$5,MATCH(BUILDING!T238,ITEM_RES!$J$5:$J$228,0)-1,0),0)</f>
        <v>0</v>
      </c>
      <c r="X238" s="9">
        <f ca="1">IFERROR(OFFSET(ITEM_RES!$A$5,MATCH(BUILDING!W238,ITEM_RES!$J$5:$J$228,0)-1,0),0)</f>
        <v>0</v>
      </c>
      <c r="Z238" s="9" t="s">
        <v>547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468</v>
      </c>
      <c r="AR238" s="11">
        <v>2250</v>
      </c>
      <c r="AU238" s="11">
        <f ca="1">IFERROR(OFFSET(ITEM_RES!$A$1,MATCH(AV238,ITEM_RES!$J:$J,0)-1,0),0)</f>
        <v>211020401</v>
      </c>
      <c r="AV238" s="10" t="s">
        <v>441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378</v>
      </c>
      <c r="L239" s="9">
        <v>1</v>
      </c>
      <c r="M239" s="9">
        <v>15</v>
      </c>
      <c r="N239" s="9" t="s">
        <v>843</v>
      </c>
      <c r="R239" s="9" t="s">
        <v>764</v>
      </c>
      <c r="U239" s="9">
        <f ca="1">IFERROR(OFFSET(ITEM_RES!$A$5,MATCH(BUILDING!T239,ITEM_RES!$J$5:$J$228,0)-1,0),0)</f>
        <v>0</v>
      </c>
      <c r="X239" s="9">
        <f ca="1">IFERROR(OFFSET(ITEM_RES!$A$5,MATCH(BUILDING!W239,ITEM_RES!$J$5:$J$228,0)-1,0),0)</f>
        <v>0</v>
      </c>
      <c r="Z239" s="9" t="s">
        <v>547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468</v>
      </c>
      <c r="AR239" s="11">
        <v>2750</v>
      </c>
      <c r="AU239" s="11">
        <f ca="1">IFERROR(OFFSET(ITEM_RES!$A$1,MATCH(AV239,ITEM_RES!$J:$J,0)-1,0),0)</f>
        <v>211020401</v>
      </c>
      <c r="AV239" s="10" t="s">
        <v>456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378</v>
      </c>
      <c r="L240" s="9">
        <v>0</v>
      </c>
      <c r="M240" s="9">
        <v>15</v>
      </c>
      <c r="N240" s="9" t="s">
        <v>843</v>
      </c>
      <c r="R240" s="9" t="s">
        <v>764</v>
      </c>
      <c r="U240" s="9">
        <f ca="1">IFERROR(OFFSET(ITEM_RES!$A$5,MATCH(BUILDING!T240,ITEM_RES!$J$5:$J$228,0)-1,0),0)</f>
        <v>0</v>
      </c>
      <c r="X240" s="9">
        <f ca="1">IFERROR(OFFSET(ITEM_RES!$A$5,MATCH(BUILDING!W240,ITEM_RES!$J$5:$J$228,0)-1,0),0)</f>
        <v>0</v>
      </c>
      <c r="Z240" s="9" t="s">
        <v>547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468</v>
      </c>
      <c r="AR240" s="11">
        <v>3500</v>
      </c>
      <c r="AU240" s="11">
        <f ca="1">IFERROR(OFFSET(ITEM_RES!$A$1,MATCH(AV240,ITEM_RES!$J:$J,0)-1,0),0)</f>
        <v>211020501</v>
      </c>
      <c r="AV240" s="10" t="s">
        <v>452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378</v>
      </c>
      <c r="L241" s="9">
        <v>0</v>
      </c>
      <c r="M241" s="9">
        <v>15</v>
      </c>
      <c r="N241" s="9" t="s">
        <v>843</v>
      </c>
      <c r="R241" s="9" t="s">
        <v>764</v>
      </c>
      <c r="U241" s="9">
        <f ca="1">IFERROR(OFFSET(ITEM_RES!$A$5,MATCH(BUILDING!T241,ITEM_RES!$J$5:$J$228,0)-1,0),0)</f>
        <v>0</v>
      </c>
      <c r="X241" s="9">
        <f ca="1">IFERROR(OFFSET(ITEM_RES!$A$5,MATCH(BUILDING!W241,ITEM_RES!$J$5:$J$228,0)-1,0),0)</f>
        <v>0</v>
      </c>
      <c r="Z241" s="9" t="s">
        <v>547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468</v>
      </c>
      <c r="AR241" s="11">
        <v>4250</v>
      </c>
      <c r="AU241" s="11">
        <f ca="1">IFERROR(OFFSET(ITEM_RES!$A$1,MATCH(AV241,ITEM_RES!$J:$J,0)-1,0),0)</f>
        <v>211020501</v>
      </c>
      <c r="AV241" s="10" t="s">
        <v>442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378</v>
      </c>
      <c r="L242" s="9">
        <v>0</v>
      </c>
      <c r="M242" s="9">
        <v>15</v>
      </c>
      <c r="N242" s="9" t="s">
        <v>843</v>
      </c>
      <c r="R242" s="9" t="s">
        <v>764</v>
      </c>
      <c r="U242" s="9">
        <f ca="1">IFERROR(OFFSET(ITEM_RES!$A$5,MATCH(BUILDING!T242,ITEM_RES!$J$5:$J$228,0)-1,0),0)</f>
        <v>0</v>
      </c>
      <c r="X242" s="9">
        <f ca="1">IFERROR(OFFSET(ITEM_RES!$A$5,MATCH(BUILDING!W242,ITEM_RES!$J$5:$J$228,0)-1,0),0)</f>
        <v>0</v>
      </c>
      <c r="Z242" s="9" t="s">
        <v>547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468</v>
      </c>
      <c r="AR242" s="11">
        <v>5250</v>
      </c>
      <c r="AU242" s="11">
        <f ca="1">IFERROR(OFFSET(ITEM_RES!$A$1,MATCH(AV242,ITEM_RES!$J:$J,0)-1,0),0)</f>
        <v>211020501</v>
      </c>
      <c r="AV242" s="10" t="s">
        <v>442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378</v>
      </c>
      <c r="L243" s="9">
        <v>0</v>
      </c>
      <c r="M243" s="9">
        <v>15</v>
      </c>
      <c r="N243" s="9" t="s">
        <v>843</v>
      </c>
      <c r="R243" s="9" t="s">
        <v>764</v>
      </c>
      <c r="U243" s="9">
        <f ca="1">IFERROR(OFFSET(ITEM_RES!$A$5,MATCH(BUILDING!T243,ITEM_RES!$J$5:$J$228,0)-1,0),0)</f>
        <v>0</v>
      </c>
      <c r="X243" s="9">
        <f ca="1">IFERROR(OFFSET(ITEM_RES!$A$5,MATCH(BUILDING!W243,ITEM_RES!$J$5:$J$228,0)-1,0),0)</f>
        <v>0</v>
      </c>
      <c r="Z243" s="9" t="s">
        <v>547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468</v>
      </c>
      <c r="AR243" s="11">
        <v>6250</v>
      </c>
      <c r="AU243" s="11">
        <f ca="1">IFERROR(OFFSET(ITEM_RES!$A$1,MATCH(AV243,ITEM_RES!$J:$J,0)-1,0),0)</f>
        <v>211020501</v>
      </c>
      <c r="AV243" s="10" t="s">
        <v>442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378</v>
      </c>
      <c r="L244" s="9">
        <v>0</v>
      </c>
      <c r="M244" s="9">
        <v>15</v>
      </c>
      <c r="N244" s="9" t="s">
        <v>843</v>
      </c>
      <c r="R244" s="9" t="s">
        <v>764</v>
      </c>
      <c r="U244" s="9">
        <f ca="1">IFERROR(OFFSET(ITEM_RES!$A$5,MATCH(BUILDING!T244,ITEM_RES!$J$5:$J$228,0)-1,0),0)</f>
        <v>0</v>
      </c>
      <c r="X244" s="9">
        <f ca="1">IFERROR(OFFSET(ITEM_RES!$A$5,MATCH(BUILDING!W244,ITEM_RES!$J$5:$J$228,0)-1,0),0)</f>
        <v>0</v>
      </c>
      <c r="Z244" s="9" t="s">
        <v>547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468</v>
      </c>
      <c r="AR244" s="11">
        <v>7500</v>
      </c>
      <c r="AU244" s="11">
        <f ca="1">IFERROR(OFFSET(ITEM_RES!$A$1,MATCH(AV244,ITEM_RES!$J:$J,0)-1,0),0)</f>
        <v>211020501</v>
      </c>
      <c r="AV244" s="10" t="s">
        <v>442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386</v>
      </c>
      <c r="L245" s="16">
        <v>1</v>
      </c>
      <c r="M245" s="16">
        <v>15</v>
      </c>
      <c r="N245" s="16" t="s">
        <v>831</v>
      </c>
      <c r="O245" s="17"/>
      <c r="P245" s="17"/>
      <c r="Q245" s="18"/>
      <c r="R245" s="16" t="s">
        <v>765</v>
      </c>
      <c r="S245" s="79"/>
      <c r="T245" s="87"/>
      <c r="U245" s="16">
        <f ca="1">IFERROR(OFFSET(ITEM_RES!$A$5,MATCH(BUILDING!T245,ITEM_RES!$J$5:$J$228,0)-1,0),0)</f>
        <v>0</v>
      </c>
      <c r="V245" s="18"/>
      <c r="W245" s="87"/>
      <c r="X245" s="16">
        <f ca="1">IFERROR(OFFSET(ITEM_RES!$A$5,MATCH(BUILDING!W245,ITEM_RES!$J$5:$J$228,0)-1,0),0)</f>
        <v>0</v>
      </c>
      <c r="Y245" s="79"/>
      <c r="Z245" s="16" t="s">
        <v>548</v>
      </c>
      <c r="AA245" s="16">
        <v>1</v>
      </c>
      <c r="AB245" s="79"/>
      <c r="AC245" s="16">
        <v>0</v>
      </c>
      <c r="AD245" s="79"/>
      <c r="AE245" s="57">
        <f t="shared" si="98"/>
        <v>580</v>
      </c>
      <c r="AF245" s="17">
        <f>AE245</f>
        <v>580</v>
      </c>
      <c r="AG245" s="79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455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213010101</v>
      </c>
      <c r="BA245" s="17" t="s">
        <v>478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386</v>
      </c>
      <c r="L246" s="9">
        <v>1</v>
      </c>
      <c r="M246" s="9">
        <v>15</v>
      </c>
      <c r="N246" s="140" t="s">
        <v>832</v>
      </c>
      <c r="R246" s="9" t="s">
        <v>765</v>
      </c>
      <c r="U246" s="9">
        <f ca="1">IFERROR(OFFSET(ITEM_RES!$A$5,MATCH(BUILDING!T246,ITEM_RES!$J$5:$J$228,0)-1,0),0)</f>
        <v>0</v>
      </c>
      <c r="X246" s="9">
        <f ca="1">IFERROR(OFFSET(ITEM_RES!$A$5,MATCH(BUILDING!W246,ITEM_RES!$J$5:$J$228,0)-1,0),0)</f>
        <v>0</v>
      </c>
      <c r="Z246" s="9" t="s">
        <v>548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455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386</v>
      </c>
      <c r="L247" s="9">
        <v>1</v>
      </c>
      <c r="M247" s="9">
        <v>15</v>
      </c>
      <c r="N247" s="9" t="s">
        <v>831</v>
      </c>
      <c r="R247" s="9" t="s">
        <v>765</v>
      </c>
      <c r="U247" s="9">
        <f ca="1">IFERROR(OFFSET(ITEM_RES!$A$5,MATCH(BUILDING!T247,ITEM_RES!$J$5:$J$228,0)-1,0),0)</f>
        <v>0</v>
      </c>
      <c r="X247" s="9">
        <f ca="1">IFERROR(OFFSET(ITEM_RES!$A$5,MATCH(BUILDING!W247,ITEM_RES!$J$5:$J$228,0)-1,0),0)</f>
        <v>0</v>
      </c>
      <c r="Z247" s="9" t="s">
        <v>548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455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386</v>
      </c>
      <c r="L248" s="9">
        <v>1</v>
      </c>
      <c r="M248" s="9">
        <v>15</v>
      </c>
      <c r="N248" s="9" t="s">
        <v>831</v>
      </c>
      <c r="R248" s="9" t="s">
        <v>765</v>
      </c>
      <c r="U248" s="9">
        <f ca="1">IFERROR(OFFSET(ITEM_RES!$A$5,MATCH(BUILDING!T248,ITEM_RES!$J$5:$J$228,0)-1,0),0)</f>
        <v>0</v>
      </c>
      <c r="X248" s="9">
        <f ca="1">IFERROR(OFFSET(ITEM_RES!$A$5,MATCH(BUILDING!W248,ITEM_RES!$J$5:$J$228,0)-1,0),0)</f>
        <v>0</v>
      </c>
      <c r="Z248" s="9" t="s">
        <v>548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455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386</v>
      </c>
      <c r="L249" s="9">
        <v>1</v>
      </c>
      <c r="M249" s="9">
        <v>15</v>
      </c>
      <c r="N249" s="9" t="s">
        <v>831</v>
      </c>
      <c r="R249" s="9" t="s">
        <v>765</v>
      </c>
      <c r="U249" s="9">
        <f ca="1">IFERROR(OFFSET(ITEM_RES!$A$5,MATCH(BUILDING!T249,ITEM_RES!$J$5:$J$228,0)-1,0),0)</f>
        <v>0</v>
      </c>
      <c r="X249" s="9">
        <f ca="1">IFERROR(OFFSET(ITEM_RES!$A$5,MATCH(BUILDING!W249,ITEM_RES!$J$5:$J$228,0)-1,0),0)</f>
        <v>0</v>
      </c>
      <c r="Z249" s="9" t="s">
        <v>548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455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386</v>
      </c>
      <c r="L250" s="9">
        <v>1</v>
      </c>
      <c r="M250" s="9">
        <v>15</v>
      </c>
      <c r="N250" s="9" t="s">
        <v>831</v>
      </c>
      <c r="R250" s="9" t="s">
        <v>765</v>
      </c>
      <c r="U250" s="9">
        <f ca="1">IFERROR(OFFSET(ITEM_RES!$A$5,MATCH(BUILDING!T250,ITEM_RES!$J$5:$J$228,0)-1,0),0)</f>
        <v>0</v>
      </c>
      <c r="X250" s="9">
        <f ca="1">IFERROR(OFFSET(ITEM_RES!$A$5,MATCH(BUILDING!W250,ITEM_RES!$J$5:$J$228,0)-1,0),0)</f>
        <v>0</v>
      </c>
      <c r="Z250" s="9" t="s">
        <v>548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455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386</v>
      </c>
      <c r="L251" s="9">
        <v>1</v>
      </c>
      <c r="M251" s="9">
        <v>15</v>
      </c>
      <c r="N251" s="9" t="s">
        <v>831</v>
      </c>
      <c r="R251" s="9" t="s">
        <v>765</v>
      </c>
      <c r="U251" s="9">
        <f ca="1">IFERROR(OFFSET(ITEM_RES!$A$5,MATCH(BUILDING!T251,ITEM_RES!$J$5:$J$228,0)-1,0),0)</f>
        <v>0</v>
      </c>
      <c r="X251" s="9">
        <f ca="1">IFERROR(OFFSET(ITEM_RES!$A$5,MATCH(BUILDING!W251,ITEM_RES!$J$5:$J$228,0)-1,0),0)</f>
        <v>0</v>
      </c>
      <c r="Z251" s="9" t="s">
        <v>548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455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386</v>
      </c>
      <c r="L252" s="9">
        <v>1</v>
      </c>
      <c r="M252" s="9">
        <v>15</v>
      </c>
      <c r="N252" s="9" t="s">
        <v>831</v>
      </c>
      <c r="R252" s="9" t="s">
        <v>765</v>
      </c>
      <c r="U252" s="9">
        <f ca="1">IFERROR(OFFSET(ITEM_RES!$A$5,MATCH(BUILDING!T252,ITEM_RES!$J$5:$J$228,0)-1,0),0)</f>
        <v>0</v>
      </c>
      <c r="X252" s="9">
        <f ca="1">IFERROR(OFFSET(ITEM_RES!$A$5,MATCH(BUILDING!W252,ITEM_RES!$J$5:$J$228,0)-1,0),0)</f>
        <v>0</v>
      </c>
      <c r="Z252" s="9" t="s">
        <v>548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455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386</v>
      </c>
      <c r="L253" s="9">
        <v>1</v>
      </c>
      <c r="M253" s="9">
        <v>15</v>
      </c>
      <c r="N253" s="9" t="s">
        <v>831</v>
      </c>
      <c r="R253" s="9" t="s">
        <v>765</v>
      </c>
      <c r="U253" s="9">
        <f ca="1">IFERROR(OFFSET(ITEM_RES!$A$5,MATCH(BUILDING!T253,ITEM_RES!$J$5:$J$228,0)-1,0),0)</f>
        <v>0</v>
      </c>
      <c r="X253" s="9">
        <f ca="1">IFERROR(OFFSET(ITEM_RES!$A$5,MATCH(BUILDING!W253,ITEM_RES!$J$5:$J$228,0)-1,0),0)</f>
        <v>0</v>
      </c>
      <c r="Z253" s="9" t="s">
        <v>548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455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386</v>
      </c>
      <c r="L254" s="9">
        <v>1</v>
      </c>
      <c r="M254" s="9">
        <v>15</v>
      </c>
      <c r="N254" s="9" t="s">
        <v>831</v>
      </c>
      <c r="R254" s="9" t="s">
        <v>765</v>
      </c>
      <c r="U254" s="9">
        <f ca="1">IFERROR(OFFSET(ITEM_RES!$A$5,MATCH(BUILDING!T254,ITEM_RES!$J$5:$J$228,0)-1,0),0)</f>
        <v>0</v>
      </c>
      <c r="X254" s="9">
        <f ca="1">IFERROR(OFFSET(ITEM_RES!$A$5,MATCH(BUILDING!W254,ITEM_RES!$J$5:$J$228,0)-1,0),0)</f>
        <v>0</v>
      </c>
      <c r="Z254" s="9" t="s">
        <v>548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455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213010901</v>
      </c>
      <c r="BF254" s="10" t="s">
        <v>490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386</v>
      </c>
      <c r="L255" s="9">
        <v>1</v>
      </c>
      <c r="M255" s="9">
        <v>15</v>
      </c>
      <c r="N255" s="9" t="s">
        <v>831</v>
      </c>
      <c r="R255" s="9" t="s">
        <v>765</v>
      </c>
      <c r="U255" s="9">
        <f ca="1">IFERROR(OFFSET(ITEM_RES!$A$5,MATCH(BUILDING!T255,ITEM_RES!$J$5:$J$228,0)-1,0),0)</f>
        <v>0</v>
      </c>
      <c r="X255" s="9">
        <f ca="1">IFERROR(OFFSET(ITEM_RES!$A$5,MATCH(BUILDING!W255,ITEM_RES!$J$5:$J$228,0)-1,0),0)</f>
        <v>0</v>
      </c>
      <c r="Z255" s="9" t="s">
        <v>548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455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386</v>
      </c>
      <c r="L256" s="9">
        <v>1</v>
      </c>
      <c r="M256" s="9">
        <v>15</v>
      </c>
      <c r="N256" s="9" t="s">
        <v>831</v>
      </c>
      <c r="R256" s="9" t="s">
        <v>765</v>
      </c>
      <c r="U256" s="9">
        <f ca="1">IFERROR(OFFSET(ITEM_RES!$A$5,MATCH(BUILDING!T256,ITEM_RES!$J$5:$J$228,0)-1,0),0)</f>
        <v>0</v>
      </c>
      <c r="X256" s="9">
        <f ca="1">IFERROR(OFFSET(ITEM_RES!$A$5,MATCH(BUILDING!W256,ITEM_RES!$J$5:$J$228,0)-1,0),0)</f>
        <v>0</v>
      </c>
      <c r="Z256" s="9" t="s">
        <v>548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455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386</v>
      </c>
      <c r="L257" s="9">
        <v>1</v>
      </c>
      <c r="M257" s="9">
        <v>15</v>
      </c>
      <c r="N257" s="9" t="s">
        <v>831</v>
      </c>
      <c r="R257" s="9" t="s">
        <v>765</v>
      </c>
      <c r="U257" s="9">
        <f ca="1">IFERROR(OFFSET(ITEM_RES!$A$5,MATCH(BUILDING!T257,ITEM_RES!$J$5:$J$228,0)-1,0),0)</f>
        <v>0</v>
      </c>
      <c r="X257" s="9">
        <f ca="1">IFERROR(OFFSET(ITEM_RES!$A$5,MATCH(BUILDING!W257,ITEM_RES!$J$5:$J$228,0)-1,0),0)</f>
        <v>0</v>
      </c>
      <c r="Z257" s="9" t="s">
        <v>548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468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386</v>
      </c>
      <c r="L258" s="9">
        <v>1</v>
      </c>
      <c r="M258" s="9">
        <v>15</v>
      </c>
      <c r="N258" s="9" t="s">
        <v>831</v>
      </c>
      <c r="R258" s="9" t="s">
        <v>765</v>
      </c>
      <c r="U258" s="9">
        <f ca="1">IFERROR(OFFSET(ITEM_RES!$A$5,MATCH(BUILDING!T258,ITEM_RES!$J$5:$J$228,0)-1,0),0)</f>
        <v>0</v>
      </c>
      <c r="X258" s="9">
        <f ca="1">IFERROR(OFFSET(ITEM_RES!$A$5,MATCH(BUILDING!W258,ITEM_RES!$J$5:$J$228,0)-1,0),0)</f>
        <v>0</v>
      </c>
      <c r="Z258" s="9" t="s">
        <v>548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468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386</v>
      </c>
      <c r="L259" s="9">
        <v>1</v>
      </c>
      <c r="M259" s="9">
        <v>15</v>
      </c>
      <c r="N259" s="9" t="s">
        <v>831</v>
      </c>
      <c r="R259" s="9" t="s">
        <v>765</v>
      </c>
      <c r="U259" s="9">
        <f ca="1">IFERROR(OFFSET(ITEM_RES!$A$5,MATCH(BUILDING!T259,ITEM_RES!$J$5:$J$228,0)-1,0),0)</f>
        <v>0</v>
      </c>
      <c r="X259" s="9">
        <f ca="1">IFERROR(OFFSET(ITEM_RES!$A$5,MATCH(BUILDING!W259,ITEM_RES!$J$5:$J$228,0)-1,0),0)</f>
        <v>0</v>
      </c>
      <c r="Z259" s="9" t="s">
        <v>548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468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386</v>
      </c>
      <c r="L260" s="9">
        <v>0</v>
      </c>
      <c r="M260" s="9">
        <v>15</v>
      </c>
      <c r="N260" s="9" t="s">
        <v>831</v>
      </c>
      <c r="R260" s="9" t="s">
        <v>765</v>
      </c>
      <c r="U260" s="9">
        <f ca="1">IFERROR(OFFSET(ITEM_RES!$A$5,MATCH(BUILDING!T260,ITEM_RES!$J$5:$J$228,0)-1,0),0)</f>
        <v>0</v>
      </c>
      <c r="X260" s="9">
        <f ca="1">IFERROR(OFFSET(ITEM_RES!$A$5,MATCH(BUILDING!W260,ITEM_RES!$J$5:$J$228,0)-1,0),0)</f>
        <v>0</v>
      </c>
      <c r="Z260" s="9" t="s">
        <v>548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468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386</v>
      </c>
      <c r="L261" s="9">
        <v>0</v>
      </c>
      <c r="M261" s="9">
        <v>15</v>
      </c>
      <c r="N261" s="9" t="s">
        <v>831</v>
      </c>
      <c r="R261" s="9" t="s">
        <v>765</v>
      </c>
      <c r="U261" s="9">
        <f ca="1">IFERROR(OFFSET(ITEM_RES!$A$5,MATCH(BUILDING!T261,ITEM_RES!$J$5:$J$228,0)-1,0),0)</f>
        <v>0</v>
      </c>
      <c r="X261" s="9">
        <f ca="1">IFERROR(OFFSET(ITEM_RES!$A$5,MATCH(BUILDING!W261,ITEM_RES!$J$5:$J$228,0)-1,0),0)</f>
        <v>0</v>
      </c>
      <c r="Z261" s="9" t="s">
        <v>548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468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386</v>
      </c>
      <c r="L262" s="9">
        <v>0</v>
      </c>
      <c r="M262" s="9">
        <v>15</v>
      </c>
      <c r="N262" s="9" t="s">
        <v>831</v>
      </c>
      <c r="R262" s="9" t="s">
        <v>765</v>
      </c>
      <c r="U262" s="9">
        <f ca="1">IFERROR(OFFSET(ITEM_RES!$A$5,MATCH(BUILDING!T262,ITEM_RES!$J$5:$J$228,0)-1,0),0)</f>
        <v>0</v>
      </c>
      <c r="X262" s="9">
        <f ca="1">IFERROR(OFFSET(ITEM_RES!$A$5,MATCH(BUILDING!W262,ITEM_RES!$J$5:$J$228,0)-1,0),0)</f>
        <v>0</v>
      </c>
      <c r="Z262" s="9" t="s">
        <v>548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468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386</v>
      </c>
      <c r="L263" s="9">
        <v>0</v>
      </c>
      <c r="M263" s="9">
        <v>15</v>
      </c>
      <c r="N263" s="9" t="s">
        <v>831</v>
      </c>
      <c r="R263" s="9" t="s">
        <v>765</v>
      </c>
      <c r="U263" s="9">
        <f ca="1">IFERROR(OFFSET(ITEM_RES!$A$5,MATCH(BUILDING!T263,ITEM_RES!$J$5:$J$228,0)-1,0),0)</f>
        <v>0</v>
      </c>
      <c r="X263" s="9">
        <f ca="1">IFERROR(OFFSET(ITEM_RES!$A$5,MATCH(BUILDING!W263,ITEM_RES!$J$5:$J$228,0)-1,0),0)</f>
        <v>0</v>
      </c>
      <c r="Z263" s="9" t="s">
        <v>548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468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386</v>
      </c>
      <c r="L264" s="9">
        <v>0</v>
      </c>
      <c r="M264" s="9">
        <v>15</v>
      </c>
      <c r="N264" s="9" t="s">
        <v>831</v>
      </c>
      <c r="R264" s="9" t="s">
        <v>765</v>
      </c>
      <c r="U264" s="9">
        <f ca="1">IFERROR(OFFSET(ITEM_RES!$A$5,MATCH(BUILDING!T264,ITEM_RES!$J$5:$J$228,0)-1,0),0)</f>
        <v>0</v>
      </c>
      <c r="X264" s="9">
        <f ca="1">IFERROR(OFFSET(ITEM_RES!$A$5,MATCH(BUILDING!W264,ITEM_RES!$J$5:$J$228,0)-1,0),0)</f>
        <v>0</v>
      </c>
      <c r="Z264" s="9" t="s">
        <v>548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468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79"/>
      <c r="H265" s="16">
        <v>3</v>
      </c>
      <c r="I265" s="16">
        <v>1</v>
      </c>
      <c r="J265" s="79"/>
      <c r="K265" s="16" t="s">
        <v>366</v>
      </c>
      <c r="L265" s="16">
        <v>1</v>
      </c>
      <c r="M265" s="16">
        <v>15</v>
      </c>
      <c r="N265" s="141"/>
      <c r="O265" s="17"/>
      <c r="P265" s="17"/>
      <c r="Q265" s="18"/>
      <c r="R265" s="16" t="s">
        <v>766</v>
      </c>
      <c r="S265" s="79"/>
      <c r="T265" s="87"/>
      <c r="U265" s="16">
        <f ca="1">IFERROR(OFFSET(ITEM_RES!$A$5,MATCH(BUILDING!T265,ITEM_RES!$J$5:$J$228,0)-1,0),0)</f>
        <v>0</v>
      </c>
      <c r="V265" s="18"/>
      <c r="W265" s="87"/>
      <c r="X265" s="16">
        <f ca="1">IFERROR(OFFSET(ITEM_RES!$A$5,MATCH(BUILDING!W265,ITEM_RES!$J$5:$J$228,0)-1,0),0)</f>
        <v>0</v>
      </c>
      <c r="Y265" s="79"/>
      <c r="Z265" s="16" t="s">
        <v>549</v>
      </c>
      <c r="AA265" s="16">
        <v>1</v>
      </c>
      <c r="AB265" s="79"/>
      <c r="AC265" s="16">
        <v>0</v>
      </c>
      <c r="AD265" s="79"/>
      <c r="AE265" s="57">
        <f t="shared" si="98"/>
        <v>605</v>
      </c>
      <c r="AF265" s="17">
        <f>AE265</f>
        <v>605</v>
      </c>
      <c r="AG265" s="79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455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441</v>
      </c>
      <c r="AW265" s="18">
        <v>25</v>
      </c>
      <c r="AX265" s="17"/>
      <c r="AY265" s="18"/>
      <c r="AZ265" s="18">
        <f ca="1">IFERROR(OFFSET(ITEM_RES!$A$1,MATCH(BA265,ITEM_RES!$J:$J,0)-1,0),0)</f>
        <v>213010101</v>
      </c>
      <c r="BA265" s="17" t="s">
        <v>478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366</v>
      </c>
      <c r="L266" s="9">
        <v>1</v>
      </c>
      <c r="M266" s="9">
        <v>15</v>
      </c>
      <c r="N266" s="142"/>
      <c r="R266" s="9" t="s">
        <v>766</v>
      </c>
      <c r="U266" s="9">
        <f ca="1">IFERROR(OFFSET(ITEM_RES!$A$5,MATCH(BUILDING!T266,ITEM_RES!$J$5:$J$228,0)-1,0),0)</f>
        <v>0</v>
      </c>
      <c r="X266" s="9">
        <f ca="1">IFERROR(OFFSET(ITEM_RES!$A$5,MATCH(BUILDING!W266,ITEM_RES!$J$5:$J$228,0)-1,0),0)</f>
        <v>0</v>
      </c>
      <c r="Z266" s="9" t="s">
        <v>549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455</v>
      </c>
      <c r="AR266" s="11">
        <v>50</v>
      </c>
      <c r="AU266" s="11">
        <f ca="1">IFERROR(OFFSET(ITEM_RES!$A$1,MATCH(AV266,ITEM_RES!$J:$J,0)-1,0),0)</f>
        <v>211020401</v>
      </c>
      <c r="AV266" s="10" t="s">
        <v>441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366</v>
      </c>
      <c r="L267" s="9">
        <v>1</v>
      </c>
      <c r="M267" s="9">
        <v>15</v>
      </c>
      <c r="N267" s="142"/>
      <c r="R267" s="9" t="s">
        <v>766</v>
      </c>
      <c r="U267" s="9">
        <f ca="1">IFERROR(OFFSET(ITEM_RES!$A$5,MATCH(BUILDING!T267,ITEM_RES!$J$5:$J$228,0)-1,0),0)</f>
        <v>0</v>
      </c>
      <c r="X267" s="9">
        <f ca="1">IFERROR(OFFSET(ITEM_RES!$A$5,MATCH(BUILDING!W267,ITEM_RES!$J$5:$J$228,0)-1,0),0)</f>
        <v>0</v>
      </c>
      <c r="Z267" s="9" t="s">
        <v>549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455</v>
      </c>
      <c r="AR267" s="11">
        <v>75</v>
      </c>
      <c r="AU267" s="11">
        <f ca="1">IFERROR(OFFSET(ITEM_RES!$A$1,MATCH(AV267,ITEM_RES!$J:$J,0)-1,0),0)</f>
        <v>211020401</v>
      </c>
      <c r="AV267" s="10" t="s">
        <v>441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366</v>
      </c>
      <c r="L268" s="9">
        <v>1</v>
      </c>
      <c r="M268" s="9">
        <v>15</v>
      </c>
      <c r="N268" s="142"/>
      <c r="R268" s="9" t="s">
        <v>766</v>
      </c>
      <c r="U268" s="9">
        <f ca="1">IFERROR(OFFSET(ITEM_RES!$A$5,MATCH(BUILDING!T268,ITEM_RES!$J$5:$J$228,0)-1,0),0)</f>
        <v>0</v>
      </c>
      <c r="X268" s="9">
        <f ca="1">IFERROR(OFFSET(ITEM_RES!$A$5,MATCH(BUILDING!W268,ITEM_RES!$J$5:$J$228,0)-1,0),0)</f>
        <v>0</v>
      </c>
      <c r="Z268" s="9" t="s">
        <v>549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455</v>
      </c>
      <c r="AR268" s="11">
        <v>125</v>
      </c>
      <c r="AU268" s="11">
        <f ca="1">IFERROR(OFFSET(ITEM_RES!$A$1,MATCH(AV268,ITEM_RES!$J:$J,0)-1,0),0)</f>
        <v>211020401</v>
      </c>
      <c r="AV268" s="10" t="s">
        <v>441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366</v>
      </c>
      <c r="L269" s="9">
        <v>1</v>
      </c>
      <c r="M269" s="9">
        <v>15</v>
      </c>
      <c r="N269" s="142"/>
      <c r="R269" s="9" t="s">
        <v>766</v>
      </c>
      <c r="U269" s="9">
        <f ca="1">IFERROR(OFFSET(ITEM_RES!$A$5,MATCH(BUILDING!T269,ITEM_RES!$J$5:$J$228,0)-1,0),0)</f>
        <v>0</v>
      </c>
      <c r="X269" s="9">
        <f ca="1">IFERROR(OFFSET(ITEM_RES!$A$5,MATCH(BUILDING!W269,ITEM_RES!$J$5:$J$228,0)-1,0),0)</f>
        <v>0</v>
      </c>
      <c r="Z269" s="9" t="s">
        <v>549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455</v>
      </c>
      <c r="AR269" s="11">
        <v>200</v>
      </c>
      <c r="AU269" s="11">
        <f ca="1">IFERROR(OFFSET(ITEM_RES!$A$1,MATCH(AV269,ITEM_RES!$J:$J,0)-1,0),0)</f>
        <v>211020401</v>
      </c>
      <c r="AV269" s="10" t="s">
        <v>441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366</v>
      </c>
      <c r="L270" s="9">
        <v>1</v>
      </c>
      <c r="M270" s="9">
        <v>15</v>
      </c>
      <c r="N270" s="142"/>
      <c r="R270" s="9" t="s">
        <v>766</v>
      </c>
      <c r="U270" s="9">
        <f ca="1">IFERROR(OFFSET(ITEM_RES!$A$5,MATCH(BUILDING!T270,ITEM_RES!$J$5:$J$228,0)-1,0),0)</f>
        <v>0</v>
      </c>
      <c r="X270" s="9">
        <f ca="1">IFERROR(OFFSET(ITEM_RES!$A$5,MATCH(BUILDING!W270,ITEM_RES!$J$5:$J$228,0)-1,0),0)</f>
        <v>0</v>
      </c>
      <c r="Z270" s="9" t="s">
        <v>549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455</v>
      </c>
      <c r="AR270" s="11">
        <v>250</v>
      </c>
      <c r="AU270" s="11">
        <f ca="1">IFERROR(OFFSET(ITEM_RES!$A$1,MATCH(AV270,ITEM_RES!$J:$J,0)-1,0),0)</f>
        <v>211020401</v>
      </c>
      <c r="AV270" s="10" t="s">
        <v>441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366</v>
      </c>
      <c r="L271" s="9">
        <v>1</v>
      </c>
      <c r="M271" s="9">
        <v>15</v>
      </c>
      <c r="N271" s="142"/>
      <c r="R271" s="9" t="s">
        <v>766</v>
      </c>
      <c r="U271" s="9">
        <f ca="1">IFERROR(OFFSET(ITEM_RES!$A$5,MATCH(BUILDING!T271,ITEM_RES!$J$5:$J$228,0)-1,0),0)</f>
        <v>0</v>
      </c>
      <c r="X271" s="9">
        <f ca="1">IFERROR(OFFSET(ITEM_RES!$A$5,MATCH(BUILDING!W271,ITEM_RES!$J$5:$J$228,0)-1,0),0)</f>
        <v>0</v>
      </c>
      <c r="Z271" s="9" t="s">
        <v>549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455</v>
      </c>
      <c r="AR271" s="11">
        <v>500</v>
      </c>
      <c r="AU271" s="11">
        <f ca="1">IFERROR(OFFSET(ITEM_RES!$A$1,MATCH(AV271,ITEM_RES!$J:$J,0)-1,0),0)</f>
        <v>211020401</v>
      </c>
      <c r="AV271" s="10" t="s">
        <v>441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366</v>
      </c>
      <c r="L272" s="9">
        <v>1</v>
      </c>
      <c r="M272" s="9">
        <v>15</v>
      </c>
      <c r="N272" s="142"/>
      <c r="R272" s="9" t="s">
        <v>766</v>
      </c>
      <c r="U272" s="9">
        <f ca="1">IFERROR(OFFSET(ITEM_RES!$A$5,MATCH(BUILDING!T272,ITEM_RES!$J$5:$J$228,0)-1,0),0)</f>
        <v>0</v>
      </c>
      <c r="X272" s="9">
        <f ca="1">IFERROR(OFFSET(ITEM_RES!$A$5,MATCH(BUILDING!W272,ITEM_RES!$J$5:$J$228,0)-1,0),0)</f>
        <v>0</v>
      </c>
      <c r="Z272" s="9" t="s">
        <v>549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455</v>
      </c>
      <c r="AR272" s="11">
        <v>500</v>
      </c>
      <c r="AU272" s="11">
        <f ca="1">IFERROR(OFFSET(ITEM_RES!$A$1,MATCH(AV272,ITEM_RES!$J:$J,0)-1,0),0)</f>
        <v>211020401</v>
      </c>
      <c r="AV272" s="10" t="s">
        <v>441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213010901</v>
      </c>
      <c r="BF272" s="10" t="s">
        <v>490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366</v>
      </c>
      <c r="L273" s="9">
        <v>1</v>
      </c>
      <c r="M273" s="9">
        <v>15</v>
      </c>
      <c r="N273" s="142"/>
      <c r="R273" s="9" t="s">
        <v>766</v>
      </c>
      <c r="U273" s="9">
        <f ca="1">IFERROR(OFFSET(ITEM_RES!$A$5,MATCH(BUILDING!T273,ITEM_RES!$J$5:$J$228,0)-1,0),0)</f>
        <v>0</v>
      </c>
      <c r="X273" s="9">
        <f ca="1">IFERROR(OFFSET(ITEM_RES!$A$5,MATCH(BUILDING!W273,ITEM_RES!$J$5:$J$228,0)-1,0),0)</f>
        <v>0</v>
      </c>
      <c r="Z273" s="9" t="s">
        <v>549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455</v>
      </c>
      <c r="AR273" s="11">
        <v>750</v>
      </c>
      <c r="AU273" s="11">
        <f ca="1">IFERROR(OFFSET(ITEM_RES!$A$1,MATCH(AV273,ITEM_RES!$J:$J,0)-1,0),0)</f>
        <v>211020401</v>
      </c>
      <c r="AV273" s="10" t="s">
        <v>441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366</v>
      </c>
      <c r="L274" s="9">
        <v>1</v>
      </c>
      <c r="M274" s="9">
        <v>15</v>
      </c>
      <c r="N274" s="142"/>
      <c r="R274" s="9" t="s">
        <v>766</v>
      </c>
      <c r="U274" s="9">
        <f ca="1">IFERROR(OFFSET(ITEM_RES!$A$5,MATCH(BUILDING!T274,ITEM_RES!$J$5:$J$228,0)-1,0),0)</f>
        <v>0</v>
      </c>
      <c r="X274" s="9">
        <f ca="1">IFERROR(OFFSET(ITEM_RES!$A$5,MATCH(BUILDING!W274,ITEM_RES!$J$5:$J$228,0)-1,0),0)</f>
        <v>0</v>
      </c>
      <c r="Z274" s="9" t="s">
        <v>549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455</v>
      </c>
      <c r="AR274" s="11">
        <v>1000</v>
      </c>
      <c r="AU274" s="11">
        <f ca="1">IFERROR(OFFSET(ITEM_RES!$A$1,MATCH(AV274,ITEM_RES!$J:$J,0)-1,0),0)</f>
        <v>211020401</v>
      </c>
      <c r="AV274" s="10" t="s">
        <v>441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366</v>
      </c>
      <c r="L275" s="9">
        <v>1</v>
      </c>
      <c r="M275" s="9">
        <v>15</v>
      </c>
      <c r="N275" s="142"/>
      <c r="R275" s="9" t="s">
        <v>766</v>
      </c>
      <c r="U275" s="9">
        <f ca="1">IFERROR(OFFSET(ITEM_RES!$A$5,MATCH(BUILDING!T275,ITEM_RES!$J$5:$J$228,0)-1,0),0)</f>
        <v>0</v>
      </c>
      <c r="X275" s="9">
        <f ca="1">IFERROR(OFFSET(ITEM_RES!$A$5,MATCH(BUILDING!W275,ITEM_RES!$J$5:$J$228,0)-1,0),0)</f>
        <v>0</v>
      </c>
      <c r="Z275" s="9" t="s">
        <v>549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455</v>
      </c>
      <c r="AR275" s="11">
        <v>1250</v>
      </c>
      <c r="AU275" s="11">
        <f ca="1">IFERROR(OFFSET(ITEM_RES!$A$1,MATCH(AV275,ITEM_RES!$J:$J,0)-1,0),0)</f>
        <v>211020401</v>
      </c>
      <c r="AV275" s="10" t="s">
        <v>441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366</v>
      </c>
      <c r="L276" s="9">
        <v>1</v>
      </c>
      <c r="M276" s="9">
        <v>15</v>
      </c>
      <c r="N276" s="142"/>
      <c r="R276" s="9" t="s">
        <v>766</v>
      </c>
      <c r="U276" s="9">
        <f ca="1">IFERROR(OFFSET(ITEM_RES!$A$5,MATCH(BUILDING!T276,ITEM_RES!$J$5:$J$228,0)-1,0),0)</f>
        <v>0</v>
      </c>
      <c r="X276" s="9">
        <f ca="1">IFERROR(OFFSET(ITEM_RES!$A$5,MATCH(BUILDING!W276,ITEM_RES!$J$5:$J$228,0)-1,0),0)</f>
        <v>0</v>
      </c>
      <c r="Z276" s="9" t="s">
        <v>549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455</v>
      </c>
      <c r="AR276" s="11">
        <v>1500</v>
      </c>
      <c r="AU276" s="11">
        <f ca="1">IFERROR(OFFSET(ITEM_RES!$A$1,MATCH(AV276,ITEM_RES!$J:$J,0)-1,0),0)</f>
        <v>211020401</v>
      </c>
      <c r="AV276" s="10" t="s">
        <v>441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366</v>
      </c>
      <c r="L277" s="9">
        <v>1</v>
      </c>
      <c r="M277" s="9">
        <v>15</v>
      </c>
      <c r="N277" s="142"/>
      <c r="R277" s="9" t="s">
        <v>766</v>
      </c>
      <c r="U277" s="9">
        <f ca="1">IFERROR(OFFSET(ITEM_RES!$A$5,MATCH(BUILDING!T277,ITEM_RES!$J$5:$J$228,0)-1,0),0)</f>
        <v>0</v>
      </c>
      <c r="X277" s="9">
        <f ca="1">IFERROR(OFFSET(ITEM_RES!$A$5,MATCH(BUILDING!W277,ITEM_RES!$J$5:$J$228,0)-1,0),0)</f>
        <v>0</v>
      </c>
      <c r="Z277" s="9" t="s">
        <v>549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455</v>
      </c>
      <c r="AR277" s="11">
        <v>1750</v>
      </c>
      <c r="AU277" s="11">
        <f ca="1">IFERROR(OFFSET(ITEM_RES!$A$1,MATCH(AV277,ITEM_RES!$J:$J,0)-1,0),0)</f>
        <v>211020401</v>
      </c>
      <c r="AV277" s="10" t="s">
        <v>441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366</v>
      </c>
      <c r="L278" s="9">
        <v>1</v>
      </c>
      <c r="M278" s="9">
        <v>15</v>
      </c>
      <c r="N278" s="142"/>
      <c r="R278" s="9" t="s">
        <v>766</v>
      </c>
      <c r="U278" s="9">
        <f ca="1">IFERROR(OFFSET(ITEM_RES!$A$5,MATCH(BUILDING!T278,ITEM_RES!$J$5:$J$228,0)-1,0),0)</f>
        <v>0</v>
      </c>
      <c r="X278" s="9">
        <f ca="1">IFERROR(OFFSET(ITEM_RES!$A$5,MATCH(BUILDING!W278,ITEM_RES!$J$5:$J$228,0)-1,0),0)</f>
        <v>0</v>
      </c>
      <c r="Z278" s="9" t="s">
        <v>549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455</v>
      </c>
      <c r="AR278" s="11">
        <v>2250</v>
      </c>
      <c r="AU278" s="11">
        <f ca="1">IFERROR(OFFSET(ITEM_RES!$A$1,MATCH(AV278,ITEM_RES!$J:$J,0)-1,0),0)</f>
        <v>211020401</v>
      </c>
      <c r="AV278" s="10" t="s">
        <v>441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366</v>
      </c>
      <c r="L279" s="9">
        <v>1</v>
      </c>
      <c r="M279" s="9">
        <v>15</v>
      </c>
      <c r="N279" s="142"/>
      <c r="R279" s="9" t="s">
        <v>766</v>
      </c>
      <c r="U279" s="9">
        <f ca="1">IFERROR(OFFSET(ITEM_RES!$A$5,MATCH(BUILDING!T279,ITEM_RES!$J$5:$J$228,0)-1,0),0)</f>
        <v>0</v>
      </c>
      <c r="X279" s="9">
        <f ca="1">IFERROR(OFFSET(ITEM_RES!$A$5,MATCH(BUILDING!W279,ITEM_RES!$J$5:$J$228,0)-1,0),0)</f>
        <v>0</v>
      </c>
      <c r="Z279" s="9" t="s">
        <v>549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455</v>
      </c>
      <c r="AR279" s="11">
        <v>2750</v>
      </c>
      <c r="AU279" s="11">
        <f ca="1">IFERROR(OFFSET(ITEM_RES!$A$1,MATCH(AV279,ITEM_RES!$J:$J,0)-1,0),0)</f>
        <v>211020401</v>
      </c>
      <c r="AV279" s="10" t="s">
        <v>456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366</v>
      </c>
      <c r="L280" s="9">
        <v>0</v>
      </c>
      <c r="M280" s="9">
        <v>15</v>
      </c>
      <c r="N280" s="142"/>
      <c r="R280" s="9" t="s">
        <v>766</v>
      </c>
      <c r="U280" s="9">
        <f ca="1">IFERROR(OFFSET(ITEM_RES!$A$5,MATCH(BUILDING!T280,ITEM_RES!$J$5:$J$228,0)-1,0),0)</f>
        <v>0</v>
      </c>
      <c r="X280" s="9">
        <f ca="1">IFERROR(OFFSET(ITEM_RES!$A$5,MATCH(BUILDING!W280,ITEM_RES!$J$5:$J$228,0)-1,0),0)</f>
        <v>0</v>
      </c>
      <c r="Z280" s="9" t="s">
        <v>549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455</v>
      </c>
      <c r="AR280" s="11">
        <v>3500</v>
      </c>
      <c r="AU280" s="11">
        <f ca="1">IFERROR(OFFSET(ITEM_RES!$A$1,MATCH(AV280,ITEM_RES!$J:$J,0)-1,0),0)</f>
        <v>211020401</v>
      </c>
      <c r="AV280" s="10" t="s">
        <v>456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366</v>
      </c>
      <c r="L281" s="9">
        <v>0</v>
      </c>
      <c r="M281" s="9">
        <v>15</v>
      </c>
      <c r="N281" s="142"/>
      <c r="R281" s="9" t="s">
        <v>766</v>
      </c>
      <c r="U281" s="9">
        <f ca="1">IFERROR(OFFSET(ITEM_RES!$A$5,MATCH(BUILDING!T281,ITEM_RES!$J$5:$J$228,0)-1,0),0)</f>
        <v>0</v>
      </c>
      <c r="X281" s="9">
        <f ca="1">IFERROR(OFFSET(ITEM_RES!$A$5,MATCH(BUILDING!W281,ITEM_RES!$J$5:$J$228,0)-1,0),0)</f>
        <v>0</v>
      </c>
      <c r="Z281" s="9" t="s">
        <v>549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467</v>
      </c>
      <c r="AR281" s="11">
        <v>4250</v>
      </c>
      <c r="AU281" s="11">
        <f ca="1">IFERROR(OFFSET(ITEM_RES!$A$1,MATCH(AV281,ITEM_RES!$J:$J,0)-1,0),0)</f>
        <v>211020401</v>
      </c>
      <c r="AV281" s="10" t="s">
        <v>456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366</v>
      </c>
      <c r="L282" s="9">
        <v>0</v>
      </c>
      <c r="M282" s="9">
        <v>15</v>
      </c>
      <c r="N282" s="142"/>
      <c r="R282" s="9" t="s">
        <v>766</v>
      </c>
      <c r="U282" s="9">
        <f ca="1">IFERROR(OFFSET(ITEM_RES!$A$5,MATCH(BUILDING!T282,ITEM_RES!$J$5:$J$228,0)-1,0),0)</f>
        <v>0</v>
      </c>
      <c r="X282" s="9">
        <f ca="1">IFERROR(OFFSET(ITEM_RES!$A$5,MATCH(BUILDING!W282,ITEM_RES!$J$5:$J$228,0)-1,0),0)</f>
        <v>0</v>
      </c>
      <c r="Z282" s="9" t="s">
        <v>549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467</v>
      </c>
      <c r="AR282" s="11">
        <v>5250</v>
      </c>
      <c r="AU282" s="11">
        <f ca="1">IFERROR(OFFSET(ITEM_RES!$A$1,MATCH(AV282,ITEM_RES!$J:$J,0)-1,0),0)</f>
        <v>211020501</v>
      </c>
      <c r="AV282" s="10" t="s">
        <v>442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366</v>
      </c>
      <c r="L283" s="9">
        <v>0</v>
      </c>
      <c r="M283" s="9">
        <v>15</v>
      </c>
      <c r="N283" s="142"/>
      <c r="R283" s="9" t="s">
        <v>766</v>
      </c>
      <c r="U283" s="9">
        <f ca="1">IFERROR(OFFSET(ITEM_RES!$A$5,MATCH(BUILDING!T283,ITEM_RES!$J$5:$J$228,0)-1,0),0)</f>
        <v>0</v>
      </c>
      <c r="X283" s="9">
        <f ca="1">IFERROR(OFFSET(ITEM_RES!$A$5,MATCH(BUILDING!W283,ITEM_RES!$J$5:$J$228,0)-1,0),0)</f>
        <v>0</v>
      </c>
      <c r="Z283" s="9" t="s">
        <v>549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467</v>
      </c>
      <c r="AR283" s="11">
        <v>6250</v>
      </c>
      <c r="AU283" s="11">
        <f ca="1">IFERROR(OFFSET(ITEM_RES!$A$1,MATCH(AV283,ITEM_RES!$J:$J,0)-1,0),0)</f>
        <v>211020501</v>
      </c>
      <c r="AV283" s="10" t="s">
        <v>442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366</v>
      </c>
      <c r="L284" s="9">
        <v>0</v>
      </c>
      <c r="M284" s="9">
        <v>15</v>
      </c>
      <c r="N284" s="142"/>
      <c r="R284" s="9" t="s">
        <v>766</v>
      </c>
      <c r="U284" s="9">
        <f ca="1">IFERROR(OFFSET(ITEM_RES!$A$5,MATCH(BUILDING!T284,ITEM_RES!$J$5:$J$228,0)-1,0),0)</f>
        <v>0</v>
      </c>
      <c r="X284" s="9">
        <f ca="1">IFERROR(OFFSET(ITEM_RES!$A$5,MATCH(BUILDING!W284,ITEM_RES!$J$5:$J$228,0)-1,0),0)</f>
        <v>0</v>
      </c>
      <c r="Z284" s="9" t="s">
        <v>549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467</v>
      </c>
      <c r="AR284" s="11">
        <v>7500</v>
      </c>
      <c r="AU284" s="11">
        <f ca="1">IFERROR(OFFSET(ITEM_RES!$A$1,MATCH(AV284,ITEM_RES!$J:$J,0)-1,0),0)</f>
        <v>211020501</v>
      </c>
      <c r="AV284" s="10" t="s">
        <v>442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79"/>
      <c r="H285" s="16">
        <v>1</v>
      </c>
      <c r="I285" s="16">
        <v>1</v>
      </c>
      <c r="J285" s="79"/>
      <c r="K285" s="16" t="s">
        <v>768</v>
      </c>
      <c r="L285" s="16">
        <v>1</v>
      </c>
      <c r="M285" s="16">
        <v>15</v>
      </c>
      <c r="N285" s="141"/>
      <c r="O285" s="17"/>
      <c r="P285" s="17"/>
      <c r="Q285" s="18"/>
      <c r="R285" s="16" t="s">
        <v>767</v>
      </c>
      <c r="S285" s="79"/>
      <c r="T285" s="87"/>
      <c r="U285" s="16">
        <f ca="1">IFERROR(OFFSET(ITEM_RES!$A$5,MATCH(BUILDING!T285,ITEM_RES!$J$5:$J$228,0)-1,0),0)</f>
        <v>0</v>
      </c>
      <c r="V285" s="18"/>
      <c r="W285" s="87"/>
      <c r="X285" s="16">
        <f ca="1">IFERROR(OFFSET(ITEM_RES!$A$5,MATCH(BUILDING!W285,ITEM_RES!$J$5:$J$228,0)-1,0),0)</f>
        <v>0</v>
      </c>
      <c r="Y285" s="79"/>
      <c r="Z285" s="16" t="s">
        <v>550</v>
      </c>
      <c r="AA285" s="16">
        <v>1</v>
      </c>
      <c r="AB285" s="79"/>
      <c r="AC285" s="16">
        <v>0</v>
      </c>
      <c r="AD285" s="79"/>
      <c r="AE285" s="57">
        <f t="shared" si="98"/>
        <v>580</v>
      </c>
      <c r="AF285" s="17">
        <f>AE285</f>
        <v>580</v>
      </c>
      <c r="AG285" s="79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455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213010101</v>
      </c>
      <c r="BA285" s="17" t="s">
        <v>478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768</v>
      </c>
      <c r="L286" s="9">
        <v>1</v>
      </c>
      <c r="M286" s="9">
        <v>15</v>
      </c>
      <c r="N286" s="142"/>
      <c r="R286" s="9" t="s">
        <v>767</v>
      </c>
      <c r="U286" s="9">
        <f ca="1">IFERROR(OFFSET(ITEM_RES!$A$5,MATCH(BUILDING!T286,ITEM_RES!$J$5:$J$228,0)-1,0),0)</f>
        <v>0</v>
      </c>
      <c r="X286" s="9">
        <f ca="1">IFERROR(OFFSET(ITEM_RES!$A$5,MATCH(BUILDING!W286,ITEM_RES!$J$5:$J$228,0)-1,0),0)</f>
        <v>0</v>
      </c>
      <c r="Z286" s="9" t="s">
        <v>550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455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768</v>
      </c>
      <c r="L287" s="9">
        <v>1</v>
      </c>
      <c r="M287" s="9">
        <v>15</v>
      </c>
      <c r="N287" s="142"/>
      <c r="R287" s="9" t="s">
        <v>767</v>
      </c>
      <c r="U287" s="9">
        <f ca="1">IFERROR(OFFSET(ITEM_RES!$A$5,MATCH(BUILDING!T287,ITEM_RES!$J$5:$J$228,0)-1,0),0)</f>
        <v>0</v>
      </c>
      <c r="X287" s="9">
        <f ca="1">IFERROR(OFFSET(ITEM_RES!$A$5,MATCH(BUILDING!W287,ITEM_RES!$J$5:$J$228,0)-1,0),0)</f>
        <v>0</v>
      </c>
      <c r="Z287" s="9" t="s">
        <v>550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455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768</v>
      </c>
      <c r="L288" s="9">
        <v>1</v>
      </c>
      <c r="M288" s="9">
        <v>15</v>
      </c>
      <c r="N288" s="142"/>
      <c r="R288" s="9" t="s">
        <v>767</v>
      </c>
      <c r="U288" s="9">
        <f ca="1">IFERROR(OFFSET(ITEM_RES!$A$5,MATCH(BUILDING!T288,ITEM_RES!$J$5:$J$228,0)-1,0),0)</f>
        <v>0</v>
      </c>
      <c r="X288" s="9">
        <f ca="1">IFERROR(OFFSET(ITEM_RES!$A$5,MATCH(BUILDING!W288,ITEM_RES!$J$5:$J$228,0)-1,0),0)</f>
        <v>0</v>
      </c>
      <c r="Z288" s="9" t="s">
        <v>550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455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768</v>
      </c>
      <c r="L289" s="9">
        <v>1</v>
      </c>
      <c r="M289" s="9">
        <v>15</v>
      </c>
      <c r="N289" s="142"/>
      <c r="R289" s="9" t="s">
        <v>767</v>
      </c>
      <c r="U289" s="9">
        <f ca="1">IFERROR(OFFSET(ITEM_RES!$A$5,MATCH(BUILDING!T289,ITEM_RES!$J$5:$J$228,0)-1,0),0)</f>
        <v>0</v>
      </c>
      <c r="X289" s="9">
        <f ca="1">IFERROR(OFFSET(ITEM_RES!$A$5,MATCH(BUILDING!W289,ITEM_RES!$J$5:$J$228,0)-1,0),0)</f>
        <v>0</v>
      </c>
      <c r="Z289" s="9" t="s">
        <v>550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455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768</v>
      </c>
      <c r="L290" s="9">
        <v>1</v>
      </c>
      <c r="M290" s="9">
        <v>15</v>
      </c>
      <c r="N290" s="142"/>
      <c r="R290" s="9" t="s">
        <v>767</v>
      </c>
      <c r="U290" s="9">
        <f ca="1">IFERROR(OFFSET(ITEM_RES!$A$5,MATCH(BUILDING!T290,ITEM_RES!$J$5:$J$228,0)-1,0),0)</f>
        <v>0</v>
      </c>
      <c r="X290" s="9">
        <f ca="1">IFERROR(OFFSET(ITEM_RES!$A$5,MATCH(BUILDING!W290,ITEM_RES!$J$5:$J$228,0)-1,0),0)</f>
        <v>0</v>
      </c>
      <c r="Z290" s="9" t="s">
        <v>550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455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768</v>
      </c>
      <c r="L291" s="9">
        <v>1</v>
      </c>
      <c r="M291" s="9">
        <v>15</v>
      </c>
      <c r="N291" s="142"/>
      <c r="R291" s="9" t="s">
        <v>767</v>
      </c>
      <c r="U291" s="9">
        <f ca="1">IFERROR(OFFSET(ITEM_RES!$A$5,MATCH(BUILDING!T291,ITEM_RES!$J$5:$J$228,0)-1,0),0)</f>
        <v>0</v>
      </c>
      <c r="X291" s="9">
        <f ca="1">IFERROR(OFFSET(ITEM_RES!$A$5,MATCH(BUILDING!W291,ITEM_RES!$J$5:$J$228,0)-1,0),0)</f>
        <v>0</v>
      </c>
      <c r="Z291" s="9" t="s">
        <v>550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455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768</v>
      </c>
      <c r="L292" s="9">
        <v>1</v>
      </c>
      <c r="M292" s="9">
        <v>15</v>
      </c>
      <c r="N292" s="142"/>
      <c r="R292" s="9" t="s">
        <v>767</v>
      </c>
      <c r="U292" s="9">
        <f ca="1">IFERROR(OFFSET(ITEM_RES!$A$5,MATCH(BUILDING!T292,ITEM_RES!$J$5:$J$228,0)-1,0),0)</f>
        <v>0</v>
      </c>
      <c r="X292" s="9">
        <f ca="1">IFERROR(OFFSET(ITEM_RES!$A$5,MATCH(BUILDING!W292,ITEM_RES!$J$5:$J$228,0)-1,0),0)</f>
        <v>0</v>
      </c>
      <c r="Z292" s="9" t="s">
        <v>550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455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768</v>
      </c>
      <c r="L293" s="9">
        <v>1</v>
      </c>
      <c r="M293" s="9">
        <v>15</v>
      </c>
      <c r="N293" s="142"/>
      <c r="R293" s="9" t="s">
        <v>767</v>
      </c>
      <c r="U293" s="9">
        <f ca="1">IFERROR(OFFSET(ITEM_RES!$A$5,MATCH(BUILDING!T293,ITEM_RES!$J$5:$J$228,0)-1,0),0)</f>
        <v>0</v>
      </c>
      <c r="X293" s="9">
        <f ca="1">IFERROR(OFFSET(ITEM_RES!$A$5,MATCH(BUILDING!W293,ITEM_RES!$J$5:$J$228,0)-1,0),0)</f>
        <v>0</v>
      </c>
      <c r="Z293" s="9" t="s">
        <v>550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455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768</v>
      </c>
      <c r="L294" s="9">
        <v>1</v>
      </c>
      <c r="M294" s="9">
        <v>15</v>
      </c>
      <c r="N294" s="142"/>
      <c r="R294" s="9" t="s">
        <v>767</v>
      </c>
      <c r="U294" s="9">
        <f ca="1">IFERROR(OFFSET(ITEM_RES!$A$5,MATCH(BUILDING!T294,ITEM_RES!$J$5:$J$228,0)-1,0),0)</f>
        <v>0</v>
      </c>
      <c r="X294" s="9">
        <f ca="1">IFERROR(OFFSET(ITEM_RES!$A$5,MATCH(BUILDING!W294,ITEM_RES!$J$5:$J$228,0)-1,0),0)</f>
        <v>0</v>
      </c>
      <c r="Z294" s="9" t="s">
        <v>550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455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768</v>
      </c>
      <c r="L295" s="9">
        <v>1</v>
      </c>
      <c r="M295" s="9">
        <v>15</v>
      </c>
      <c r="N295" s="142"/>
      <c r="R295" s="9" t="s">
        <v>767</v>
      </c>
      <c r="U295" s="9">
        <f ca="1">IFERROR(OFFSET(ITEM_RES!$A$5,MATCH(BUILDING!T295,ITEM_RES!$J$5:$J$228,0)-1,0),0)</f>
        <v>0</v>
      </c>
      <c r="X295" s="9">
        <f ca="1">IFERROR(OFFSET(ITEM_RES!$A$5,MATCH(BUILDING!W295,ITEM_RES!$J$5:$J$228,0)-1,0),0)</f>
        <v>0</v>
      </c>
      <c r="Z295" s="9" t="s">
        <v>550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455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768</v>
      </c>
      <c r="L296" s="9">
        <v>1</v>
      </c>
      <c r="M296" s="9">
        <v>15</v>
      </c>
      <c r="N296" s="142"/>
      <c r="R296" s="9" t="s">
        <v>767</v>
      </c>
      <c r="U296" s="9">
        <f ca="1">IFERROR(OFFSET(ITEM_RES!$A$5,MATCH(BUILDING!T296,ITEM_RES!$J$5:$J$228,0)-1,0),0)</f>
        <v>0</v>
      </c>
      <c r="X296" s="9">
        <f ca="1">IFERROR(OFFSET(ITEM_RES!$A$5,MATCH(BUILDING!W296,ITEM_RES!$J$5:$J$228,0)-1,0),0)</f>
        <v>0</v>
      </c>
      <c r="Z296" s="9" t="s">
        <v>550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455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768</v>
      </c>
      <c r="L297" s="9">
        <v>1</v>
      </c>
      <c r="M297" s="9">
        <v>15</v>
      </c>
      <c r="N297" s="142"/>
      <c r="R297" s="9" t="s">
        <v>767</v>
      </c>
      <c r="U297" s="9">
        <f ca="1">IFERROR(OFFSET(ITEM_RES!$A$5,MATCH(BUILDING!T297,ITEM_RES!$J$5:$J$228,0)-1,0),0)</f>
        <v>0</v>
      </c>
      <c r="X297" s="9">
        <f ca="1">IFERROR(OFFSET(ITEM_RES!$A$5,MATCH(BUILDING!W297,ITEM_RES!$J$5:$J$228,0)-1,0),0)</f>
        <v>0</v>
      </c>
      <c r="Z297" s="9" t="s">
        <v>550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455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768</v>
      </c>
      <c r="L298" s="9">
        <v>1</v>
      </c>
      <c r="M298" s="9">
        <v>15</v>
      </c>
      <c r="N298" s="142"/>
      <c r="R298" s="9" t="s">
        <v>767</v>
      </c>
      <c r="U298" s="9">
        <f ca="1">IFERROR(OFFSET(ITEM_RES!$A$5,MATCH(BUILDING!T298,ITEM_RES!$J$5:$J$228,0)-1,0),0)</f>
        <v>0</v>
      </c>
      <c r="X298" s="9">
        <f ca="1">IFERROR(OFFSET(ITEM_RES!$A$5,MATCH(BUILDING!W298,ITEM_RES!$J$5:$J$228,0)-1,0),0)</f>
        <v>0</v>
      </c>
      <c r="Z298" s="9" t="s">
        <v>550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455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213010901</v>
      </c>
      <c r="BF298" s="10" t="s">
        <v>490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768</v>
      </c>
      <c r="L299" s="9">
        <v>1</v>
      </c>
      <c r="M299" s="9">
        <v>15</v>
      </c>
      <c r="N299" s="142"/>
      <c r="R299" s="9" t="s">
        <v>767</v>
      </c>
      <c r="U299" s="9">
        <f ca="1">IFERROR(OFFSET(ITEM_RES!$A$5,MATCH(BUILDING!T299,ITEM_RES!$J$5:$J$228,0)-1,0),0)</f>
        <v>0</v>
      </c>
      <c r="X299" s="9">
        <f ca="1">IFERROR(OFFSET(ITEM_RES!$A$5,MATCH(BUILDING!W299,ITEM_RES!$J$5:$J$228,0)-1,0),0)</f>
        <v>0</v>
      </c>
      <c r="Z299" s="9" t="s">
        <v>550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455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768</v>
      </c>
      <c r="L300" s="9">
        <v>0</v>
      </c>
      <c r="M300" s="9">
        <v>15</v>
      </c>
      <c r="N300" s="142"/>
      <c r="R300" s="9" t="s">
        <v>767</v>
      </c>
      <c r="U300" s="9">
        <f ca="1">IFERROR(OFFSET(ITEM_RES!$A$5,MATCH(BUILDING!T300,ITEM_RES!$J$5:$J$228,0)-1,0),0)</f>
        <v>0</v>
      </c>
      <c r="X300" s="9">
        <f ca="1">IFERROR(OFFSET(ITEM_RES!$A$5,MATCH(BUILDING!W300,ITEM_RES!$J$5:$J$228,0)-1,0),0)</f>
        <v>0</v>
      </c>
      <c r="Z300" s="9" t="s">
        <v>550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455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768</v>
      </c>
      <c r="L301" s="9">
        <v>0</v>
      </c>
      <c r="M301" s="9">
        <v>15</v>
      </c>
      <c r="N301" s="142"/>
      <c r="R301" s="9" t="s">
        <v>767</v>
      </c>
      <c r="U301" s="9">
        <f ca="1">IFERROR(OFFSET(ITEM_RES!$A$5,MATCH(BUILDING!T301,ITEM_RES!$J$5:$J$228,0)-1,0),0)</f>
        <v>0</v>
      </c>
      <c r="X301" s="9">
        <f ca="1">IFERROR(OFFSET(ITEM_RES!$A$5,MATCH(BUILDING!W301,ITEM_RES!$J$5:$J$228,0)-1,0),0)</f>
        <v>0</v>
      </c>
      <c r="Z301" s="9" t="s">
        <v>550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455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768</v>
      </c>
      <c r="L302" s="9">
        <v>0</v>
      </c>
      <c r="M302" s="9">
        <v>15</v>
      </c>
      <c r="N302" s="142"/>
      <c r="R302" s="9" t="s">
        <v>767</v>
      </c>
      <c r="U302" s="9">
        <f ca="1">IFERROR(OFFSET(ITEM_RES!$A$5,MATCH(BUILDING!T302,ITEM_RES!$J$5:$J$228,0)-1,0),0)</f>
        <v>0</v>
      </c>
      <c r="X302" s="9">
        <f ca="1">IFERROR(OFFSET(ITEM_RES!$A$5,MATCH(BUILDING!W302,ITEM_RES!$J$5:$J$228,0)-1,0),0)</f>
        <v>0</v>
      </c>
      <c r="Z302" s="9" t="s">
        <v>550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467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768</v>
      </c>
      <c r="L303" s="9">
        <v>0</v>
      </c>
      <c r="M303" s="9">
        <v>15</v>
      </c>
      <c r="N303" s="142"/>
      <c r="R303" s="9" t="s">
        <v>767</v>
      </c>
      <c r="U303" s="9">
        <f ca="1">IFERROR(OFFSET(ITEM_RES!$A$5,MATCH(BUILDING!T303,ITEM_RES!$J$5:$J$228,0)-1,0),0)</f>
        <v>0</v>
      </c>
      <c r="X303" s="9">
        <f ca="1">IFERROR(OFFSET(ITEM_RES!$A$5,MATCH(BUILDING!W303,ITEM_RES!$J$5:$J$228,0)-1,0),0)</f>
        <v>0</v>
      </c>
      <c r="Z303" s="9" t="s">
        <v>550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467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768</v>
      </c>
      <c r="L304" s="9">
        <v>0</v>
      </c>
      <c r="M304" s="9">
        <v>15</v>
      </c>
      <c r="N304" s="142"/>
      <c r="R304" s="9" t="s">
        <v>767</v>
      </c>
      <c r="U304" s="9">
        <f ca="1">IFERROR(OFFSET(ITEM_RES!$A$5,MATCH(BUILDING!T304,ITEM_RES!$J$5:$J$228,0)-1,0),0)</f>
        <v>0</v>
      </c>
      <c r="X304" s="9">
        <f ca="1">IFERROR(OFFSET(ITEM_RES!$A$5,MATCH(BUILDING!W304,ITEM_RES!$J$5:$J$228,0)-1,0),0)</f>
        <v>0</v>
      </c>
      <c r="Z304" s="9" t="s">
        <v>550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467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79"/>
      <c r="H305" s="16">
        <v>1</v>
      </c>
      <c r="I305" s="16">
        <v>1</v>
      </c>
      <c r="J305" s="79"/>
      <c r="K305" s="16" t="s">
        <v>841</v>
      </c>
      <c r="L305" s="16">
        <v>1</v>
      </c>
      <c r="M305" s="16">
        <v>15</v>
      </c>
      <c r="N305" s="16" t="s">
        <v>842</v>
      </c>
      <c r="O305" s="17"/>
      <c r="P305" s="17"/>
      <c r="Q305" s="18"/>
      <c r="R305" s="16" t="s">
        <v>769</v>
      </c>
      <c r="S305" s="79"/>
      <c r="T305" s="87"/>
      <c r="U305" s="16">
        <f ca="1">IFERROR(OFFSET(ITEM_RES!$A$5,MATCH(BUILDING!T305,ITEM_RES!$J$5:$J$228,0)-1,0),0)</f>
        <v>0</v>
      </c>
      <c r="V305" s="18"/>
      <c r="W305" s="87"/>
      <c r="X305" s="16">
        <f ca="1">IFERROR(OFFSET(ITEM_RES!$A$5,MATCH(BUILDING!W305,ITEM_RES!$J$5:$J$228,0)-1,0),0)</f>
        <v>0</v>
      </c>
      <c r="Y305" s="79"/>
      <c r="Z305" s="16" t="s">
        <v>551</v>
      </c>
      <c r="AA305" s="16">
        <v>1</v>
      </c>
      <c r="AB305" s="79"/>
      <c r="AC305" s="16">
        <v>0</v>
      </c>
      <c r="AD305" s="79"/>
      <c r="AE305" s="57">
        <f t="shared" si="109"/>
        <v>580</v>
      </c>
      <c r="AF305" s="17">
        <f>AE305</f>
        <v>580</v>
      </c>
      <c r="AG305" s="79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455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213010101</v>
      </c>
      <c r="BA305" s="17" t="s">
        <v>478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841</v>
      </c>
      <c r="L306" s="9">
        <v>1</v>
      </c>
      <c r="M306" s="9">
        <v>15</v>
      </c>
      <c r="N306" s="9" t="s">
        <v>842</v>
      </c>
      <c r="R306" s="9" t="s">
        <v>769</v>
      </c>
      <c r="U306" s="9">
        <f ca="1">IFERROR(OFFSET(ITEM_RES!$A$5,MATCH(BUILDING!T306,ITEM_RES!$J$5:$J$228,0)-1,0),0)</f>
        <v>0</v>
      </c>
      <c r="X306" s="9">
        <f ca="1">IFERROR(OFFSET(ITEM_RES!$A$5,MATCH(BUILDING!W306,ITEM_RES!$J$5:$J$228,0)-1,0),0)</f>
        <v>0</v>
      </c>
      <c r="Z306" s="9" t="s">
        <v>551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455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841</v>
      </c>
      <c r="L307" s="9">
        <v>1</v>
      </c>
      <c r="M307" s="9">
        <v>15</v>
      </c>
      <c r="N307" s="9" t="s">
        <v>842</v>
      </c>
      <c r="R307" s="9" t="s">
        <v>769</v>
      </c>
      <c r="U307" s="9">
        <f ca="1">IFERROR(OFFSET(ITEM_RES!$A$5,MATCH(BUILDING!T307,ITEM_RES!$J$5:$J$228,0)-1,0),0)</f>
        <v>0</v>
      </c>
      <c r="X307" s="9">
        <f ca="1">IFERROR(OFFSET(ITEM_RES!$A$5,MATCH(BUILDING!W307,ITEM_RES!$J$5:$J$228,0)-1,0),0)</f>
        <v>0</v>
      </c>
      <c r="Z307" s="9" t="s">
        <v>551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455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841</v>
      </c>
      <c r="L308" s="9">
        <v>1</v>
      </c>
      <c r="M308" s="9">
        <v>15</v>
      </c>
      <c r="N308" s="9" t="s">
        <v>842</v>
      </c>
      <c r="R308" s="9" t="s">
        <v>769</v>
      </c>
      <c r="U308" s="9">
        <f ca="1">IFERROR(OFFSET(ITEM_RES!$A$5,MATCH(BUILDING!T308,ITEM_RES!$J$5:$J$228,0)-1,0),0)</f>
        <v>0</v>
      </c>
      <c r="X308" s="9">
        <f ca="1">IFERROR(OFFSET(ITEM_RES!$A$5,MATCH(BUILDING!W308,ITEM_RES!$J$5:$J$228,0)-1,0),0)</f>
        <v>0</v>
      </c>
      <c r="Z308" s="9" t="s">
        <v>551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455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841</v>
      </c>
      <c r="L309" s="9">
        <v>1</v>
      </c>
      <c r="M309" s="9">
        <v>15</v>
      </c>
      <c r="N309" s="9" t="s">
        <v>842</v>
      </c>
      <c r="R309" s="9" t="s">
        <v>769</v>
      </c>
      <c r="U309" s="9">
        <f ca="1">IFERROR(OFFSET(ITEM_RES!$A$5,MATCH(BUILDING!T309,ITEM_RES!$J$5:$J$228,0)-1,0),0)</f>
        <v>0</v>
      </c>
      <c r="X309" s="9">
        <f ca="1">IFERROR(OFFSET(ITEM_RES!$A$5,MATCH(BUILDING!W309,ITEM_RES!$J$5:$J$228,0)-1,0),0)</f>
        <v>0</v>
      </c>
      <c r="Z309" s="9" t="s">
        <v>551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455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841</v>
      </c>
      <c r="L310" s="9">
        <v>1</v>
      </c>
      <c r="M310" s="9">
        <v>15</v>
      </c>
      <c r="N310" s="9" t="s">
        <v>842</v>
      </c>
      <c r="R310" s="9" t="s">
        <v>769</v>
      </c>
      <c r="U310" s="9">
        <f ca="1">IFERROR(OFFSET(ITEM_RES!$A$5,MATCH(BUILDING!T310,ITEM_RES!$J$5:$J$228,0)-1,0),0)</f>
        <v>0</v>
      </c>
      <c r="X310" s="9">
        <f ca="1">IFERROR(OFFSET(ITEM_RES!$A$5,MATCH(BUILDING!W310,ITEM_RES!$J$5:$J$228,0)-1,0),0)</f>
        <v>0</v>
      </c>
      <c r="Z310" s="9" t="s">
        <v>551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455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841</v>
      </c>
      <c r="L311" s="9">
        <v>1</v>
      </c>
      <c r="M311" s="9">
        <v>15</v>
      </c>
      <c r="N311" s="9" t="s">
        <v>842</v>
      </c>
      <c r="R311" s="9" t="s">
        <v>769</v>
      </c>
      <c r="U311" s="9">
        <f ca="1">IFERROR(OFFSET(ITEM_RES!$A$5,MATCH(BUILDING!T311,ITEM_RES!$J$5:$J$228,0)-1,0),0)</f>
        <v>0</v>
      </c>
      <c r="X311" s="9">
        <f ca="1">IFERROR(OFFSET(ITEM_RES!$A$5,MATCH(BUILDING!W311,ITEM_RES!$J$5:$J$228,0)-1,0),0)</f>
        <v>0</v>
      </c>
      <c r="Z311" s="9" t="s">
        <v>551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455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841</v>
      </c>
      <c r="L312" s="9">
        <v>1</v>
      </c>
      <c r="M312" s="9">
        <v>15</v>
      </c>
      <c r="N312" s="9" t="s">
        <v>842</v>
      </c>
      <c r="R312" s="9" t="s">
        <v>769</v>
      </c>
      <c r="U312" s="9">
        <f ca="1">IFERROR(OFFSET(ITEM_RES!$A$5,MATCH(BUILDING!T312,ITEM_RES!$J$5:$J$228,0)-1,0),0)</f>
        <v>0</v>
      </c>
      <c r="X312" s="9">
        <f ca="1">IFERROR(OFFSET(ITEM_RES!$A$5,MATCH(BUILDING!W312,ITEM_RES!$J$5:$J$228,0)-1,0),0)</f>
        <v>0</v>
      </c>
      <c r="Z312" s="9" t="s">
        <v>551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455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841</v>
      </c>
      <c r="L313" s="9">
        <v>1</v>
      </c>
      <c r="M313" s="9">
        <v>15</v>
      </c>
      <c r="N313" s="9" t="s">
        <v>842</v>
      </c>
      <c r="R313" s="9" t="s">
        <v>769</v>
      </c>
      <c r="U313" s="9">
        <f ca="1">IFERROR(OFFSET(ITEM_RES!$A$5,MATCH(BUILDING!T313,ITEM_RES!$J$5:$J$228,0)-1,0),0)</f>
        <v>0</v>
      </c>
      <c r="X313" s="9">
        <f ca="1">IFERROR(OFFSET(ITEM_RES!$A$5,MATCH(BUILDING!W313,ITEM_RES!$J$5:$J$228,0)-1,0),0)</f>
        <v>0</v>
      </c>
      <c r="Z313" s="9" t="s">
        <v>551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455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841</v>
      </c>
      <c r="L314" s="9">
        <v>1</v>
      </c>
      <c r="M314" s="9">
        <v>15</v>
      </c>
      <c r="N314" s="9" t="s">
        <v>842</v>
      </c>
      <c r="R314" s="9" t="s">
        <v>769</v>
      </c>
      <c r="U314" s="9">
        <f ca="1">IFERROR(OFFSET(ITEM_RES!$A$5,MATCH(BUILDING!T314,ITEM_RES!$J$5:$J$228,0)-1,0),0)</f>
        <v>0</v>
      </c>
      <c r="X314" s="9">
        <f ca="1">IFERROR(OFFSET(ITEM_RES!$A$5,MATCH(BUILDING!W314,ITEM_RES!$J$5:$J$228,0)-1,0),0)</f>
        <v>0</v>
      </c>
      <c r="Z314" s="9" t="s">
        <v>551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455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841</v>
      </c>
      <c r="L315" s="9">
        <v>1</v>
      </c>
      <c r="M315" s="9">
        <v>15</v>
      </c>
      <c r="N315" s="9" t="s">
        <v>842</v>
      </c>
      <c r="R315" s="9" t="s">
        <v>769</v>
      </c>
      <c r="U315" s="9">
        <f ca="1">IFERROR(OFFSET(ITEM_RES!$A$5,MATCH(BUILDING!T315,ITEM_RES!$J$5:$J$228,0)-1,0),0)</f>
        <v>0</v>
      </c>
      <c r="X315" s="9">
        <f ca="1">IFERROR(OFFSET(ITEM_RES!$A$5,MATCH(BUILDING!W315,ITEM_RES!$J$5:$J$228,0)-1,0),0)</f>
        <v>0</v>
      </c>
      <c r="Z315" s="9" t="s">
        <v>551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455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841</v>
      </c>
      <c r="L316" s="9">
        <v>1</v>
      </c>
      <c r="M316" s="9">
        <v>15</v>
      </c>
      <c r="N316" s="9" t="s">
        <v>842</v>
      </c>
      <c r="R316" s="9" t="s">
        <v>769</v>
      </c>
      <c r="U316" s="9">
        <f ca="1">IFERROR(OFFSET(ITEM_RES!$A$5,MATCH(BUILDING!T316,ITEM_RES!$J$5:$J$228,0)-1,0),0)</f>
        <v>0</v>
      </c>
      <c r="X316" s="9">
        <f ca="1">IFERROR(OFFSET(ITEM_RES!$A$5,MATCH(BUILDING!W316,ITEM_RES!$J$5:$J$228,0)-1,0),0)</f>
        <v>0</v>
      </c>
      <c r="Z316" s="9" t="s">
        <v>551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455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841</v>
      </c>
      <c r="L317" s="9">
        <v>1</v>
      </c>
      <c r="M317" s="9">
        <v>15</v>
      </c>
      <c r="N317" s="9" t="s">
        <v>842</v>
      </c>
      <c r="R317" s="9" t="s">
        <v>769</v>
      </c>
      <c r="U317" s="9">
        <f ca="1">IFERROR(OFFSET(ITEM_RES!$A$5,MATCH(BUILDING!T317,ITEM_RES!$J$5:$J$228,0)-1,0),0)</f>
        <v>0</v>
      </c>
      <c r="X317" s="9">
        <f ca="1">IFERROR(OFFSET(ITEM_RES!$A$5,MATCH(BUILDING!W317,ITEM_RES!$J$5:$J$228,0)-1,0),0)</f>
        <v>0</v>
      </c>
      <c r="Z317" s="9" t="s">
        <v>551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455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841</v>
      </c>
      <c r="L318" s="9">
        <v>1</v>
      </c>
      <c r="M318" s="9">
        <v>15</v>
      </c>
      <c r="N318" s="9" t="s">
        <v>842</v>
      </c>
      <c r="R318" s="9" t="s">
        <v>769</v>
      </c>
      <c r="U318" s="9">
        <f ca="1">IFERROR(OFFSET(ITEM_RES!$A$5,MATCH(BUILDING!T318,ITEM_RES!$J$5:$J$228,0)-1,0),0)</f>
        <v>0</v>
      </c>
      <c r="X318" s="9">
        <f ca="1">IFERROR(OFFSET(ITEM_RES!$A$5,MATCH(BUILDING!W318,ITEM_RES!$J$5:$J$228,0)-1,0),0)</f>
        <v>0</v>
      </c>
      <c r="Z318" s="9" t="s">
        <v>551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455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213010901</v>
      </c>
      <c r="BF318" s="10" t="s">
        <v>490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841</v>
      </c>
      <c r="L319" s="9">
        <v>1</v>
      </c>
      <c r="M319" s="9">
        <v>15</v>
      </c>
      <c r="N319" s="9" t="s">
        <v>842</v>
      </c>
      <c r="R319" s="9" t="s">
        <v>769</v>
      </c>
      <c r="U319" s="9">
        <f ca="1">IFERROR(OFFSET(ITEM_RES!$A$5,MATCH(BUILDING!T319,ITEM_RES!$J$5:$J$228,0)-1,0),0)</f>
        <v>0</v>
      </c>
      <c r="X319" s="9">
        <f ca="1">IFERROR(OFFSET(ITEM_RES!$A$5,MATCH(BUILDING!W319,ITEM_RES!$J$5:$J$228,0)-1,0),0)</f>
        <v>0</v>
      </c>
      <c r="Z319" s="9" t="s">
        <v>551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455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841</v>
      </c>
      <c r="L320" s="9">
        <v>0</v>
      </c>
      <c r="M320" s="9">
        <v>15</v>
      </c>
      <c r="N320" s="9" t="s">
        <v>842</v>
      </c>
      <c r="R320" s="9" t="s">
        <v>769</v>
      </c>
      <c r="U320" s="9">
        <f ca="1">IFERROR(OFFSET(ITEM_RES!$A$5,MATCH(BUILDING!T320,ITEM_RES!$J$5:$J$228,0)-1,0),0)</f>
        <v>0</v>
      </c>
      <c r="X320" s="9">
        <f ca="1">IFERROR(OFFSET(ITEM_RES!$A$5,MATCH(BUILDING!W320,ITEM_RES!$J$5:$J$228,0)-1,0),0)</f>
        <v>0</v>
      </c>
      <c r="Z320" s="9" t="s">
        <v>551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455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841</v>
      </c>
      <c r="L321" s="9">
        <v>0</v>
      </c>
      <c r="M321" s="9">
        <v>15</v>
      </c>
      <c r="N321" s="9" t="s">
        <v>842</v>
      </c>
      <c r="R321" s="9" t="s">
        <v>769</v>
      </c>
      <c r="U321" s="9">
        <f ca="1">IFERROR(OFFSET(ITEM_RES!$A$5,MATCH(BUILDING!T321,ITEM_RES!$J$5:$J$228,0)-1,0),0)</f>
        <v>0</v>
      </c>
      <c r="X321" s="9">
        <f ca="1">IFERROR(OFFSET(ITEM_RES!$A$5,MATCH(BUILDING!W321,ITEM_RES!$J$5:$J$228,0)-1,0),0)</f>
        <v>0</v>
      </c>
      <c r="Z321" s="9" t="s">
        <v>551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455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841</v>
      </c>
      <c r="L322" s="9">
        <v>0</v>
      </c>
      <c r="M322" s="9">
        <v>15</v>
      </c>
      <c r="N322" s="9" t="s">
        <v>842</v>
      </c>
      <c r="R322" s="9" t="s">
        <v>769</v>
      </c>
      <c r="U322" s="9">
        <f ca="1">IFERROR(OFFSET(ITEM_RES!$A$5,MATCH(BUILDING!T322,ITEM_RES!$J$5:$J$228,0)-1,0),0)</f>
        <v>0</v>
      </c>
      <c r="X322" s="9">
        <f ca="1">IFERROR(OFFSET(ITEM_RES!$A$5,MATCH(BUILDING!W322,ITEM_RES!$J$5:$J$228,0)-1,0),0)</f>
        <v>0</v>
      </c>
      <c r="Z322" s="9" t="s">
        <v>551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455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841</v>
      </c>
      <c r="L323" s="9">
        <v>0</v>
      </c>
      <c r="M323" s="9">
        <v>15</v>
      </c>
      <c r="N323" s="9" t="s">
        <v>842</v>
      </c>
      <c r="R323" s="9" t="s">
        <v>769</v>
      </c>
      <c r="U323" s="9">
        <f ca="1">IFERROR(OFFSET(ITEM_RES!$A$5,MATCH(BUILDING!T323,ITEM_RES!$J$5:$J$228,0)-1,0),0)</f>
        <v>0</v>
      </c>
      <c r="X323" s="9">
        <f ca="1">IFERROR(OFFSET(ITEM_RES!$A$5,MATCH(BUILDING!W323,ITEM_RES!$J$5:$J$228,0)-1,0),0)</f>
        <v>0</v>
      </c>
      <c r="Z323" s="9" t="s">
        <v>551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467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841</v>
      </c>
      <c r="L324" s="9">
        <v>0</v>
      </c>
      <c r="M324" s="9">
        <v>15</v>
      </c>
      <c r="N324" s="9" t="s">
        <v>842</v>
      </c>
      <c r="R324" s="9" t="s">
        <v>769</v>
      </c>
      <c r="U324" s="9">
        <f ca="1">IFERROR(OFFSET(ITEM_RES!$A$5,MATCH(BUILDING!T324,ITEM_RES!$J$5:$J$228,0)-1,0),0)</f>
        <v>0</v>
      </c>
      <c r="X324" s="9">
        <f ca="1">IFERROR(OFFSET(ITEM_RES!$A$5,MATCH(BUILDING!W324,ITEM_RES!$J$5:$J$228,0)-1,0),0)</f>
        <v>0</v>
      </c>
      <c r="Z324" s="9" t="s">
        <v>551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467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79"/>
      <c r="H325" s="16">
        <v>2</v>
      </c>
      <c r="I325" s="16">
        <v>1</v>
      </c>
      <c r="J325" s="79"/>
      <c r="K325" s="16" t="s">
        <v>372</v>
      </c>
      <c r="L325" s="16">
        <v>1</v>
      </c>
      <c r="M325" s="16">
        <v>15</v>
      </c>
      <c r="N325" s="16" t="s">
        <v>839</v>
      </c>
      <c r="O325" s="17"/>
      <c r="P325" s="17"/>
      <c r="Q325" s="18"/>
      <c r="R325" s="16" t="s">
        <v>770</v>
      </c>
      <c r="S325" s="79"/>
      <c r="T325" s="87" t="s">
        <v>580</v>
      </c>
      <c r="U325" s="16">
        <f ca="1">IFERROR(OFFSET(ITEM_RES!$A$5,MATCH(BUILDING!T325,ITEM_RES!$J$5:$J$228,0)-1,0),0)</f>
        <v>211020601</v>
      </c>
      <c r="V325" s="18">
        <v>2</v>
      </c>
      <c r="W325" s="87" t="s">
        <v>575</v>
      </c>
      <c r="X325" s="16">
        <f ca="1">IFERROR(OFFSET(ITEM_RES!$A$5,MATCH(BUILDING!W325,ITEM_RES!$J$5:$J$228,0)-1,0),0)</f>
        <v>211020701</v>
      </c>
      <c r="Y325" s="79"/>
      <c r="Z325" s="16" t="s">
        <v>552</v>
      </c>
      <c r="AA325" s="16">
        <v>1</v>
      </c>
      <c r="AB325" s="79"/>
      <c r="AC325" s="16">
        <v>0</v>
      </c>
      <c r="AD325" s="79"/>
      <c r="AE325" s="57">
        <f t="shared" si="109"/>
        <v>605</v>
      </c>
      <c r="AF325" s="17">
        <f>AE325</f>
        <v>605</v>
      </c>
      <c r="AG325" s="79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456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455</v>
      </c>
      <c r="AW325" s="18">
        <v>25</v>
      </c>
      <c r="AX325" s="17"/>
      <c r="AY325" s="18"/>
      <c r="AZ325" s="18">
        <f ca="1">IFERROR(OFFSET(ITEM_RES!$A$1,MATCH(BA325,ITEM_RES!$J:$J,0)-1,0),0)</f>
        <v>213010101</v>
      </c>
      <c r="BA325" s="17" t="s">
        <v>478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372</v>
      </c>
      <c r="L326" s="9">
        <v>1</v>
      </c>
      <c r="M326" s="9">
        <v>15</v>
      </c>
      <c r="N326" s="9" t="s">
        <v>839</v>
      </c>
      <c r="R326" s="9" t="s">
        <v>770</v>
      </c>
      <c r="T326" s="85" t="s">
        <v>580</v>
      </c>
      <c r="U326" s="9">
        <f ca="1">IFERROR(OFFSET(ITEM_RES!$A$5,MATCH(BUILDING!T326,ITEM_RES!$J$5:$J$228,0)-1,0),0)</f>
        <v>211020601</v>
      </c>
      <c r="V326" s="11">
        <v>2</v>
      </c>
      <c r="W326" s="85" t="s">
        <v>575</v>
      </c>
      <c r="X326" s="9">
        <f ca="1">IFERROR(OFFSET(ITEM_RES!$A$5,MATCH(BUILDING!W326,ITEM_RES!$J$5:$J$228,0)-1,0),0)</f>
        <v>211020701</v>
      </c>
      <c r="Z326" s="9" t="s">
        <v>552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456</v>
      </c>
      <c r="AR326" s="11">
        <v>50</v>
      </c>
      <c r="AU326" s="11">
        <f ca="1">IFERROR(OFFSET(ITEM_RES!$A$1,MATCH(AV326,ITEM_RES!$J:$J,0)-1,0),0)</f>
        <v>211020801</v>
      </c>
      <c r="AV326" s="10" t="s">
        <v>455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372</v>
      </c>
      <c r="L327" s="9">
        <v>1</v>
      </c>
      <c r="M327" s="9">
        <v>15</v>
      </c>
      <c r="N327" s="9" t="s">
        <v>839</v>
      </c>
      <c r="R327" s="9" t="s">
        <v>770</v>
      </c>
      <c r="T327" s="85" t="s">
        <v>580</v>
      </c>
      <c r="U327" s="9">
        <f ca="1">IFERROR(OFFSET(ITEM_RES!$A$5,MATCH(BUILDING!T327,ITEM_RES!$J$5:$J$228,0)-1,0),0)</f>
        <v>211020601</v>
      </c>
      <c r="V327" s="11">
        <v>2</v>
      </c>
      <c r="W327" s="85" t="s">
        <v>575</v>
      </c>
      <c r="X327" s="9">
        <f ca="1">IFERROR(OFFSET(ITEM_RES!$A$5,MATCH(BUILDING!W327,ITEM_RES!$J$5:$J$228,0)-1,0),0)</f>
        <v>211020701</v>
      </c>
      <c r="Z327" s="9" t="s">
        <v>552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456</v>
      </c>
      <c r="AR327" s="11">
        <v>75</v>
      </c>
      <c r="AU327" s="11">
        <f ca="1">IFERROR(OFFSET(ITEM_RES!$A$1,MATCH(AV327,ITEM_RES!$J:$J,0)-1,0),0)</f>
        <v>211020801</v>
      </c>
      <c r="AV327" s="10" t="s">
        <v>455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372</v>
      </c>
      <c r="L328" s="9">
        <v>1</v>
      </c>
      <c r="M328" s="9">
        <v>15</v>
      </c>
      <c r="N328" s="9" t="s">
        <v>839</v>
      </c>
      <c r="R328" s="9" t="s">
        <v>770</v>
      </c>
      <c r="T328" s="85" t="s">
        <v>580</v>
      </c>
      <c r="U328" s="9">
        <f ca="1">IFERROR(OFFSET(ITEM_RES!$A$5,MATCH(BUILDING!T328,ITEM_RES!$J$5:$J$228,0)-1,0),0)</f>
        <v>211020601</v>
      </c>
      <c r="V328" s="11">
        <v>2</v>
      </c>
      <c r="W328" s="85" t="s">
        <v>575</v>
      </c>
      <c r="X328" s="9">
        <f ca="1">IFERROR(OFFSET(ITEM_RES!$A$5,MATCH(BUILDING!W328,ITEM_RES!$J$5:$J$228,0)-1,0),0)</f>
        <v>211020701</v>
      </c>
      <c r="Z328" s="9" t="s">
        <v>552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456</v>
      </c>
      <c r="AR328" s="11">
        <v>125</v>
      </c>
      <c r="AU328" s="11">
        <f ca="1">IFERROR(OFFSET(ITEM_RES!$A$1,MATCH(AV328,ITEM_RES!$J:$J,0)-1,0),0)</f>
        <v>211020801</v>
      </c>
      <c r="AV328" s="10" t="s">
        <v>455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372</v>
      </c>
      <c r="L329" s="9">
        <v>1</v>
      </c>
      <c r="M329" s="9">
        <v>15</v>
      </c>
      <c r="N329" s="9" t="s">
        <v>839</v>
      </c>
      <c r="R329" s="9" t="s">
        <v>770</v>
      </c>
      <c r="T329" s="85" t="s">
        <v>580</v>
      </c>
      <c r="U329" s="9">
        <f ca="1">IFERROR(OFFSET(ITEM_RES!$A$5,MATCH(BUILDING!T329,ITEM_RES!$J$5:$J$228,0)-1,0),0)</f>
        <v>211020601</v>
      </c>
      <c r="V329" s="11">
        <v>2</v>
      </c>
      <c r="W329" s="85" t="s">
        <v>575</v>
      </c>
      <c r="X329" s="9">
        <f ca="1">IFERROR(OFFSET(ITEM_RES!$A$5,MATCH(BUILDING!W329,ITEM_RES!$J$5:$J$228,0)-1,0),0)</f>
        <v>211020701</v>
      </c>
      <c r="Z329" s="9" t="s">
        <v>552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456</v>
      </c>
      <c r="AR329" s="11">
        <v>200</v>
      </c>
      <c r="AU329" s="11">
        <f ca="1">IFERROR(OFFSET(ITEM_RES!$A$1,MATCH(AV329,ITEM_RES!$J:$J,0)-1,0),0)</f>
        <v>211020801</v>
      </c>
      <c r="AV329" s="10" t="s">
        <v>455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372</v>
      </c>
      <c r="L330" s="9">
        <v>1</v>
      </c>
      <c r="M330" s="9">
        <v>15</v>
      </c>
      <c r="N330" s="9" t="s">
        <v>839</v>
      </c>
      <c r="R330" s="9" t="s">
        <v>770</v>
      </c>
      <c r="T330" s="85" t="s">
        <v>580</v>
      </c>
      <c r="U330" s="9">
        <f ca="1">IFERROR(OFFSET(ITEM_RES!$A$5,MATCH(BUILDING!T330,ITEM_RES!$J$5:$J$228,0)-1,0),0)</f>
        <v>211020601</v>
      </c>
      <c r="V330" s="11">
        <v>2</v>
      </c>
      <c r="W330" s="85" t="s">
        <v>575</v>
      </c>
      <c r="X330" s="9">
        <f ca="1">IFERROR(OFFSET(ITEM_RES!$A$5,MATCH(BUILDING!W330,ITEM_RES!$J$5:$J$228,0)-1,0),0)</f>
        <v>211020701</v>
      </c>
      <c r="Z330" s="9" t="s">
        <v>552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456</v>
      </c>
      <c r="AR330" s="11">
        <v>250</v>
      </c>
      <c r="AU330" s="11">
        <f ca="1">IFERROR(OFFSET(ITEM_RES!$A$1,MATCH(AV330,ITEM_RES!$J:$J,0)-1,0),0)</f>
        <v>211020801</v>
      </c>
      <c r="AV330" s="10" t="s">
        <v>455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371</v>
      </c>
      <c r="L331" s="9">
        <v>1</v>
      </c>
      <c r="M331" s="9">
        <v>15</v>
      </c>
      <c r="N331" s="9" t="s">
        <v>839</v>
      </c>
      <c r="R331" s="9" t="s">
        <v>770</v>
      </c>
      <c r="T331" s="85" t="s">
        <v>580</v>
      </c>
      <c r="U331" s="9">
        <f ca="1">IFERROR(OFFSET(ITEM_RES!$A$5,MATCH(BUILDING!T331,ITEM_RES!$J$5:$J$228,0)-1,0),0)</f>
        <v>211020601</v>
      </c>
      <c r="V331" s="11">
        <v>2</v>
      </c>
      <c r="W331" s="85" t="s">
        <v>575</v>
      </c>
      <c r="X331" s="9">
        <f ca="1">IFERROR(OFFSET(ITEM_RES!$A$5,MATCH(BUILDING!W331,ITEM_RES!$J$5:$J$228,0)-1,0),0)</f>
        <v>211020701</v>
      </c>
      <c r="Z331" s="9" t="s">
        <v>552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456</v>
      </c>
      <c r="AR331" s="11">
        <v>500</v>
      </c>
      <c r="AU331" s="11">
        <f ca="1">IFERROR(OFFSET(ITEM_RES!$A$1,MATCH(AV331,ITEM_RES!$J:$J,0)-1,0),0)</f>
        <v>211020801</v>
      </c>
      <c r="AV331" s="10" t="s">
        <v>455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371</v>
      </c>
      <c r="L332" s="9">
        <v>1</v>
      </c>
      <c r="M332" s="9">
        <v>15</v>
      </c>
      <c r="N332" s="9" t="s">
        <v>839</v>
      </c>
      <c r="R332" s="9" t="s">
        <v>770</v>
      </c>
      <c r="T332" s="85" t="s">
        <v>580</v>
      </c>
      <c r="U332" s="9">
        <f ca="1">IFERROR(OFFSET(ITEM_RES!$A$5,MATCH(BUILDING!T332,ITEM_RES!$J$5:$J$228,0)-1,0),0)</f>
        <v>211020601</v>
      </c>
      <c r="V332" s="11">
        <v>2</v>
      </c>
      <c r="W332" s="85" t="s">
        <v>575</v>
      </c>
      <c r="X332" s="9">
        <f ca="1">IFERROR(OFFSET(ITEM_RES!$A$5,MATCH(BUILDING!W332,ITEM_RES!$J$5:$J$228,0)-1,0),0)</f>
        <v>211020701</v>
      </c>
      <c r="Z332" s="9" t="s">
        <v>552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456</v>
      </c>
      <c r="AR332" s="11">
        <v>500</v>
      </c>
      <c r="AU332" s="11">
        <f ca="1">IFERROR(OFFSET(ITEM_RES!$A$1,MATCH(AV332,ITEM_RES!$J:$J,0)-1,0),0)</f>
        <v>211020801</v>
      </c>
      <c r="AV332" s="10" t="s">
        <v>455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213011001</v>
      </c>
      <c r="BF332" s="10" t="s">
        <v>491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371</v>
      </c>
      <c r="L333" s="9">
        <v>1</v>
      </c>
      <c r="M333" s="9">
        <v>15</v>
      </c>
      <c r="N333" s="9" t="s">
        <v>839</v>
      </c>
      <c r="R333" s="9" t="s">
        <v>770</v>
      </c>
      <c r="T333" s="85" t="s">
        <v>580</v>
      </c>
      <c r="U333" s="9">
        <f ca="1">IFERROR(OFFSET(ITEM_RES!$A$5,MATCH(BUILDING!T333,ITEM_RES!$J$5:$J$228,0)-1,0),0)</f>
        <v>211020601</v>
      </c>
      <c r="V333" s="11">
        <v>2</v>
      </c>
      <c r="W333" s="85" t="s">
        <v>575</v>
      </c>
      <c r="X333" s="9">
        <f ca="1">IFERROR(OFFSET(ITEM_RES!$A$5,MATCH(BUILDING!W333,ITEM_RES!$J$5:$J$228,0)-1,0),0)</f>
        <v>211020701</v>
      </c>
      <c r="Z333" s="9" t="s">
        <v>552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452</v>
      </c>
      <c r="AR333" s="11">
        <v>750</v>
      </c>
      <c r="AU333" s="11">
        <f ca="1">IFERROR(OFFSET(ITEM_RES!$A$1,MATCH(AV333,ITEM_RES!$J:$J,0)-1,0),0)</f>
        <v>211020801</v>
      </c>
      <c r="AV333" s="10" t="s">
        <v>455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371</v>
      </c>
      <c r="L334" s="9">
        <v>1</v>
      </c>
      <c r="M334" s="9">
        <v>15</v>
      </c>
      <c r="N334" s="9" t="s">
        <v>839</v>
      </c>
      <c r="R334" s="9" t="s">
        <v>770</v>
      </c>
      <c r="T334" s="85" t="s">
        <v>580</v>
      </c>
      <c r="U334" s="9">
        <f ca="1">IFERROR(OFFSET(ITEM_RES!$A$5,MATCH(BUILDING!T334,ITEM_RES!$J$5:$J$228,0)-1,0),0)</f>
        <v>211020601</v>
      </c>
      <c r="V334" s="11">
        <v>2</v>
      </c>
      <c r="W334" s="85" t="s">
        <v>575</v>
      </c>
      <c r="X334" s="9">
        <f ca="1">IFERROR(OFFSET(ITEM_RES!$A$5,MATCH(BUILDING!W334,ITEM_RES!$J$5:$J$228,0)-1,0),0)</f>
        <v>211020701</v>
      </c>
      <c r="Z334" s="9" t="s">
        <v>552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452</v>
      </c>
      <c r="AR334" s="11">
        <v>1000</v>
      </c>
      <c r="AU334" s="11">
        <f ca="1">IFERROR(OFFSET(ITEM_RES!$A$1,MATCH(AV334,ITEM_RES!$J:$J,0)-1,0),0)</f>
        <v>211020801</v>
      </c>
      <c r="AV334" s="10" t="s">
        <v>455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371</v>
      </c>
      <c r="L335" s="9">
        <v>1</v>
      </c>
      <c r="M335" s="9">
        <v>15</v>
      </c>
      <c r="N335" s="9" t="s">
        <v>839</v>
      </c>
      <c r="R335" s="9" t="s">
        <v>770</v>
      </c>
      <c r="T335" s="85" t="s">
        <v>580</v>
      </c>
      <c r="U335" s="9">
        <f ca="1">IFERROR(OFFSET(ITEM_RES!$A$5,MATCH(BUILDING!T335,ITEM_RES!$J$5:$J$228,0)-1,0),0)</f>
        <v>211020601</v>
      </c>
      <c r="V335" s="11">
        <v>2</v>
      </c>
      <c r="W335" s="85" t="s">
        <v>575</v>
      </c>
      <c r="X335" s="9">
        <f ca="1">IFERROR(OFFSET(ITEM_RES!$A$5,MATCH(BUILDING!W335,ITEM_RES!$J$5:$J$228,0)-1,0),0)</f>
        <v>211020701</v>
      </c>
      <c r="Z335" s="9" t="s">
        <v>552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452</v>
      </c>
      <c r="AR335" s="11">
        <v>1250</v>
      </c>
      <c r="AU335" s="11">
        <f ca="1">IFERROR(OFFSET(ITEM_RES!$A$1,MATCH(AV335,ITEM_RES!$J:$J,0)-1,0),0)</f>
        <v>211020801</v>
      </c>
      <c r="AV335" s="10" t="s">
        <v>455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371</v>
      </c>
      <c r="L336" s="9">
        <v>1</v>
      </c>
      <c r="M336" s="9">
        <v>15</v>
      </c>
      <c r="N336" s="9" t="s">
        <v>839</v>
      </c>
      <c r="R336" s="9" t="s">
        <v>770</v>
      </c>
      <c r="T336" s="85" t="s">
        <v>580</v>
      </c>
      <c r="U336" s="9">
        <f ca="1">IFERROR(OFFSET(ITEM_RES!$A$5,MATCH(BUILDING!T336,ITEM_RES!$J$5:$J$228,0)-1,0),0)</f>
        <v>211020601</v>
      </c>
      <c r="V336" s="11">
        <v>2</v>
      </c>
      <c r="W336" s="85" t="s">
        <v>575</v>
      </c>
      <c r="X336" s="9">
        <f ca="1">IFERROR(OFFSET(ITEM_RES!$A$5,MATCH(BUILDING!W336,ITEM_RES!$J$5:$J$228,0)-1,0),0)</f>
        <v>211020701</v>
      </c>
      <c r="Z336" s="9" t="s">
        <v>552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452</v>
      </c>
      <c r="AR336" s="11">
        <v>1500</v>
      </c>
      <c r="AU336" s="11">
        <f ca="1">IFERROR(OFFSET(ITEM_RES!$A$1,MATCH(AV336,ITEM_RES!$J:$J,0)-1,0),0)</f>
        <v>211020801</v>
      </c>
      <c r="AV336" s="10" t="s">
        <v>455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371</v>
      </c>
      <c r="L337" s="9">
        <v>1</v>
      </c>
      <c r="M337" s="9">
        <v>15</v>
      </c>
      <c r="N337" s="9" t="s">
        <v>839</v>
      </c>
      <c r="R337" s="9" t="s">
        <v>770</v>
      </c>
      <c r="T337" s="85" t="s">
        <v>580</v>
      </c>
      <c r="U337" s="9">
        <f ca="1">IFERROR(OFFSET(ITEM_RES!$A$5,MATCH(BUILDING!T337,ITEM_RES!$J$5:$J$228,0)-1,0),0)</f>
        <v>211020601</v>
      </c>
      <c r="V337" s="11">
        <v>2</v>
      </c>
      <c r="W337" s="85" t="s">
        <v>575</v>
      </c>
      <c r="X337" s="9">
        <f ca="1">IFERROR(OFFSET(ITEM_RES!$A$5,MATCH(BUILDING!W337,ITEM_RES!$J$5:$J$228,0)-1,0),0)</f>
        <v>211020701</v>
      </c>
      <c r="Z337" s="9" t="s">
        <v>552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452</v>
      </c>
      <c r="AR337" s="11">
        <v>1750</v>
      </c>
      <c r="AU337" s="11">
        <f ca="1">IFERROR(OFFSET(ITEM_RES!$A$1,MATCH(AV337,ITEM_RES!$J:$J,0)-1,0),0)</f>
        <v>211020801</v>
      </c>
      <c r="AV337" s="10" t="s">
        <v>455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371</v>
      </c>
      <c r="L338" s="9">
        <v>1</v>
      </c>
      <c r="M338" s="9">
        <v>15</v>
      </c>
      <c r="N338" s="9" t="s">
        <v>839</v>
      </c>
      <c r="R338" s="9" t="s">
        <v>770</v>
      </c>
      <c r="T338" s="85" t="s">
        <v>580</v>
      </c>
      <c r="U338" s="9">
        <f ca="1">IFERROR(OFFSET(ITEM_RES!$A$5,MATCH(BUILDING!T338,ITEM_RES!$J$5:$J$228,0)-1,0),0)</f>
        <v>211020601</v>
      </c>
      <c r="V338" s="11">
        <v>2</v>
      </c>
      <c r="W338" s="85" t="s">
        <v>575</v>
      </c>
      <c r="X338" s="9">
        <f ca="1">IFERROR(OFFSET(ITEM_RES!$A$5,MATCH(BUILDING!W338,ITEM_RES!$J$5:$J$228,0)-1,0),0)</f>
        <v>211020701</v>
      </c>
      <c r="Z338" s="9" t="s">
        <v>552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452</v>
      </c>
      <c r="AR338" s="11">
        <v>2250</v>
      </c>
      <c r="AU338" s="11">
        <f ca="1">IFERROR(OFFSET(ITEM_RES!$A$1,MATCH(AV338,ITEM_RES!$J:$J,0)-1,0),0)</f>
        <v>211020801</v>
      </c>
      <c r="AV338" s="10" t="s">
        <v>455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371</v>
      </c>
      <c r="L339" s="9">
        <v>1</v>
      </c>
      <c r="M339" s="9">
        <v>15</v>
      </c>
      <c r="N339" s="9" t="s">
        <v>839</v>
      </c>
      <c r="R339" s="9" t="s">
        <v>770</v>
      </c>
      <c r="T339" s="85" t="s">
        <v>580</v>
      </c>
      <c r="U339" s="9">
        <f ca="1">IFERROR(OFFSET(ITEM_RES!$A$5,MATCH(BUILDING!T339,ITEM_RES!$J$5:$J$228,0)-1,0),0)</f>
        <v>211020601</v>
      </c>
      <c r="V339" s="11">
        <v>2</v>
      </c>
      <c r="W339" s="85" t="s">
        <v>575</v>
      </c>
      <c r="X339" s="9">
        <f ca="1">IFERROR(OFFSET(ITEM_RES!$A$5,MATCH(BUILDING!W339,ITEM_RES!$J$5:$J$228,0)-1,0),0)</f>
        <v>211020701</v>
      </c>
      <c r="Z339" s="9" t="s">
        <v>552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452</v>
      </c>
      <c r="AR339" s="11">
        <v>2750</v>
      </c>
      <c r="AU339" s="11">
        <f ca="1">IFERROR(OFFSET(ITEM_RES!$A$1,MATCH(AV339,ITEM_RES!$J:$J,0)-1,0),0)</f>
        <v>211020801</v>
      </c>
      <c r="AV339" s="10" t="s">
        <v>455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371</v>
      </c>
      <c r="L340" s="9">
        <v>0</v>
      </c>
      <c r="M340" s="9">
        <v>15</v>
      </c>
      <c r="N340" s="9" t="s">
        <v>839</v>
      </c>
      <c r="R340" s="9" t="s">
        <v>770</v>
      </c>
      <c r="T340" s="85" t="s">
        <v>580</v>
      </c>
      <c r="U340" s="9">
        <f ca="1">IFERROR(OFFSET(ITEM_RES!$A$5,MATCH(BUILDING!T340,ITEM_RES!$J$5:$J$228,0)-1,0),0)</f>
        <v>211020601</v>
      </c>
      <c r="V340" s="11">
        <v>2</v>
      </c>
      <c r="W340" s="85" t="s">
        <v>575</v>
      </c>
      <c r="X340" s="9">
        <f ca="1">IFERROR(OFFSET(ITEM_RES!$A$5,MATCH(BUILDING!W340,ITEM_RES!$J$5:$J$228,0)-1,0),0)</f>
        <v>211020701</v>
      </c>
      <c r="Z340" s="9" t="s">
        <v>552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452</v>
      </c>
      <c r="AR340" s="11">
        <v>3500</v>
      </c>
      <c r="AU340" s="11">
        <f ca="1">IFERROR(OFFSET(ITEM_RES!$A$1,MATCH(AV340,ITEM_RES!$J:$J,0)-1,0),0)</f>
        <v>211020801</v>
      </c>
      <c r="AV340" s="10" t="s">
        <v>455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371</v>
      </c>
      <c r="L341" s="9">
        <v>0</v>
      </c>
      <c r="M341" s="9">
        <v>15</v>
      </c>
      <c r="N341" s="9" t="s">
        <v>839</v>
      </c>
      <c r="R341" s="9" t="s">
        <v>770</v>
      </c>
      <c r="T341" s="85" t="s">
        <v>580</v>
      </c>
      <c r="U341" s="9">
        <f ca="1">IFERROR(OFFSET(ITEM_RES!$A$5,MATCH(BUILDING!T341,ITEM_RES!$J$5:$J$228,0)-1,0),0)</f>
        <v>211020601</v>
      </c>
      <c r="V341" s="11">
        <v>2</v>
      </c>
      <c r="W341" s="85" t="s">
        <v>575</v>
      </c>
      <c r="X341" s="9">
        <f ca="1">IFERROR(OFFSET(ITEM_RES!$A$5,MATCH(BUILDING!W341,ITEM_RES!$J$5:$J$228,0)-1,0),0)</f>
        <v>211020701</v>
      </c>
      <c r="Z341" s="9" t="s">
        <v>552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452</v>
      </c>
      <c r="AR341" s="11">
        <v>4250</v>
      </c>
      <c r="AU341" s="11">
        <f ca="1">IFERROR(OFFSET(ITEM_RES!$A$1,MATCH(AV341,ITEM_RES!$J:$J,0)-1,0),0)</f>
        <v>211020801</v>
      </c>
      <c r="AV341" s="10" t="s">
        <v>455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371</v>
      </c>
      <c r="L342" s="9">
        <v>0</v>
      </c>
      <c r="M342" s="9">
        <v>15</v>
      </c>
      <c r="N342" s="9" t="s">
        <v>839</v>
      </c>
      <c r="R342" s="9" t="s">
        <v>770</v>
      </c>
      <c r="T342" s="85" t="s">
        <v>580</v>
      </c>
      <c r="U342" s="9">
        <f ca="1">IFERROR(OFFSET(ITEM_RES!$A$5,MATCH(BUILDING!T342,ITEM_RES!$J$5:$J$228,0)-1,0),0)</f>
        <v>211020601</v>
      </c>
      <c r="V342" s="11">
        <v>2</v>
      </c>
      <c r="W342" s="85" t="s">
        <v>575</v>
      </c>
      <c r="X342" s="9">
        <f ca="1">IFERROR(OFFSET(ITEM_RES!$A$5,MATCH(BUILDING!W342,ITEM_RES!$J$5:$J$228,0)-1,0),0)</f>
        <v>211020701</v>
      </c>
      <c r="Z342" s="9" t="s">
        <v>552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452</v>
      </c>
      <c r="AR342" s="11">
        <v>5250</v>
      </c>
      <c r="AU342" s="11">
        <f ca="1">IFERROR(OFFSET(ITEM_RES!$A$1,MATCH(AV342,ITEM_RES!$J:$J,0)-1,0),0)</f>
        <v>211020801</v>
      </c>
      <c r="AV342" s="10" t="s">
        <v>455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371</v>
      </c>
      <c r="L343" s="9">
        <v>0</v>
      </c>
      <c r="M343" s="9">
        <v>15</v>
      </c>
      <c r="N343" s="9" t="s">
        <v>839</v>
      </c>
      <c r="R343" s="9" t="s">
        <v>770</v>
      </c>
      <c r="T343" s="85" t="s">
        <v>580</v>
      </c>
      <c r="U343" s="9">
        <f ca="1">IFERROR(OFFSET(ITEM_RES!$A$5,MATCH(BUILDING!T343,ITEM_RES!$J$5:$J$228,0)-1,0),0)</f>
        <v>211020601</v>
      </c>
      <c r="V343" s="11">
        <v>2</v>
      </c>
      <c r="W343" s="85" t="s">
        <v>575</v>
      </c>
      <c r="X343" s="9">
        <f ca="1">IFERROR(OFFSET(ITEM_RES!$A$5,MATCH(BUILDING!W343,ITEM_RES!$J$5:$J$228,0)-1,0),0)</f>
        <v>211020701</v>
      </c>
      <c r="Z343" s="9" t="s">
        <v>552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452</v>
      </c>
      <c r="AR343" s="11">
        <v>6250</v>
      </c>
      <c r="AU343" s="11">
        <f ca="1">IFERROR(OFFSET(ITEM_RES!$A$1,MATCH(AV343,ITEM_RES!$J:$J,0)-1,0),0)</f>
        <v>211020801</v>
      </c>
      <c r="AV343" s="10" t="s">
        <v>455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371</v>
      </c>
      <c r="L344" s="9">
        <v>0</v>
      </c>
      <c r="M344" s="9">
        <v>15</v>
      </c>
      <c r="N344" s="9" t="s">
        <v>839</v>
      </c>
      <c r="R344" s="9" t="s">
        <v>770</v>
      </c>
      <c r="T344" s="85" t="s">
        <v>580</v>
      </c>
      <c r="U344" s="9">
        <f ca="1">IFERROR(OFFSET(ITEM_RES!$A$5,MATCH(BUILDING!T344,ITEM_RES!$J$5:$J$228,0)-1,0),0)</f>
        <v>211020601</v>
      </c>
      <c r="V344" s="11">
        <v>2</v>
      </c>
      <c r="W344" s="85" t="s">
        <v>575</v>
      </c>
      <c r="X344" s="9">
        <f ca="1">IFERROR(OFFSET(ITEM_RES!$A$5,MATCH(BUILDING!W344,ITEM_RES!$J$5:$J$228,0)-1,0),0)</f>
        <v>211020701</v>
      </c>
      <c r="Z344" s="9" t="s">
        <v>552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452</v>
      </c>
      <c r="AR344" s="11">
        <v>7500</v>
      </c>
      <c r="AU344" s="11">
        <f ca="1">IFERROR(OFFSET(ITEM_RES!$A$1,MATCH(AV344,ITEM_RES!$J:$J,0)-1,0),0)</f>
        <v>211020801</v>
      </c>
      <c r="AV344" s="10" t="s">
        <v>455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79"/>
      <c r="H345" s="16">
        <v>2</v>
      </c>
      <c r="I345" s="16">
        <v>1</v>
      </c>
      <c r="J345" s="79"/>
      <c r="K345" s="16" t="s">
        <v>373</v>
      </c>
      <c r="L345" s="16">
        <v>1</v>
      </c>
      <c r="M345" s="16">
        <v>15</v>
      </c>
      <c r="N345" s="16" t="s">
        <v>840</v>
      </c>
      <c r="O345" s="17"/>
      <c r="P345" s="17"/>
      <c r="Q345" s="18"/>
      <c r="R345" s="16" t="s">
        <v>771</v>
      </c>
      <c r="S345" s="79"/>
      <c r="T345" s="87" t="s">
        <v>581</v>
      </c>
      <c r="U345" s="16">
        <f ca="1">IFERROR(OFFSET(ITEM_RES!$A$5,MATCH(BUILDING!T345,ITEM_RES!$J$5:$J$228,0)-1,0),0)</f>
        <v>211020801</v>
      </c>
      <c r="V345" s="18">
        <v>1</v>
      </c>
      <c r="W345" s="87" t="s">
        <v>408</v>
      </c>
      <c r="X345" s="16">
        <f ca="1">IFERROR(OFFSET(ITEM_RES!$A$5,MATCH(BUILDING!W345,ITEM_RES!$J$5:$J$228,0)-1,0),0)</f>
        <v>211020901</v>
      </c>
      <c r="Y345" s="79"/>
      <c r="Z345" s="16" t="s">
        <v>553</v>
      </c>
      <c r="AA345" s="16">
        <v>1</v>
      </c>
      <c r="AB345" s="79"/>
      <c r="AC345" s="16">
        <v>0</v>
      </c>
      <c r="AD345" s="79"/>
      <c r="AE345" s="57">
        <f t="shared" si="109"/>
        <v>605</v>
      </c>
      <c r="AF345" s="17">
        <f>AE345</f>
        <v>605</v>
      </c>
      <c r="AG345" s="79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456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455</v>
      </c>
      <c r="AW345" s="18">
        <v>25</v>
      </c>
      <c r="AX345" s="17"/>
      <c r="AY345" s="18"/>
      <c r="AZ345" s="18">
        <f ca="1">IFERROR(OFFSET(ITEM_RES!$A$1,MATCH(BA345,ITEM_RES!$J:$J,0)-1,0),0)</f>
        <v>213010101</v>
      </c>
      <c r="BA345" s="17" t="s">
        <v>478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367</v>
      </c>
      <c r="L346" s="9">
        <v>1</v>
      </c>
      <c r="M346" s="9">
        <v>15</v>
      </c>
      <c r="N346" s="9" t="s">
        <v>840</v>
      </c>
      <c r="R346" s="9" t="s">
        <v>771</v>
      </c>
      <c r="T346" s="85" t="s">
        <v>581</v>
      </c>
      <c r="U346" s="9">
        <f ca="1">IFERROR(OFFSET(ITEM_RES!$A$5,MATCH(BUILDING!T346,ITEM_RES!$J$5:$J$228,0)-1,0),0)</f>
        <v>211020801</v>
      </c>
      <c r="V346" s="11">
        <v>1</v>
      </c>
      <c r="W346" s="85" t="s">
        <v>408</v>
      </c>
      <c r="X346" s="9">
        <f ca="1">IFERROR(OFFSET(ITEM_RES!$A$5,MATCH(BUILDING!W346,ITEM_RES!$J$5:$J$228,0)-1,0),0)</f>
        <v>211020901</v>
      </c>
      <c r="Z346" s="9" t="s">
        <v>553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456</v>
      </c>
      <c r="AR346" s="11">
        <v>50</v>
      </c>
      <c r="AU346" s="11">
        <f ca="1">IFERROR(OFFSET(ITEM_RES!$A$1,MATCH(AV346,ITEM_RES!$J:$J,0)-1,0),0)</f>
        <v>211020801</v>
      </c>
      <c r="AV346" s="10" t="s">
        <v>455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367</v>
      </c>
      <c r="L347" s="9">
        <v>1</v>
      </c>
      <c r="M347" s="9">
        <v>15</v>
      </c>
      <c r="N347" s="9" t="s">
        <v>840</v>
      </c>
      <c r="R347" s="9" t="s">
        <v>771</v>
      </c>
      <c r="T347" s="85" t="s">
        <v>581</v>
      </c>
      <c r="U347" s="9">
        <f ca="1">IFERROR(OFFSET(ITEM_RES!$A$5,MATCH(BUILDING!T347,ITEM_RES!$J$5:$J$228,0)-1,0),0)</f>
        <v>211020801</v>
      </c>
      <c r="V347" s="11">
        <v>1</v>
      </c>
      <c r="W347" s="85" t="s">
        <v>408</v>
      </c>
      <c r="X347" s="9">
        <f ca="1">IFERROR(OFFSET(ITEM_RES!$A$5,MATCH(BUILDING!W347,ITEM_RES!$J$5:$J$228,0)-1,0),0)</f>
        <v>211020901</v>
      </c>
      <c r="Z347" s="9" t="s">
        <v>553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456</v>
      </c>
      <c r="AR347" s="11">
        <v>75</v>
      </c>
      <c r="AU347" s="11">
        <f ca="1">IFERROR(OFFSET(ITEM_RES!$A$1,MATCH(AV347,ITEM_RES!$J:$J,0)-1,0),0)</f>
        <v>211020801</v>
      </c>
      <c r="AV347" s="10" t="s">
        <v>455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367</v>
      </c>
      <c r="L348" s="9">
        <v>1</v>
      </c>
      <c r="M348" s="9">
        <v>15</v>
      </c>
      <c r="N348" s="9" t="s">
        <v>840</v>
      </c>
      <c r="R348" s="9" t="s">
        <v>771</v>
      </c>
      <c r="T348" s="85" t="s">
        <v>581</v>
      </c>
      <c r="U348" s="9">
        <f ca="1">IFERROR(OFFSET(ITEM_RES!$A$5,MATCH(BUILDING!T348,ITEM_RES!$J$5:$J$228,0)-1,0),0)</f>
        <v>211020801</v>
      </c>
      <c r="V348" s="11">
        <v>1</v>
      </c>
      <c r="W348" s="85" t="s">
        <v>408</v>
      </c>
      <c r="X348" s="9">
        <f ca="1">IFERROR(OFFSET(ITEM_RES!$A$5,MATCH(BUILDING!W348,ITEM_RES!$J$5:$J$228,0)-1,0),0)</f>
        <v>211020901</v>
      </c>
      <c r="Z348" s="9" t="s">
        <v>553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456</v>
      </c>
      <c r="AR348" s="11">
        <v>125</v>
      </c>
      <c r="AU348" s="11">
        <f ca="1">IFERROR(OFFSET(ITEM_RES!$A$1,MATCH(AV348,ITEM_RES!$J:$J,0)-1,0),0)</f>
        <v>211020801</v>
      </c>
      <c r="AV348" s="10" t="s">
        <v>455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367</v>
      </c>
      <c r="L349" s="9">
        <v>1</v>
      </c>
      <c r="M349" s="9">
        <v>15</v>
      </c>
      <c r="N349" s="9" t="s">
        <v>840</v>
      </c>
      <c r="R349" s="9" t="s">
        <v>771</v>
      </c>
      <c r="T349" s="85" t="s">
        <v>581</v>
      </c>
      <c r="U349" s="9">
        <f ca="1">IFERROR(OFFSET(ITEM_RES!$A$5,MATCH(BUILDING!T349,ITEM_RES!$J$5:$J$228,0)-1,0),0)</f>
        <v>211020801</v>
      </c>
      <c r="V349" s="11">
        <v>1</v>
      </c>
      <c r="W349" s="85" t="s">
        <v>408</v>
      </c>
      <c r="X349" s="9">
        <f ca="1">IFERROR(OFFSET(ITEM_RES!$A$5,MATCH(BUILDING!W349,ITEM_RES!$J$5:$J$228,0)-1,0),0)</f>
        <v>211020901</v>
      </c>
      <c r="Z349" s="9" t="s">
        <v>553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456</v>
      </c>
      <c r="AR349" s="11">
        <v>200</v>
      </c>
      <c r="AU349" s="11">
        <f ca="1">IFERROR(OFFSET(ITEM_RES!$A$1,MATCH(AV349,ITEM_RES!$J:$J,0)-1,0),0)</f>
        <v>211020801</v>
      </c>
      <c r="AV349" s="10" t="s">
        <v>455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367</v>
      </c>
      <c r="L350" s="9">
        <v>1</v>
      </c>
      <c r="M350" s="9">
        <v>15</v>
      </c>
      <c r="N350" s="9" t="s">
        <v>840</v>
      </c>
      <c r="R350" s="9" t="s">
        <v>771</v>
      </c>
      <c r="T350" s="85" t="s">
        <v>581</v>
      </c>
      <c r="U350" s="9">
        <f ca="1">IFERROR(OFFSET(ITEM_RES!$A$5,MATCH(BUILDING!T350,ITEM_RES!$J$5:$J$228,0)-1,0),0)</f>
        <v>211020801</v>
      </c>
      <c r="V350" s="11">
        <v>1</v>
      </c>
      <c r="W350" s="85" t="s">
        <v>408</v>
      </c>
      <c r="X350" s="9">
        <f ca="1">IFERROR(OFFSET(ITEM_RES!$A$5,MATCH(BUILDING!W350,ITEM_RES!$J$5:$J$228,0)-1,0),0)</f>
        <v>211020901</v>
      </c>
      <c r="Z350" s="9" t="s">
        <v>553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456</v>
      </c>
      <c r="AR350" s="11">
        <v>250</v>
      </c>
      <c r="AU350" s="11">
        <f ca="1">IFERROR(OFFSET(ITEM_RES!$A$1,MATCH(AV350,ITEM_RES!$J:$J,0)-1,0),0)</f>
        <v>211020801</v>
      </c>
      <c r="AV350" s="10" t="s">
        <v>455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367</v>
      </c>
      <c r="L351" s="9">
        <v>1</v>
      </c>
      <c r="M351" s="9">
        <v>15</v>
      </c>
      <c r="N351" s="9" t="s">
        <v>840</v>
      </c>
      <c r="R351" s="9" t="s">
        <v>771</v>
      </c>
      <c r="T351" s="85" t="s">
        <v>581</v>
      </c>
      <c r="U351" s="9">
        <f ca="1">IFERROR(OFFSET(ITEM_RES!$A$5,MATCH(BUILDING!T351,ITEM_RES!$J$5:$J$228,0)-1,0),0)</f>
        <v>211020801</v>
      </c>
      <c r="V351" s="11">
        <v>1</v>
      </c>
      <c r="W351" s="85" t="s">
        <v>408</v>
      </c>
      <c r="X351" s="9">
        <f ca="1">IFERROR(OFFSET(ITEM_RES!$A$5,MATCH(BUILDING!W351,ITEM_RES!$J$5:$J$228,0)-1,0),0)</f>
        <v>211020901</v>
      </c>
      <c r="Z351" s="9" t="s">
        <v>553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456</v>
      </c>
      <c r="AR351" s="11">
        <v>500</v>
      </c>
      <c r="AU351" s="11">
        <f ca="1">IFERROR(OFFSET(ITEM_RES!$A$1,MATCH(AV351,ITEM_RES!$J:$J,0)-1,0),0)</f>
        <v>211020801</v>
      </c>
      <c r="AV351" s="10" t="s">
        <v>455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213011101</v>
      </c>
      <c r="BF351" s="10" t="s">
        <v>492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367</v>
      </c>
      <c r="L352" s="9">
        <v>1</v>
      </c>
      <c r="M352" s="9">
        <v>15</v>
      </c>
      <c r="N352" s="9" t="s">
        <v>840</v>
      </c>
      <c r="R352" s="9" t="s">
        <v>771</v>
      </c>
      <c r="T352" s="85" t="s">
        <v>581</v>
      </c>
      <c r="U352" s="9">
        <f ca="1">IFERROR(OFFSET(ITEM_RES!$A$5,MATCH(BUILDING!T352,ITEM_RES!$J$5:$J$228,0)-1,0),0)</f>
        <v>211020801</v>
      </c>
      <c r="V352" s="11">
        <v>1</v>
      </c>
      <c r="W352" s="85" t="s">
        <v>408</v>
      </c>
      <c r="X352" s="9">
        <f ca="1">IFERROR(OFFSET(ITEM_RES!$A$5,MATCH(BUILDING!W352,ITEM_RES!$J$5:$J$228,0)-1,0),0)</f>
        <v>211020901</v>
      </c>
      <c r="Z352" s="9" t="s">
        <v>553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456</v>
      </c>
      <c r="AR352" s="11">
        <v>500</v>
      </c>
      <c r="AU352" s="11">
        <f ca="1">IFERROR(OFFSET(ITEM_RES!$A$1,MATCH(AV352,ITEM_RES!$J:$J,0)-1,0),0)</f>
        <v>211020801</v>
      </c>
      <c r="AV352" s="10" t="s">
        <v>455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367</v>
      </c>
      <c r="L353" s="9">
        <v>1</v>
      </c>
      <c r="M353" s="9">
        <v>15</v>
      </c>
      <c r="N353" s="9" t="s">
        <v>840</v>
      </c>
      <c r="R353" s="9" t="s">
        <v>771</v>
      </c>
      <c r="T353" s="85" t="s">
        <v>581</v>
      </c>
      <c r="U353" s="9">
        <f ca="1">IFERROR(OFFSET(ITEM_RES!$A$5,MATCH(BUILDING!T353,ITEM_RES!$J$5:$J$228,0)-1,0),0)</f>
        <v>211020801</v>
      </c>
      <c r="V353" s="11">
        <v>1</v>
      </c>
      <c r="W353" s="85" t="s">
        <v>408</v>
      </c>
      <c r="X353" s="9">
        <f ca="1">IFERROR(OFFSET(ITEM_RES!$A$5,MATCH(BUILDING!W353,ITEM_RES!$J$5:$J$228,0)-1,0),0)</f>
        <v>211020901</v>
      </c>
      <c r="Z353" s="9" t="s">
        <v>553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456</v>
      </c>
      <c r="AR353" s="11">
        <v>750</v>
      </c>
      <c r="AU353" s="11">
        <f ca="1">IFERROR(OFFSET(ITEM_RES!$A$1,MATCH(AV353,ITEM_RES!$J:$J,0)-1,0),0)</f>
        <v>211020801</v>
      </c>
      <c r="AV353" s="10" t="s">
        <v>455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367</v>
      </c>
      <c r="L354" s="9">
        <v>1</v>
      </c>
      <c r="M354" s="9">
        <v>15</v>
      </c>
      <c r="N354" s="9" t="s">
        <v>840</v>
      </c>
      <c r="R354" s="9" t="s">
        <v>771</v>
      </c>
      <c r="T354" s="85" t="s">
        <v>581</v>
      </c>
      <c r="U354" s="9">
        <f ca="1">IFERROR(OFFSET(ITEM_RES!$A$5,MATCH(BUILDING!T354,ITEM_RES!$J$5:$J$228,0)-1,0),0)</f>
        <v>211020801</v>
      </c>
      <c r="V354" s="11">
        <v>1</v>
      </c>
      <c r="W354" s="85" t="s">
        <v>408</v>
      </c>
      <c r="X354" s="9">
        <f ca="1">IFERROR(OFFSET(ITEM_RES!$A$5,MATCH(BUILDING!W354,ITEM_RES!$J$5:$J$228,0)-1,0),0)</f>
        <v>211020901</v>
      </c>
      <c r="Z354" s="9" t="s">
        <v>553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456</v>
      </c>
      <c r="AR354" s="11">
        <v>1000</v>
      </c>
      <c r="AU354" s="11">
        <f ca="1">IFERROR(OFFSET(ITEM_RES!$A$1,MATCH(AV354,ITEM_RES!$J:$J,0)-1,0),0)</f>
        <v>211020801</v>
      </c>
      <c r="AV354" s="10" t="s">
        <v>455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367</v>
      </c>
      <c r="L355" s="9">
        <v>1</v>
      </c>
      <c r="M355" s="9">
        <v>15</v>
      </c>
      <c r="N355" s="9" t="s">
        <v>840</v>
      </c>
      <c r="R355" s="9" t="s">
        <v>771</v>
      </c>
      <c r="T355" s="85" t="s">
        <v>581</v>
      </c>
      <c r="U355" s="9">
        <f ca="1">IFERROR(OFFSET(ITEM_RES!$A$5,MATCH(BUILDING!T355,ITEM_RES!$J$5:$J$228,0)-1,0),0)</f>
        <v>211020801</v>
      </c>
      <c r="V355" s="11">
        <v>1</v>
      </c>
      <c r="W355" s="85" t="s">
        <v>408</v>
      </c>
      <c r="X355" s="9">
        <f ca="1">IFERROR(OFFSET(ITEM_RES!$A$5,MATCH(BUILDING!W355,ITEM_RES!$J$5:$J$228,0)-1,0),0)</f>
        <v>211020901</v>
      </c>
      <c r="Z355" s="9" t="s">
        <v>553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456</v>
      </c>
      <c r="AR355" s="11">
        <v>1250</v>
      </c>
      <c r="AU355" s="11">
        <f ca="1">IFERROR(OFFSET(ITEM_RES!$A$1,MATCH(AV355,ITEM_RES!$J:$J,0)-1,0),0)</f>
        <v>211020801</v>
      </c>
      <c r="AV355" s="10" t="s">
        <v>455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367</v>
      </c>
      <c r="L356" s="9">
        <v>1</v>
      </c>
      <c r="M356" s="9">
        <v>15</v>
      </c>
      <c r="N356" s="9" t="s">
        <v>840</v>
      </c>
      <c r="R356" s="9" t="s">
        <v>771</v>
      </c>
      <c r="T356" s="85" t="s">
        <v>581</v>
      </c>
      <c r="U356" s="9">
        <f ca="1">IFERROR(OFFSET(ITEM_RES!$A$5,MATCH(BUILDING!T356,ITEM_RES!$J$5:$J$228,0)-1,0),0)</f>
        <v>211020801</v>
      </c>
      <c r="V356" s="11">
        <v>1</v>
      </c>
      <c r="W356" s="85" t="s">
        <v>408</v>
      </c>
      <c r="X356" s="9">
        <f ca="1">IFERROR(OFFSET(ITEM_RES!$A$5,MATCH(BUILDING!W356,ITEM_RES!$J$5:$J$228,0)-1,0),0)</f>
        <v>211020901</v>
      </c>
      <c r="Z356" s="9" t="s">
        <v>553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452</v>
      </c>
      <c r="AR356" s="11">
        <v>1500</v>
      </c>
      <c r="AU356" s="11">
        <f ca="1">IFERROR(OFFSET(ITEM_RES!$A$1,MATCH(AV356,ITEM_RES!$J:$J,0)-1,0),0)</f>
        <v>211020801</v>
      </c>
      <c r="AV356" s="10" t="s">
        <v>455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367</v>
      </c>
      <c r="L357" s="9">
        <v>1</v>
      </c>
      <c r="M357" s="9">
        <v>15</v>
      </c>
      <c r="N357" s="9" t="s">
        <v>840</v>
      </c>
      <c r="R357" s="9" t="s">
        <v>771</v>
      </c>
      <c r="T357" s="85" t="s">
        <v>581</v>
      </c>
      <c r="U357" s="9">
        <f ca="1">IFERROR(OFFSET(ITEM_RES!$A$5,MATCH(BUILDING!T357,ITEM_RES!$J$5:$J$228,0)-1,0),0)</f>
        <v>211020801</v>
      </c>
      <c r="V357" s="11">
        <v>1</v>
      </c>
      <c r="W357" s="85" t="s">
        <v>408</v>
      </c>
      <c r="X357" s="9">
        <f ca="1">IFERROR(OFFSET(ITEM_RES!$A$5,MATCH(BUILDING!W357,ITEM_RES!$J$5:$J$228,0)-1,0),0)</f>
        <v>211020901</v>
      </c>
      <c r="Z357" s="9" t="s">
        <v>553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452</v>
      </c>
      <c r="AR357" s="11">
        <v>1750</v>
      </c>
      <c r="AU357" s="11">
        <f ca="1">IFERROR(OFFSET(ITEM_RES!$A$1,MATCH(AV357,ITEM_RES!$J:$J,0)-1,0),0)</f>
        <v>211020801</v>
      </c>
      <c r="AV357" s="10" t="s">
        <v>455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367</v>
      </c>
      <c r="L358" s="9">
        <v>1</v>
      </c>
      <c r="M358" s="9">
        <v>15</v>
      </c>
      <c r="N358" s="9" t="s">
        <v>840</v>
      </c>
      <c r="R358" s="9" t="s">
        <v>771</v>
      </c>
      <c r="T358" s="85" t="s">
        <v>581</v>
      </c>
      <c r="U358" s="9">
        <f ca="1">IFERROR(OFFSET(ITEM_RES!$A$5,MATCH(BUILDING!T358,ITEM_RES!$J$5:$J$228,0)-1,0),0)</f>
        <v>211020801</v>
      </c>
      <c r="V358" s="11">
        <v>1</v>
      </c>
      <c r="W358" s="85" t="s">
        <v>408</v>
      </c>
      <c r="X358" s="9">
        <f ca="1">IFERROR(OFFSET(ITEM_RES!$A$5,MATCH(BUILDING!W358,ITEM_RES!$J$5:$J$228,0)-1,0),0)</f>
        <v>211020901</v>
      </c>
      <c r="Z358" s="9" t="s">
        <v>553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452</v>
      </c>
      <c r="AR358" s="11">
        <v>2250</v>
      </c>
      <c r="AU358" s="11">
        <f ca="1">IFERROR(OFFSET(ITEM_RES!$A$1,MATCH(AV358,ITEM_RES!$J:$J,0)-1,0),0)</f>
        <v>211020801</v>
      </c>
      <c r="AV358" s="10" t="s">
        <v>455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367</v>
      </c>
      <c r="L359" s="9">
        <v>1</v>
      </c>
      <c r="M359" s="9">
        <v>15</v>
      </c>
      <c r="N359" s="9" t="s">
        <v>840</v>
      </c>
      <c r="R359" s="9" t="s">
        <v>771</v>
      </c>
      <c r="T359" s="85" t="s">
        <v>581</v>
      </c>
      <c r="U359" s="9">
        <f ca="1">IFERROR(OFFSET(ITEM_RES!$A$5,MATCH(BUILDING!T359,ITEM_RES!$J$5:$J$228,0)-1,0),0)</f>
        <v>211020801</v>
      </c>
      <c r="V359" s="11">
        <v>1</v>
      </c>
      <c r="W359" s="85" t="s">
        <v>408</v>
      </c>
      <c r="X359" s="9">
        <f ca="1">IFERROR(OFFSET(ITEM_RES!$A$5,MATCH(BUILDING!W359,ITEM_RES!$J$5:$J$228,0)-1,0),0)</f>
        <v>211020901</v>
      </c>
      <c r="Z359" s="9" t="s">
        <v>553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452</v>
      </c>
      <c r="AR359" s="11">
        <v>2750</v>
      </c>
      <c r="AU359" s="11">
        <f ca="1">IFERROR(OFFSET(ITEM_RES!$A$1,MATCH(AV359,ITEM_RES!$J:$J,0)-1,0),0)</f>
        <v>211020801</v>
      </c>
      <c r="AV359" s="10" t="s">
        <v>455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367</v>
      </c>
      <c r="L360" s="9">
        <v>0</v>
      </c>
      <c r="M360" s="9">
        <v>15</v>
      </c>
      <c r="N360" s="9" t="s">
        <v>840</v>
      </c>
      <c r="R360" s="9" t="s">
        <v>771</v>
      </c>
      <c r="T360" s="85" t="s">
        <v>581</v>
      </c>
      <c r="U360" s="9">
        <f ca="1">IFERROR(OFFSET(ITEM_RES!$A$5,MATCH(BUILDING!T360,ITEM_RES!$J$5:$J$228,0)-1,0),0)</f>
        <v>211020801</v>
      </c>
      <c r="V360" s="11">
        <v>1</v>
      </c>
      <c r="W360" s="85" t="s">
        <v>408</v>
      </c>
      <c r="X360" s="9">
        <f ca="1">IFERROR(OFFSET(ITEM_RES!$A$5,MATCH(BUILDING!W360,ITEM_RES!$J$5:$J$228,0)-1,0),0)</f>
        <v>211020901</v>
      </c>
      <c r="Z360" s="9" t="s">
        <v>553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452</v>
      </c>
      <c r="AR360" s="11">
        <v>3500</v>
      </c>
      <c r="AU360" s="11">
        <f ca="1">IFERROR(OFFSET(ITEM_RES!$A$1,MATCH(AV360,ITEM_RES!$J:$J,0)-1,0),0)</f>
        <v>211020801</v>
      </c>
      <c r="AV360" s="10" t="s">
        <v>455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367</v>
      </c>
      <c r="L361" s="9">
        <v>0</v>
      </c>
      <c r="M361" s="9">
        <v>15</v>
      </c>
      <c r="N361" s="9" t="s">
        <v>840</v>
      </c>
      <c r="R361" s="9" t="s">
        <v>771</v>
      </c>
      <c r="T361" s="85" t="s">
        <v>581</v>
      </c>
      <c r="U361" s="9">
        <f ca="1">IFERROR(OFFSET(ITEM_RES!$A$5,MATCH(BUILDING!T361,ITEM_RES!$J$5:$J$228,0)-1,0),0)</f>
        <v>211020801</v>
      </c>
      <c r="V361" s="11">
        <v>1</v>
      </c>
      <c r="W361" s="85" t="s">
        <v>408</v>
      </c>
      <c r="X361" s="9">
        <f ca="1">IFERROR(OFFSET(ITEM_RES!$A$5,MATCH(BUILDING!W361,ITEM_RES!$J$5:$J$228,0)-1,0),0)</f>
        <v>211020901</v>
      </c>
      <c r="Z361" s="9" t="s">
        <v>553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452</v>
      </c>
      <c r="AR361" s="11">
        <v>4250</v>
      </c>
      <c r="AU361" s="11">
        <f ca="1">IFERROR(OFFSET(ITEM_RES!$A$1,MATCH(AV361,ITEM_RES!$J:$J,0)-1,0),0)</f>
        <v>211020801</v>
      </c>
      <c r="AV361" s="10" t="s">
        <v>455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367</v>
      </c>
      <c r="L362" s="9">
        <v>0</v>
      </c>
      <c r="M362" s="9">
        <v>15</v>
      </c>
      <c r="N362" s="9" t="s">
        <v>840</v>
      </c>
      <c r="R362" s="9" t="s">
        <v>771</v>
      </c>
      <c r="T362" s="85" t="s">
        <v>581</v>
      </c>
      <c r="U362" s="9">
        <f ca="1">IFERROR(OFFSET(ITEM_RES!$A$5,MATCH(BUILDING!T362,ITEM_RES!$J$5:$J$228,0)-1,0),0)</f>
        <v>211020801</v>
      </c>
      <c r="V362" s="11">
        <v>1</v>
      </c>
      <c r="W362" s="85" t="s">
        <v>408</v>
      </c>
      <c r="X362" s="9">
        <f ca="1">IFERROR(OFFSET(ITEM_RES!$A$5,MATCH(BUILDING!W362,ITEM_RES!$J$5:$J$228,0)-1,0),0)</f>
        <v>211020901</v>
      </c>
      <c r="Z362" s="9" t="s">
        <v>553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452</v>
      </c>
      <c r="AR362" s="11">
        <v>5250</v>
      </c>
      <c r="AU362" s="11">
        <f ca="1">IFERROR(OFFSET(ITEM_RES!$A$1,MATCH(AV362,ITEM_RES!$J:$J,0)-1,0),0)</f>
        <v>211020801</v>
      </c>
      <c r="AV362" s="10" t="s">
        <v>455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367</v>
      </c>
      <c r="L363" s="9">
        <v>0</v>
      </c>
      <c r="M363" s="9">
        <v>15</v>
      </c>
      <c r="N363" s="9" t="s">
        <v>840</v>
      </c>
      <c r="R363" s="9" t="s">
        <v>771</v>
      </c>
      <c r="T363" s="85" t="s">
        <v>581</v>
      </c>
      <c r="U363" s="9">
        <f ca="1">IFERROR(OFFSET(ITEM_RES!$A$5,MATCH(BUILDING!T363,ITEM_RES!$J$5:$J$228,0)-1,0),0)</f>
        <v>211020801</v>
      </c>
      <c r="V363" s="11">
        <v>1</v>
      </c>
      <c r="W363" s="85" t="s">
        <v>408</v>
      </c>
      <c r="X363" s="9">
        <f ca="1">IFERROR(OFFSET(ITEM_RES!$A$5,MATCH(BUILDING!W363,ITEM_RES!$J$5:$J$228,0)-1,0),0)</f>
        <v>211020901</v>
      </c>
      <c r="Z363" s="9" t="s">
        <v>553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452</v>
      </c>
      <c r="AR363" s="11">
        <v>6250</v>
      </c>
      <c r="AU363" s="11">
        <f ca="1">IFERROR(OFFSET(ITEM_RES!$A$1,MATCH(AV363,ITEM_RES!$J:$J,0)-1,0),0)</f>
        <v>211020801</v>
      </c>
      <c r="AV363" s="10" t="s">
        <v>455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367</v>
      </c>
      <c r="L364" s="9">
        <v>0</v>
      </c>
      <c r="M364" s="9">
        <v>15</v>
      </c>
      <c r="N364" s="9" t="s">
        <v>840</v>
      </c>
      <c r="R364" s="9" t="s">
        <v>771</v>
      </c>
      <c r="T364" s="85" t="s">
        <v>581</v>
      </c>
      <c r="U364" s="9">
        <f ca="1">IFERROR(OFFSET(ITEM_RES!$A$5,MATCH(BUILDING!T364,ITEM_RES!$J$5:$J$228,0)-1,0),0)</f>
        <v>211020801</v>
      </c>
      <c r="V364" s="11">
        <v>1</v>
      </c>
      <c r="W364" s="85" t="s">
        <v>408</v>
      </c>
      <c r="X364" s="9">
        <f ca="1">IFERROR(OFFSET(ITEM_RES!$A$5,MATCH(BUILDING!W364,ITEM_RES!$J$5:$J$228,0)-1,0),0)</f>
        <v>211020901</v>
      </c>
      <c r="Z364" s="9" t="s">
        <v>553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452</v>
      </c>
      <c r="AR364" s="11">
        <v>7500</v>
      </c>
      <c r="AU364" s="11">
        <f ca="1">IFERROR(OFFSET(ITEM_RES!$A$1,MATCH(AV364,ITEM_RES!$J:$J,0)-1,0),0)</f>
        <v>211020801</v>
      </c>
      <c r="AV364" s="10" t="s">
        <v>455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79"/>
      <c r="H365" s="16">
        <v>1</v>
      </c>
      <c r="I365" s="16">
        <v>1</v>
      </c>
      <c r="J365" s="79"/>
      <c r="K365" s="16" t="s">
        <v>377</v>
      </c>
      <c r="L365" s="16">
        <v>1</v>
      </c>
      <c r="M365" s="16">
        <v>15</v>
      </c>
      <c r="N365" s="16" t="s">
        <v>838</v>
      </c>
      <c r="O365" s="17"/>
      <c r="P365" s="17"/>
      <c r="Q365" s="18"/>
      <c r="R365" s="16" t="s">
        <v>777</v>
      </c>
      <c r="S365" s="79"/>
      <c r="T365" s="87"/>
      <c r="U365" s="16">
        <f ca="1">IFERROR(OFFSET(ITEM_RES!$A$5,MATCH(BUILDING!T365,ITEM_RES!$J$5:$J$228,0)-1,0),0)</f>
        <v>0</v>
      </c>
      <c r="V365" s="18"/>
      <c r="W365" s="87" t="s">
        <v>576</v>
      </c>
      <c r="X365" s="16">
        <f ca="1">IFERROR(OFFSET(ITEM_RES!$A$5,MATCH(BUILDING!W365,ITEM_RES!$J$5:$J$228,0)-1,0),0)</f>
        <v>211020201</v>
      </c>
      <c r="Y365" s="79"/>
      <c r="Z365" s="16" t="s">
        <v>554</v>
      </c>
      <c r="AA365" s="16">
        <v>1</v>
      </c>
      <c r="AB365" s="79"/>
      <c r="AC365" s="16">
        <v>0</v>
      </c>
      <c r="AD365" s="79"/>
      <c r="AE365" s="57">
        <f t="shared" si="109"/>
        <v>605</v>
      </c>
      <c r="AF365" s="17">
        <f>AE365</f>
        <v>605</v>
      </c>
      <c r="AG365" s="79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446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472</v>
      </c>
      <c r="AW365" s="18">
        <v>25</v>
      </c>
      <c r="AX365" s="17"/>
      <c r="AY365" s="18"/>
      <c r="AZ365" s="18">
        <f ca="1">IFERROR(OFFSET(ITEM_RES!$A$1,MATCH(BA365,ITEM_RES!$J:$J,0)-1,0),0)</f>
        <v>213010101</v>
      </c>
      <c r="BA365" s="17" t="s">
        <v>478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377</v>
      </c>
      <c r="L366" s="9">
        <v>1</v>
      </c>
      <c r="M366" s="9">
        <v>15</v>
      </c>
      <c r="N366" s="9" t="s">
        <v>838</v>
      </c>
      <c r="R366" s="9" t="s">
        <v>777</v>
      </c>
      <c r="U366" s="9">
        <f ca="1">IFERROR(OFFSET(ITEM_RES!$A$5,MATCH(BUILDING!T366,ITEM_RES!$J$5:$J$228,0)-1,0),0)</f>
        <v>0</v>
      </c>
      <c r="W366" s="85" t="s">
        <v>576</v>
      </c>
      <c r="X366" s="9">
        <f ca="1">IFERROR(OFFSET(ITEM_RES!$A$5,MATCH(BUILDING!W366,ITEM_RES!$J$5:$J$228,0)-1,0),0)</f>
        <v>211020201</v>
      </c>
      <c r="Z366" s="9" t="s">
        <v>554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446</v>
      </c>
      <c r="AR366" s="11">
        <v>50</v>
      </c>
      <c r="AU366" s="11">
        <f ca="1">IFERROR(OFFSET(ITEM_RES!$A$1,MATCH(AV366,ITEM_RES!$J:$J,0)-1,0),0)</f>
        <v>211020101</v>
      </c>
      <c r="AV366" s="10" t="s">
        <v>472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377</v>
      </c>
      <c r="L367" s="9">
        <v>1</v>
      </c>
      <c r="M367" s="9">
        <v>15</v>
      </c>
      <c r="N367" s="9" t="s">
        <v>838</v>
      </c>
      <c r="R367" s="9" t="s">
        <v>777</v>
      </c>
      <c r="U367" s="9">
        <f ca="1">IFERROR(OFFSET(ITEM_RES!$A$5,MATCH(BUILDING!T367,ITEM_RES!$J$5:$J$228,0)-1,0),0)</f>
        <v>0</v>
      </c>
      <c r="W367" s="85" t="s">
        <v>576</v>
      </c>
      <c r="X367" s="9">
        <f ca="1">IFERROR(OFFSET(ITEM_RES!$A$5,MATCH(BUILDING!W367,ITEM_RES!$J$5:$J$228,0)-1,0),0)</f>
        <v>211020201</v>
      </c>
      <c r="Z367" s="9" t="s">
        <v>554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446</v>
      </c>
      <c r="AR367" s="11">
        <v>75</v>
      </c>
      <c r="AU367" s="11">
        <f ca="1">IFERROR(OFFSET(ITEM_RES!$A$1,MATCH(AV367,ITEM_RES!$J:$J,0)-1,0),0)</f>
        <v>211020101</v>
      </c>
      <c r="AV367" s="10" t="s">
        <v>472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377</v>
      </c>
      <c r="L368" s="9">
        <v>1</v>
      </c>
      <c r="M368" s="9">
        <v>15</v>
      </c>
      <c r="N368" s="9" t="s">
        <v>838</v>
      </c>
      <c r="R368" s="9" t="s">
        <v>777</v>
      </c>
      <c r="U368" s="9">
        <f ca="1">IFERROR(OFFSET(ITEM_RES!$A$5,MATCH(BUILDING!T368,ITEM_RES!$J$5:$J$228,0)-1,0),0)</f>
        <v>0</v>
      </c>
      <c r="W368" s="85" t="s">
        <v>576</v>
      </c>
      <c r="X368" s="9">
        <f ca="1">IFERROR(OFFSET(ITEM_RES!$A$5,MATCH(BUILDING!W368,ITEM_RES!$J$5:$J$228,0)-1,0),0)</f>
        <v>211020201</v>
      </c>
      <c r="Z368" s="9" t="s">
        <v>554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446</v>
      </c>
      <c r="AR368" s="11">
        <v>125</v>
      </c>
      <c r="AU368" s="11">
        <f ca="1">IFERROR(OFFSET(ITEM_RES!$A$1,MATCH(AV368,ITEM_RES!$J:$J,0)-1,0),0)</f>
        <v>211020101</v>
      </c>
      <c r="AV368" s="10" t="s">
        <v>472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377</v>
      </c>
      <c r="L369" s="9">
        <v>1</v>
      </c>
      <c r="M369" s="9">
        <v>15</v>
      </c>
      <c r="N369" s="9" t="s">
        <v>838</v>
      </c>
      <c r="R369" s="9" t="s">
        <v>777</v>
      </c>
      <c r="U369" s="9">
        <f ca="1">IFERROR(OFFSET(ITEM_RES!$A$5,MATCH(BUILDING!T369,ITEM_RES!$J$5:$J$228,0)-1,0),0)</f>
        <v>0</v>
      </c>
      <c r="W369" s="85" t="s">
        <v>576</v>
      </c>
      <c r="X369" s="9">
        <f ca="1">IFERROR(OFFSET(ITEM_RES!$A$5,MATCH(BUILDING!W369,ITEM_RES!$J$5:$J$228,0)-1,0),0)</f>
        <v>211020201</v>
      </c>
      <c r="Z369" s="9" t="s">
        <v>554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446</v>
      </c>
      <c r="AR369" s="11">
        <v>200</v>
      </c>
      <c r="AU369" s="11">
        <f ca="1">IFERROR(OFFSET(ITEM_RES!$A$1,MATCH(AV369,ITEM_RES!$J:$J,0)-1,0),0)</f>
        <v>211020101</v>
      </c>
      <c r="AV369" s="10" t="s">
        <v>472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377</v>
      </c>
      <c r="L370" s="9">
        <v>1</v>
      </c>
      <c r="M370" s="9">
        <v>15</v>
      </c>
      <c r="N370" s="9" t="s">
        <v>838</v>
      </c>
      <c r="R370" s="9" t="s">
        <v>777</v>
      </c>
      <c r="U370" s="9">
        <f ca="1">IFERROR(OFFSET(ITEM_RES!$A$5,MATCH(BUILDING!T370,ITEM_RES!$J$5:$J$228,0)-1,0),0)</f>
        <v>0</v>
      </c>
      <c r="W370" s="85" t="s">
        <v>576</v>
      </c>
      <c r="X370" s="9">
        <f ca="1">IFERROR(OFFSET(ITEM_RES!$A$5,MATCH(BUILDING!W370,ITEM_RES!$J$5:$J$228,0)-1,0),0)</f>
        <v>211020201</v>
      </c>
      <c r="Z370" s="9" t="s">
        <v>554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446</v>
      </c>
      <c r="AR370" s="11">
        <v>250</v>
      </c>
      <c r="AU370" s="11">
        <f ca="1">IFERROR(OFFSET(ITEM_RES!$A$1,MATCH(AV370,ITEM_RES!$J:$J,0)-1,0),0)</f>
        <v>211020101</v>
      </c>
      <c r="AV370" s="10" t="s">
        <v>472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377</v>
      </c>
      <c r="L371" s="9">
        <v>1</v>
      </c>
      <c r="M371" s="9">
        <v>15</v>
      </c>
      <c r="N371" s="9" t="s">
        <v>838</v>
      </c>
      <c r="R371" s="9" t="s">
        <v>777</v>
      </c>
      <c r="U371" s="9">
        <f ca="1">IFERROR(OFFSET(ITEM_RES!$A$5,MATCH(BUILDING!T371,ITEM_RES!$J$5:$J$228,0)-1,0),0)</f>
        <v>0</v>
      </c>
      <c r="W371" s="85" t="s">
        <v>576</v>
      </c>
      <c r="X371" s="9">
        <f ca="1">IFERROR(OFFSET(ITEM_RES!$A$5,MATCH(BUILDING!W371,ITEM_RES!$J$5:$J$228,0)-1,0),0)</f>
        <v>211020201</v>
      </c>
      <c r="Z371" s="9" t="s">
        <v>554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446</v>
      </c>
      <c r="AR371" s="11">
        <v>500</v>
      </c>
      <c r="AU371" s="11">
        <f ca="1">IFERROR(OFFSET(ITEM_RES!$A$1,MATCH(AV371,ITEM_RES!$J:$J,0)-1,0),0)</f>
        <v>211020101</v>
      </c>
      <c r="AV371" s="10" t="s">
        <v>472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377</v>
      </c>
      <c r="L372" s="9">
        <v>1</v>
      </c>
      <c r="M372" s="9">
        <v>15</v>
      </c>
      <c r="N372" s="9" t="s">
        <v>838</v>
      </c>
      <c r="R372" s="9" t="s">
        <v>777</v>
      </c>
      <c r="U372" s="9">
        <f ca="1">IFERROR(OFFSET(ITEM_RES!$A$5,MATCH(BUILDING!T372,ITEM_RES!$J$5:$J$228,0)-1,0),0)</f>
        <v>0</v>
      </c>
      <c r="W372" s="85" t="s">
        <v>576</v>
      </c>
      <c r="X372" s="9">
        <f ca="1">IFERROR(OFFSET(ITEM_RES!$A$5,MATCH(BUILDING!W372,ITEM_RES!$J$5:$J$228,0)-1,0),0)</f>
        <v>211020201</v>
      </c>
      <c r="Z372" s="9" t="s">
        <v>554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446</v>
      </c>
      <c r="AR372" s="11">
        <v>500</v>
      </c>
      <c r="AU372" s="11">
        <f ca="1">IFERROR(OFFSET(ITEM_RES!$A$1,MATCH(AV372,ITEM_RES!$J:$J,0)-1,0),0)</f>
        <v>211020101</v>
      </c>
      <c r="AV372" s="10" t="s">
        <v>472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377</v>
      </c>
      <c r="L373" s="9">
        <v>1</v>
      </c>
      <c r="M373" s="9">
        <v>15</v>
      </c>
      <c r="N373" s="9" t="s">
        <v>838</v>
      </c>
      <c r="R373" s="9" t="s">
        <v>777</v>
      </c>
      <c r="U373" s="9">
        <f ca="1">IFERROR(OFFSET(ITEM_RES!$A$5,MATCH(BUILDING!T373,ITEM_RES!$J$5:$J$228,0)-1,0),0)</f>
        <v>0</v>
      </c>
      <c r="W373" s="85" t="s">
        <v>576</v>
      </c>
      <c r="X373" s="9">
        <f ca="1">IFERROR(OFFSET(ITEM_RES!$A$5,MATCH(BUILDING!W373,ITEM_RES!$J$5:$J$228,0)-1,0),0)</f>
        <v>211020201</v>
      </c>
      <c r="Z373" s="9" t="s">
        <v>554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446</v>
      </c>
      <c r="AR373" s="11">
        <v>750</v>
      </c>
      <c r="AU373" s="11">
        <f ca="1">IFERROR(OFFSET(ITEM_RES!$A$1,MATCH(AV373,ITEM_RES!$J:$J,0)-1,0),0)</f>
        <v>211020101</v>
      </c>
      <c r="AV373" s="10" t="s">
        <v>472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377</v>
      </c>
      <c r="L374" s="9">
        <v>1</v>
      </c>
      <c r="M374" s="9">
        <v>15</v>
      </c>
      <c r="N374" s="9" t="s">
        <v>838</v>
      </c>
      <c r="R374" s="9" t="s">
        <v>777</v>
      </c>
      <c r="U374" s="9">
        <f ca="1">IFERROR(OFFSET(ITEM_RES!$A$5,MATCH(BUILDING!T374,ITEM_RES!$J$5:$J$228,0)-1,0),0)</f>
        <v>0</v>
      </c>
      <c r="W374" s="85" t="s">
        <v>576</v>
      </c>
      <c r="X374" s="9">
        <f ca="1">IFERROR(OFFSET(ITEM_RES!$A$5,MATCH(BUILDING!W374,ITEM_RES!$J$5:$J$228,0)-1,0),0)</f>
        <v>211020201</v>
      </c>
      <c r="Z374" s="9" t="s">
        <v>554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446</v>
      </c>
      <c r="AR374" s="11">
        <v>1000</v>
      </c>
      <c r="AU374" s="11">
        <f ca="1">IFERROR(OFFSET(ITEM_RES!$A$1,MATCH(AV374,ITEM_RES!$J:$J,0)-1,0),0)</f>
        <v>211020101</v>
      </c>
      <c r="AV374" s="10" t="s">
        <v>472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377</v>
      </c>
      <c r="L375" s="9">
        <v>1</v>
      </c>
      <c r="M375" s="9">
        <v>15</v>
      </c>
      <c r="N375" s="9" t="s">
        <v>838</v>
      </c>
      <c r="R375" s="9" t="s">
        <v>777</v>
      </c>
      <c r="U375" s="9">
        <f ca="1">IFERROR(OFFSET(ITEM_RES!$A$5,MATCH(BUILDING!T375,ITEM_RES!$J$5:$J$228,0)-1,0),0)</f>
        <v>0</v>
      </c>
      <c r="W375" s="85" t="s">
        <v>576</v>
      </c>
      <c r="X375" s="9">
        <f ca="1">IFERROR(OFFSET(ITEM_RES!$A$5,MATCH(BUILDING!W375,ITEM_RES!$J$5:$J$228,0)-1,0),0)</f>
        <v>211020201</v>
      </c>
      <c r="Z375" s="9" t="s">
        <v>554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446</v>
      </c>
      <c r="AR375" s="11">
        <v>1250</v>
      </c>
      <c r="AU375" s="11">
        <f ca="1">IFERROR(OFFSET(ITEM_RES!$A$1,MATCH(AV375,ITEM_RES!$J:$J,0)-1,0),0)</f>
        <v>211020101</v>
      </c>
      <c r="AV375" s="10" t="s">
        <v>472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377</v>
      </c>
      <c r="L376" s="9">
        <v>1</v>
      </c>
      <c r="M376" s="9">
        <v>15</v>
      </c>
      <c r="N376" s="9" t="s">
        <v>838</v>
      </c>
      <c r="R376" s="9" t="s">
        <v>777</v>
      </c>
      <c r="U376" s="9">
        <f ca="1">IFERROR(OFFSET(ITEM_RES!$A$5,MATCH(BUILDING!T376,ITEM_RES!$J$5:$J$228,0)-1,0),0)</f>
        <v>0</v>
      </c>
      <c r="W376" s="85" t="s">
        <v>576</v>
      </c>
      <c r="X376" s="9">
        <f ca="1">IFERROR(OFFSET(ITEM_RES!$A$5,MATCH(BUILDING!W376,ITEM_RES!$J$5:$J$228,0)-1,0),0)</f>
        <v>211020201</v>
      </c>
      <c r="Z376" s="9" t="s">
        <v>554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446</v>
      </c>
      <c r="AR376" s="11">
        <v>1500</v>
      </c>
      <c r="AU376" s="11">
        <f ca="1">IFERROR(OFFSET(ITEM_RES!$A$1,MATCH(AV376,ITEM_RES!$J:$J,0)-1,0),0)</f>
        <v>211020101</v>
      </c>
      <c r="AV376" s="10" t="s">
        <v>472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377</v>
      </c>
      <c r="L377" s="9">
        <v>1</v>
      </c>
      <c r="M377" s="9">
        <v>15</v>
      </c>
      <c r="N377" s="9" t="s">
        <v>838</v>
      </c>
      <c r="R377" s="9" t="s">
        <v>777</v>
      </c>
      <c r="U377" s="9">
        <f ca="1">IFERROR(OFFSET(ITEM_RES!$A$5,MATCH(BUILDING!T377,ITEM_RES!$J$5:$J$228,0)-1,0),0)</f>
        <v>0</v>
      </c>
      <c r="W377" s="85" t="s">
        <v>576</v>
      </c>
      <c r="X377" s="9">
        <f ca="1">IFERROR(OFFSET(ITEM_RES!$A$5,MATCH(BUILDING!W377,ITEM_RES!$J$5:$J$228,0)-1,0),0)</f>
        <v>211020201</v>
      </c>
      <c r="Z377" s="9" t="s">
        <v>554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446</v>
      </c>
      <c r="AR377" s="11">
        <v>1750</v>
      </c>
      <c r="AU377" s="11">
        <f ca="1">IFERROR(OFFSET(ITEM_RES!$A$1,MATCH(AV377,ITEM_RES!$J:$J,0)-1,0),0)</f>
        <v>211020101</v>
      </c>
      <c r="AV377" s="10" t="s">
        <v>472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377</v>
      </c>
      <c r="L378" s="9">
        <v>1</v>
      </c>
      <c r="M378" s="9">
        <v>15</v>
      </c>
      <c r="N378" s="9" t="s">
        <v>838</v>
      </c>
      <c r="R378" s="9" t="s">
        <v>777</v>
      </c>
      <c r="U378" s="9">
        <f ca="1">IFERROR(OFFSET(ITEM_RES!$A$5,MATCH(BUILDING!T378,ITEM_RES!$J$5:$J$228,0)-1,0),0)</f>
        <v>0</v>
      </c>
      <c r="W378" s="85" t="s">
        <v>576</v>
      </c>
      <c r="X378" s="9">
        <f ca="1">IFERROR(OFFSET(ITEM_RES!$A$5,MATCH(BUILDING!W378,ITEM_RES!$J$5:$J$228,0)-1,0),0)</f>
        <v>211020201</v>
      </c>
      <c r="Z378" s="9" t="s">
        <v>554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446</v>
      </c>
      <c r="AR378" s="11">
        <v>2250</v>
      </c>
      <c r="AU378" s="11">
        <f ca="1">IFERROR(OFFSET(ITEM_RES!$A$1,MATCH(AV378,ITEM_RES!$J:$J,0)-1,0),0)</f>
        <v>211020101</v>
      </c>
      <c r="AV378" s="10" t="s">
        <v>472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377</v>
      </c>
      <c r="L379" s="9">
        <v>1</v>
      </c>
      <c r="M379" s="9">
        <v>15</v>
      </c>
      <c r="N379" s="9" t="s">
        <v>838</v>
      </c>
      <c r="R379" s="9" t="s">
        <v>777</v>
      </c>
      <c r="U379" s="9">
        <f ca="1">IFERROR(OFFSET(ITEM_RES!$A$5,MATCH(BUILDING!T379,ITEM_RES!$J$5:$J$228,0)-1,0),0)</f>
        <v>0</v>
      </c>
      <c r="W379" s="85" t="s">
        <v>576</v>
      </c>
      <c r="X379" s="9">
        <f ca="1">IFERROR(OFFSET(ITEM_RES!$A$5,MATCH(BUILDING!W379,ITEM_RES!$J$5:$J$228,0)-1,0),0)</f>
        <v>211020201</v>
      </c>
      <c r="Z379" s="9" t="s">
        <v>554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463</v>
      </c>
      <c r="AR379" s="11">
        <v>2750</v>
      </c>
      <c r="AU379" s="11">
        <f ca="1">IFERROR(OFFSET(ITEM_RES!$A$1,MATCH(AV379,ITEM_RES!$J:$J,0)-1,0),0)</f>
        <v>211020101</v>
      </c>
      <c r="AV379" s="10" t="s">
        <v>472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377</v>
      </c>
      <c r="L380" s="9">
        <v>0</v>
      </c>
      <c r="M380" s="9">
        <v>15</v>
      </c>
      <c r="N380" s="9" t="s">
        <v>838</v>
      </c>
      <c r="R380" s="9" t="s">
        <v>777</v>
      </c>
      <c r="U380" s="9">
        <f ca="1">IFERROR(OFFSET(ITEM_RES!$A$5,MATCH(BUILDING!T380,ITEM_RES!$J$5:$J$228,0)-1,0),0)</f>
        <v>0</v>
      </c>
      <c r="W380" s="85" t="s">
        <v>576</v>
      </c>
      <c r="X380" s="9">
        <f ca="1">IFERROR(OFFSET(ITEM_RES!$A$5,MATCH(BUILDING!W380,ITEM_RES!$J$5:$J$228,0)-1,0),0)</f>
        <v>211020201</v>
      </c>
      <c r="Z380" s="9" t="s">
        <v>554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463</v>
      </c>
      <c r="AR380" s="11">
        <v>3500</v>
      </c>
      <c r="AU380" s="11">
        <f ca="1">IFERROR(OFFSET(ITEM_RES!$A$1,MATCH(AV380,ITEM_RES!$J:$J,0)-1,0),0)</f>
        <v>211020101</v>
      </c>
      <c r="AV380" s="10" t="s">
        <v>472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377</v>
      </c>
      <c r="L381" s="9">
        <v>0</v>
      </c>
      <c r="M381" s="9">
        <v>15</v>
      </c>
      <c r="N381" s="9" t="s">
        <v>838</v>
      </c>
      <c r="R381" s="9" t="s">
        <v>777</v>
      </c>
      <c r="U381" s="9">
        <f ca="1">IFERROR(OFFSET(ITEM_RES!$A$5,MATCH(BUILDING!T381,ITEM_RES!$J$5:$J$228,0)-1,0),0)</f>
        <v>0</v>
      </c>
      <c r="W381" s="85" t="s">
        <v>576</v>
      </c>
      <c r="X381" s="9">
        <f ca="1">IFERROR(OFFSET(ITEM_RES!$A$5,MATCH(BUILDING!W381,ITEM_RES!$J$5:$J$228,0)-1,0),0)</f>
        <v>211020201</v>
      </c>
      <c r="Z381" s="9" t="s">
        <v>554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463</v>
      </c>
      <c r="AR381" s="11">
        <v>4250</v>
      </c>
      <c r="AU381" s="11">
        <f ca="1">IFERROR(OFFSET(ITEM_RES!$A$1,MATCH(AV381,ITEM_RES!$J:$J,0)-1,0),0)</f>
        <v>211020101</v>
      </c>
      <c r="AV381" s="10" t="s">
        <v>472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377</v>
      </c>
      <c r="L382" s="9">
        <v>0</v>
      </c>
      <c r="M382" s="9">
        <v>15</v>
      </c>
      <c r="N382" s="9" t="s">
        <v>838</v>
      </c>
      <c r="R382" s="9" t="s">
        <v>777</v>
      </c>
      <c r="U382" s="9">
        <f ca="1">IFERROR(OFFSET(ITEM_RES!$A$5,MATCH(BUILDING!T382,ITEM_RES!$J$5:$J$228,0)-1,0),0)</f>
        <v>0</v>
      </c>
      <c r="W382" s="85" t="s">
        <v>576</v>
      </c>
      <c r="X382" s="9">
        <f ca="1">IFERROR(OFFSET(ITEM_RES!$A$5,MATCH(BUILDING!W382,ITEM_RES!$J$5:$J$228,0)-1,0),0)</f>
        <v>211020201</v>
      </c>
      <c r="Z382" s="9" t="s">
        <v>554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463</v>
      </c>
      <c r="AR382" s="11">
        <v>5250</v>
      </c>
      <c r="AU382" s="11">
        <f ca="1">IFERROR(OFFSET(ITEM_RES!$A$1,MATCH(AV382,ITEM_RES!$J:$J,0)-1,0),0)</f>
        <v>211020101</v>
      </c>
      <c r="AV382" s="10" t="s">
        <v>472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377</v>
      </c>
      <c r="L383" s="9">
        <v>0</v>
      </c>
      <c r="M383" s="9">
        <v>15</v>
      </c>
      <c r="N383" s="9" t="s">
        <v>838</v>
      </c>
      <c r="R383" s="9" t="s">
        <v>777</v>
      </c>
      <c r="U383" s="9">
        <f ca="1">IFERROR(OFFSET(ITEM_RES!$A$5,MATCH(BUILDING!T383,ITEM_RES!$J$5:$J$228,0)-1,0),0)</f>
        <v>0</v>
      </c>
      <c r="W383" s="85" t="s">
        <v>576</v>
      </c>
      <c r="X383" s="9">
        <f ca="1">IFERROR(OFFSET(ITEM_RES!$A$5,MATCH(BUILDING!W383,ITEM_RES!$J$5:$J$228,0)-1,0),0)</f>
        <v>211020201</v>
      </c>
      <c r="Z383" s="9" t="s">
        <v>554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463</v>
      </c>
      <c r="AR383" s="11">
        <v>6250</v>
      </c>
      <c r="AU383" s="11">
        <f ca="1">IFERROR(OFFSET(ITEM_RES!$A$1,MATCH(AV383,ITEM_RES!$J:$J,0)-1,0),0)</f>
        <v>211020101</v>
      </c>
      <c r="AV383" s="10" t="s">
        <v>472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377</v>
      </c>
      <c r="L384" s="9">
        <v>0</v>
      </c>
      <c r="M384" s="9">
        <v>15</v>
      </c>
      <c r="N384" s="9" t="s">
        <v>838</v>
      </c>
      <c r="R384" s="9" t="s">
        <v>777</v>
      </c>
      <c r="U384" s="9">
        <f ca="1">IFERROR(OFFSET(ITEM_RES!$A$5,MATCH(BUILDING!T384,ITEM_RES!$J$5:$J$228,0)-1,0),0)</f>
        <v>0</v>
      </c>
      <c r="W384" s="85" t="s">
        <v>576</v>
      </c>
      <c r="X384" s="9">
        <f ca="1">IFERROR(OFFSET(ITEM_RES!$A$5,MATCH(BUILDING!W384,ITEM_RES!$J$5:$J$228,0)-1,0),0)</f>
        <v>211020201</v>
      </c>
      <c r="Z384" s="9" t="s">
        <v>554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463</v>
      </c>
      <c r="AR384" s="11">
        <v>7500</v>
      </c>
      <c r="AU384" s="11">
        <f ca="1">IFERROR(OFFSET(ITEM_RES!$A$1,MATCH(AV384,ITEM_RES!$J:$J,0)-1,0),0)</f>
        <v>211020101</v>
      </c>
      <c r="AV384" s="10" t="s">
        <v>472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79"/>
      <c r="H385" s="16">
        <v>2</v>
      </c>
      <c r="I385" s="16">
        <v>1</v>
      </c>
      <c r="J385" s="79"/>
      <c r="K385" s="16" t="s">
        <v>440</v>
      </c>
      <c r="L385" s="16">
        <v>1</v>
      </c>
      <c r="M385" s="16">
        <v>15</v>
      </c>
      <c r="N385" s="16"/>
      <c r="O385" s="17"/>
      <c r="P385" s="17"/>
      <c r="Q385" s="18"/>
      <c r="R385" s="16" t="s">
        <v>776</v>
      </c>
      <c r="S385" s="79"/>
      <c r="T385" s="87" t="s">
        <v>582</v>
      </c>
      <c r="U385" s="16">
        <f ca="1">IFERROR(OFFSET(ITEM_RES!$A$5,MATCH(BUILDING!T385,ITEM_RES!$J$5:$J$228,0)-1,0),0)</f>
        <v>211020401</v>
      </c>
      <c r="V385" s="18">
        <v>1</v>
      </c>
      <c r="W385" s="87" t="s">
        <v>577</v>
      </c>
      <c r="X385" s="16">
        <f ca="1">IFERROR(OFFSET(ITEM_RES!$A$5,MATCH(BUILDING!W385,ITEM_RES!$J$5:$J$228,0)-1,0),0)</f>
        <v>211020501</v>
      </c>
      <c r="Y385" s="79"/>
      <c r="Z385" s="16" t="s">
        <v>555</v>
      </c>
      <c r="AA385" s="16">
        <v>1</v>
      </c>
      <c r="AB385" s="79"/>
      <c r="AC385" s="16">
        <v>0</v>
      </c>
      <c r="AD385" s="79"/>
      <c r="AE385" s="57">
        <f t="shared" si="119"/>
        <v>605</v>
      </c>
      <c r="AF385" s="17">
        <f>AE385</f>
        <v>605</v>
      </c>
      <c r="AG385" s="79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456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457</v>
      </c>
      <c r="AW385" s="18">
        <v>25</v>
      </c>
      <c r="AX385" s="17"/>
      <c r="AY385" s="18"/>
      <c r="AZ385" s="18">
        <f ca="1">IFERROR(OFFSET(ITEM_RES!$A$1,MATCH(BA385,ITEM_RES!$J:$J,0)-1,0),0)</f>
        <v>213010101</v>
      </c>
      <c r="BA385" s="17" t="s">
        <v>478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440</v>
      </c>
      <c r="L386" s="9">
        <v>1</v>
      </c>
      <c r="M386" s="9">
        <v>15</v>
      </c>
      <c r="R386" s="9" t="s">
        <v>776</v>
      </c>
      <c r="T386" s="85" t="s">
        <v>582</v>
      </c>
      <c r="U386" s="9">
        <f ca="1">IFERROR(OFFSET(ITEM_RES!$A$5,MATCH(BUILDING!T386,ITEM_RES!$J$5:$J$228,0)-1,0),0)</f>
        <v>211020401</v>
      </c>
      <c r="V386" s="11">
        <v>1</v>
      </c>
      <c r="W386" s="85" t="s">
        <v>577</v>
      </c>
      <c r="X386" s="9">
        <f ca="1">IFERROR(OFFSET(ITEM_RES!$A$5,MATCH(BUILDING!W386,ITEM_RES!$J$5:$J$228,0)-1,0),0)</f>
        <v>211020501</v>
      </c>
      <c r="Z386" s="9" t="s">
        <v>555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456</v>
      </c>
      <c r="AR386" s="11">
        <v>50</v>
      </c>
      <c r="AU386" s="11">
        <f ca="1">IFERROR(OFFSET(ITEM_RES!$A$1,MATCH(AV386,ITEM_RES!$J:$J,0)-1,0),0)</f>
        <v>211020801</v>
      </c>
      <c r="AV386" s="10" t="s">
        <v>457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440</v>
      </c>
      <c r="L387" s="9">
        <v>1</v>
      </c>
      <c r="M387" s="9">
        <v>15</v>
      </c>
      <c r="R387" s="9" t="s">
        <v>776</v>
      </c>
      <c r="T387" s="85" t="s">
        <v>582</v>
      </c>
      <c r="U387" s="9">
        <f ca="1">IFERROR(OFFSET(ITEM_RES!$A$5,MATCH(BUILDING!T387,ITEM_RES!$J$5:$J$228,0)-1,0),0)</f>
        <v>211020401</v>
      </c>
      <c r="V387" s="11">
        <v>1</v>
      </c>
      <c r="W387" s="85" t="s">
        <v>577</v>
      </c>
      <c r="X387" s="9">
        <f ca="1">IFERROR(OFFSET(ITEM_RES!$A$5,MATCH(BUILDING!W387,ITEM_RES!$J$5:$J$228,0)-1,0),0)</f>
        <v>211020501</v>
      </c>
      <c r="Z387" s="9" t="s">
        <v>555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456</v>
      </c>
      <c r="AR387" s="11">
        <v>75</v>
      </c>
      <c r="AU387" s="11">
        <f ca="1">IFERROR(OFFSET(ITEM_RES!$A$1,MATCH(AV387,ITEM_RES!$J:$J,0)-1,0),0)</f>
        <v>211020801</v>
      </c>
      <c r="AV387" s="10" t="s">
        <v>457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440</v>
      </c>
      <c r="L388" s="9">
        <v>1</v>
      </c>
      <c r="M388" s="9">
        <v>15</v>
      </c>
      <c r="R388" s="9" t="s">
        <v>776</v>
      </c>
      <c r="T388" s="85" t="s">
        <v>582</v>
      </c>
      <c r="U388" s="9">
        <f ca="1">IFERROR(OFFSET(ITEM_RES!$A$5,MATCH(BUILDING!T388,ITEM_RES!$J$5:$J$228,0)-1,0),0)</f>
        <v>211020401</v>
      </c>
      <c r="V388" s="11">
        <v>1</v>
      </c>
      <c r="W388" s="85" t="s">
        <v>577</v>
      </c>
      <c r="X388" s="9">
        <f ca="1">IFERROR(OFFSET(ITEM_RES!$A$5,MATCH(BUILDING!W388,ITEM_RES!$J$5:$J$228,0)-1,0),0)</f>
        <v>211020501</v>
      </c>
      <c r="Z388" s="9" t="s">
        <v>555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456</v>
      </c>
      <c r="AR388" s="11">
        <v>125</v>
      </c>
      <c r="AU388" s="11">
        <f ca="1">IFERROR(OFFSET(ITEM_RES!$A$1,MATCH(AV388,ITEM_RES!$J:$J,0)-1,0),0)</f>
        <v>211020801</v>
      </c>
      <c r="AV388" s="10" t="s">
        <v>457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440</v>
      </c>
      <c r="L389" s="9">
        <v>1</v>
      </c>
      <c r="M389" s="9">
        <v>15</v>
      </c>
      <c r="R389" s="9" t="s">
        <v>776</v>
      </c>
      <c r="T389" s="85" t="s">
        <v>582</v>
      </c>
      <c r="U389" s="9">
        <f ca="1">IFERROR(OFFSET(ITEM_RES!$A$5,MATCH(BUILDING!T389,ITEM_RES!$J$5:$J$228,0)-1,0),0)</f>
        <v>211020401</v>
      </c>
      <c r="V389" s="11">
        <v>1</v>
      </c>
      <c r="W389" s="85" t="s">
        <v>577</v>
      </c>
      <c r="X389" s="9">
        <f ca="1">IFERROR(OFFSET(ITEM_RES!$A$5,MATCH(BUILDING!W389,ITEM_RES!$J$5:$J$228,0)-1,0),0)</f>
        <v>211020501</v>
      </c>
      <c r="Z389" s="9" t="s">
        <v>555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456</v>
      </c>
      <c r="AR389" s="11">
        <v>200</v>
      </c>
      <c r="AU389" s="11">
        <f ca="1">IFERROR(OFFSET(ITEM_RES!$A$1,MATCH(AV389,ITEM_RES!$J:$J,0)-1,0),0)</f>
        <v>211020801</v>
      </c>
      <c r="AV389" s="10" t="s">
        <v>457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440</v>
      </c>
      <c r="L390" s="9">
        <v>1</v>
      </c>
      <c r="M390" s="9">
        <v>15</v>
      </c>
      <c r="R390" s="9" t="s">
        <v>776</v>
      </c>
      <c r="T390" s="85" t="s">
        <v>582</v>
      </c>
      <c r="U390" s="9">
        <f ca="1">IFERROR(OFFSET(ITEM_RES!$A$5,MATCH(BUILDING!T390,ITEM_RES!$J$5:$J$228,0)-1,0),0)</f>
        <v>211020401</v>
      </c>
      <c r="V390" s="11">
        <v>1</v>
      </c>
      <c r="W390" s="85" t="s">
        <v>577</v>
      </c>
      <c r="X390" s="9">
        <f ca="1">IFERROR(OFFSET(ITEM_RES!$A$5,MATCH(BUILDING!W390,ITEM_RES!$J$5:$J$228,0)-1,0),0)</f>
        <v>211020501</v>
      </c>
      <c r="Z390" s="9" t="s">
        <v>555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456</v>
      </c>
      <c r="AR390" s="11">
        <v>250</v>
      </c>
      <c r="AU390" s="11">
        <f ca="1">IFERROR(OFFSET(ITEM_RES!$A$1,MATCH(AV390,ITEM_RES!$J:$J,0)-1,0),0)</f>
        <v>211020801</v>
      </c>
      <c r="AV390" s="10" t="s">
        <v>457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213011301</v>
      </c>
      <c r="BF390" s="10" t="s">
        <v>495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440</v>
      </c>
      <c r="L391" s="9">
        <v>1</v>
      </c>
      <c r="M391" s="9">
        <v>15</v>
      </c>
      <c r="R391" s="9" t="s">
        <v>776</v>
      </c>
      <c r="T391" s="85" t="s">
        <v>582</v>
      </c>
      <c r="U391" s="9">
        <f ca="1">IFERROR(OFFSET(ITEM_RES!$A$5,MATCH(BUILDING!T391,ITEM_RES!$J$5:$J$228,0)-1,0),0)</f>
        <v>211020401</v>
      </c>
      <c r="V391" s="11">
        <v>1</v>
      </c>
      <c r="W391" s="85" t="s">
        <v>577</v>
      </c>
      <c r="X391" s="9">
        <f ca="1">IFERROR(OFFSET(ITEM_RES!$A$5,MATCH(BUILDING!W391,ITEM_RES!$J$5:$J$228,0)-1,0),0)</f>
        <v>211020501</v>
      </c>
      <c r="Z391" s="9" t="s">
        <v>555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456</v>
      </c>
      <c r="AR391" s="11">
        <v>500</v>
      </c>
      <c r="AU391" s="11">
        <f ca="1">IFERROR(OFFSET(ITEM_RES!$A$1,MATCH(AV391,ITEM_RES!$J:$J,0)-1,0),0)</f>
        <v>211020801</v>
      </c>
      <c r="AV391" s="10" t="s">
        <v>457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440</v>
      </c>
      <c r="L392" s="9">
        <v>1</v>
      </c>
      <c r="M392" s="9">
        <v>15</v>
      </c>
      <c r="R392" s="9" t="s">
        <v>776</v>
      </c>
      <c r="T392" s="85" t="s">
        <v>582</v>
      </c>
      <c r="U392" s="9">
        <f ca="1">IFERROR(OFFSET(ITEM_RES!$A$5,MATCH(BUILDING!T392,ITEM_RES!$J$5:$J$228,0)-1,0),0)</f>
        <v>211020401</v>
      </c>
      <c r="V392" s="11">
        <v>1</v>
      </c>
      <c r="W392" s="85" t="s">
        <v>577</v>
      </c>
      <c r="X392" s="9">
        <f ca="1">IFERROR(OFFSET(ITEM_RES!$A$5,MATCH(BUILDING!W392,ITEM_RES!$J$5:$J$228,0)-1,0),0)</f>
        <v>211020501</v>
      </c>
      <c r="Z392" s="9" t="s">
        <v>555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456</v>
      </c>
      <c r="AR392" s="11">
        <v>500</v>
      </c>
      <c r="AU392" s="11">
        <f ca="1">IFERROR(OFFSET(ITEM_RES!$A$1,MATCH(AV392,ITEM_RES!$J:$J,0)-1,0),0)</f>
        <v>211020801</v>
      </c>
      <c r="AV392" s="10" t="s">
        <v>457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440</v>
      </c>
      <c r="L393" s="9">
        <v>1</v>
      </c>
      <c r="M393" s="9">
        <v>15</v>
      </c>
      <c r="R393" s="9" t="s">
        <v>776</v>
      </c>
      <c r="T393" s="85" t="s">
        <v>582</v>
      </c>
      <c r="U393" s="9">
        <f ca="1">IFERROR(OFFSET(ITEM_RES!$A$5,MATCH(BUILDING!T393,ITEM_RES!$J$5:$J$228,0)-1,0),0)</f>
        <v>211020401</v>
      </c>
      <c r="V393" s="11">
        <v>1</v>
      </c>
      <c r="W393" s="85" t="s">
        <v>577</v>
      </c>
      <c r="X393" s="9">
        <f ca="1">IFERROR(OFFSET(ITEM_RES!$A$5,MATCH(BUILDING!W393,ITEM_RES!$J$5:$J$228,0)-1,0),0)</f>
        <v>211020501</v>
      </c>
      <c r="Z393" s="9" t="s">
        <v>555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456</v>
      </c>
      <c r="AR393" s="11">
        <v>750</v>
      </c>
      <c r="AU393" s="11">
        <f ca="1">IFERROR(OFFSET(ITEM_RES!$A$1,MATCH(AV393,ITEM_RES!$J:$J,0)-1,0),0)</f>
        <v>211020801</v>
      </c>
      <c r="AV393" s="10" t="s">
        <v>457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440</v>
      </c>
      <c r="L394" s="9">
        <v>1</v>
      </c>
      <c r="M394" s="9">
        <v>15</v>
      </c>
      <c r="R394" s="9" t="s">
        <v>776</v>
      </c>
      <c r="T394" s="85" t="s">
        <v>582</v>
      </c>
      <c r="U394" s="9">
        <f ca="1">IFERROR(OFFSET(ITEM_RES!$A$5,MATCH(BUILDING!T394,ITEM_RES!$J$5:$J$228,0)-1,0),0)</f>
        <v>211020401</v>
      </c>
      <c r="V394" s="11">
        <v>1</v>
      </c>
      <c r="W394" s="85" t="s">
        <v>577</v>
      </c>
      <c r="X394" s="9">
        <f ca="1">IFERROR(OFFSET(ITEM_RES!$A$5,MATCH(BUILDING!W394,ITEM_RES!$J$5:$J$228,0)-1,0),0)</f>
        <v>211020501</v>
      </c>
      <c r="Z394" s="9" t="s">
        <v>555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456</v>
      </c>
      <c r="AR394" s="11">
        <v>1000</v>
      </c>
      <c r="AU394" s="11">
        <f ca="1">IFERROR(OFFSET(ITEM_RES!$A$1,MATCH(AV394,ITEM_RES!$J:$J,0)-1,0),0)</f>
        <v>211020801</v>
      </c>
      <c r="AV394" s="10" t="s">
        <v>457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440</v>
      </c>
      <c r="L395" s="9">
        <v>1</v>
      </c>
      <c r="M395" s="9">
        <v>15</v>
      </c>
      <c r="R395" s="9" t="s">
        <v>776</v>
      </c>
      <c r="T395" s="85" t="s">
        <v>582</v>
      </c>
      <c r="U395" s="9">
        <f ca="1">IFERROR(OFFSET(ITEM_RES!$A$5,MATCH(BUILDING!T395,ITEM_RES!$J$5:$J$228,0)-1,0),0)</f>
        <v>211020401</v>
      </c>
      <c r="V395" s="11">
        <v>1</v>
      </c>
      <c r="W395" s="85" t="s">
        <v>577</v>
      </c>
      <c r="X395" s="9">
        <f ca="1">IFERROR(OFFSET(ITEM_RES!$A$5,MATCH(BUILDING!W395,ITEM_RES!$J$5:$J$228,0)-1,0),0)</f>
        <v>211020501</v>
      </c>
      <c r="Z395" s="9" t="s">
        <v>555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456</v>
      </c>
      <c r="AR395" s="11">
        <v>1250</v>
      </c>
      <c r="AU395" s="11">
        <f ca="1">IFERROR(OFFSET(ITEM_RES!$A$1,MATCH(AV395,ITEM_RES!$J:$J,0)-1,0),0)</f>
        <v>211020801</v>
      </c>
      <c r="AV395" s="10" t="s">
        <v>457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440</v>
      </c>
      <c r="L396" s="9">
        <v>1</v>
      </c>
      <c r="M396" s="9">
        <v>15</v>
      </c>
      <c r="R396" s="9" t="s">
        <v>776</v>
      </c>
      <c r="T396" s="85" t="s">
        <v>582</v>
      </c>
      <c r="U396" s="9">
        <f ca="1">IFERROR(OFFSET(ITEM_RES!$A$5,MATCH(BUILDING!T396,ITEM_RES!$J$5:$J$228,0)-1,0),0)</f>
        <v>211020401</v>
      </c>
      <c r="V396" s="11">
        <v>1</v>
      </c>
      <c r="W396" s="85" t="s">
        <v>577</v>
      </c>
      <c r="X396" s="9">
        <f ca="1">IFERROR(OFFSET(ITEM_RES!$A$5,MATCH(BUILDING!W396,ITEM_RES!$J$5:$J$228,0)-1,0),0)</f>
        <v>211020501</v>
      </c>
      <c r="Z396" s="9" t="s">
        <v>555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456</v>
      </c>
      <c r="AR396" s="11">
        <v>1500</v>
      </c>
      <c r="AU396" s="11">
        <f ca="1">IFERROR(OFFSET(ITEM_RES!$A$1,MATCH(AV396,ITEM_RES!$J:$J,0)-1,0),0)</f>
        <v>211020801</v>
      </c>
      <c r="AV396" s="10" t="s">
        <v>457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440</v>
      </c>
      <c r="L397" s="9">
        <v>1</v>
      </c>
      <c r="M397" s="9">
        <v>15</v>
      </c>
      <c r="R397" s="9" t="s">
        <v>776</v>
      </c>
      <c r="T397" s="85" t="s">
        <v>582</v>
      </c>
      <c r="U397" s="9">
        <f ca="1">IFERROR(OFFSET(ITEM_RES!$A$5,MATCH(BUILDING!T397,ITEM_RES!$J$5:$J$228,0)-1,0),0)</f>
        <v>211020401</v>
      </c>
      <c r="V397" s="11">
        <v>1</v>
      </c>
      <c r="W397" s="85" t="s">
        <v>577</v>
      </c>
      <c r="X397" s="9">
        <f ca="1">IFERROR(OFFSET(ITEM_RES!$A$5,MATCH(BUILDING!W397,ITEM_RES!$J$5:$J$228,0)-1,0),0)</f>
        <v>211020501</v>
      </c>
      <c r="Z397" s="9" t="s">
        <v>555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456</v>
      </c>
      <c r="AR397" s="11">
        <v>1750</v>
      </c>
      <c r="AU397" s="11">
        <f ca="1">IFERROR(OFFSET(ITEM_RES!$A$1,MATCH(AV397,ITEM_RES!$J:$J,0)-1,0),0)</f>
        <v>211020801</v>
      </c>
      <c r="AV397" s="10" t="s">
        <v>457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440</v>
      </c>
      <c r="L398" s="9">
        <v>1</v>
      </c>
      <c r="M398" s="9">
        <v>15</v>
      </c>
      <c r="R398" s="9" t="s">
        <v>776</v>
      </c>
      <c r="T398" s="85" t="s">
        <v>582</v>
      </c>
      <c r="U398" s="9">
        <f ca="1">IFERROR(OFFSET(ITEM_RES!$A$5,MATCH(BUILDING!T398,ITEM_RES!$J$5:$J$228,0)-1,0),0)</f>
        <v>211020401</v>
      </c>
      <c r="V398" s="11">
        <v>1</v>
      </c>
      <c r="W398" s="85" t="s">
        <v>577</v>
      </c>
      <c r="X398" s="9">
        <f ca="1">IFERROR(OFFSET(ITEM_RES!$A$5,MATCH(BUILDING!W398,ITEM_RES!$J$5:$J$228,0)-1,0),0)</f>
        <v>211020501</v>
      </c>
      <c r="Z398" s="9" t="s">
        <v>555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456</v>
      </c>
      <c r="AR398" s="11">
        <v>2250</v>
      </c>
      <c r="AU398" s="11">
        <f ca="1">IFERROR(OFFSET(ITEM_RES!$A$1,MATCH(AV398,ITEM_RES!$J:$J,0)-1,0),0)</f>
        <v>211020801</v>
      </c>
      <c r="AV398" s="10" t="s">
        <v>457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440</v>
      </c>
      <c r="L399" s="9">
        <v>1</v>
      </c>
      <c r="M399" s="9">
        <v>15</v>
      </c>
      <c r="R399" s="9" t="s">
        <v>776</v>
      </c>
      <c r="T399" s="85" t="s">
        <v>582</v>
      </c>
      <c r="U399" s="9">
        <f ca="1">IFERROR(OFFSET(ITEM_RES!$A$5,MATCH(BUILDING!T399,ITEM_RES!$J$5:$J$228,0)-1,0),0)</f>
        <v>211020401</v>
      </c>
      <c r="V399" s="11">
        <v>1</v>
      </c>
      <c r="W399" s="85" t="s">
        <v>577</v>
      </c>
      <c r="X399" s="9">
        <f ca="1">IFERROR(OFFSET(ITEM_RES!$A$5,MATCH(BUILDING!W399,ITEM_RES!$J$5:$J$228,0)-1,0),0)</f>
        <v>211020501</v>
      </c>
      <c r="Z399" s="9" t="s">
        <v>555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452</v>
      </c>
      <c r="AR399" s="11">
        <v>2750</v>
      </c>
      <c r="AU399" s="11">
        <f ca="1">IFERROR(OFFSET(ITEM_RES!$A$1,MATCH(AV399,ITEM_RES!$J:$J,0)-1,0),0)</f>
        <v>211020801</v>
      </c>
      <c r="AV399" s="10" t="s">
        <v>457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440</v>
      </c>
      <c r="L400" s="9">
        <v>0</v>
      </c>
      <c r="M400" s="9">
        <v>15</v>
      </c>
      <c r="R400" s="9" t="s">
        <v>776</v>
      </c>
      <c r="T400" s="85" t="s">
        <v>582</v>
      </c>
      <c r="U400" s="9">
        <f ca="1">IFERROR(OFFSET(ITEM_RES!$A$5,MATCH(BUILDING!T400,ITEM_RES!$J$5:$J$228,0)-1,0),0)</f>
        <v>211020401</v>
      </c>
      <c r="V400" s="11">
        <v>1</v>
      </c>
      <c r="W400" s="85" t="s">
        <v>577</v>
      </c>
      <c r="X400" s="9">
        <f ca="1">IFERROR(OFFSET(ITEM_RES!$A$5,MATCH(BUILDING!W400,ITEM_RES!$J$5:$J$228,0)-1,0),0)</f>
        <v>211020501</v>
      </c>
      <c r="Z400" s="9" t="s">
        <v>555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452</v>
      </c>
      <c r="AR400" s="11">
        <v>3500</v>
      </c>
      <c r="AU400" s="11">
        <f ca="1">IFERROR(OFFSET(ITEM_RES!$A$1,MATCH(AV400,ITEM_RES!$J:$J,0)-1,0),0)</f>
        <v>211020801</v>
      </c>
      <c r="AV400" s="10" t="s">
        <v>457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440</v>
      </c>
      <c r="L401" s="9">
        <v>0</v>
      </c>
      <c r="M401" s="9">
        <v>15</v>
      </c>
      <c r="R401" s="9" t="s">
        <v>776</v>
      </c>
      <c r="T401" s="85" t="s">
        <v>582</v>
      </c>
      <c r="U401" s="9">
        <f ca="1">IFERROR(OFFSET(ITEM_RES!$A$5,MATCH(BUILDING!T401,ITEM_RES!$J$5:$J$228,0)-1,0),0)</f>
        <v>211020401</v>
      </c>
      <c r="V401" s="11">
        <v>1</v>
      </c>
      <c r="W401" s="85" t="s">
        <v>577</v>
      </c>
      <c r="X401" s="9">
        <f ca="1">IFERROR(OFFSET(ITEM_RES!$A$5,MATCH(BUILDING!W401,ITEM_RES!$J$5:$J$228,0)-1,0),0)</f>
        <v>211020501</v>
      </c>
      <c r="Z401" s="9" t="s">
        <v>555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452</v>
      </c>
      <c r="AR401" s="11">
        <v>4250</v>
      </c>
      <c r="AU401" s="11">
        <f ca="1">IFERROR(OFFSET(ITEM_RES!$A$1,MATCH(AV401,ITEM_RES!$J:$J,0)-1,0),0)</f>
        <v>211020801</v>
      </c>
      <c r="AV401" s="10" t="s">
        <v>457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440</v>
      </c>
      <c r="L402" s="9">
        <v>0</v>
      </c>
      <c r="M402" s="9">
        <v>15</v>
      </c>
      <c r="R402" s="9" t="s">
        <v>776</v>
      </c>
      <c r="T402" s="85" t="s">
        <v>582</v>
      </c>
      <c r="U402" s="9">
        <f ca="1">IFERROR(OFFSET(ITEM_RES!$A$5,MATCH(BUILDING!T402,ITEM_RES!$J$5:$J$228,0)-1,0),0)</f>
        <v>211020401</v>
      </c>
      <c r="V402" s="11">
        <v>1</v>
      </c>
      <c r="W402" s="85" t="s">
        <v>577</v>
      </c>
      <c r="X402" s="9">
        <f ca="1">IFERROR(OFFSET(ITEM_RES!$A$5,MATCH(BUILDING!W402,ITEM_RES!$J$5:$J$228,0)-1,0),0)</f>
        <v>211020501</v>
      </c>
      <c r="Z402" s="9" t="s">
        <v>555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452</v>
      </c>
      <c r="AR402" s="11">
        <v>5250</v>
      </c>
      <c r="AU402" s="11">
        <f ca="1">IFERROR(OFFSET(ITEM_RES!$A$1,MATCH(AV402,ITEM_RES!$J:$J,0)-1,0),0)</f>
        <v>211020801</v>
      </c>
      <c r="AV402" s="10" t="s">
        <v>457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440</v>
      </c>
      <c r="L403" s="9">
        <v>0</v>
      </c>
      <c r="M403" s="9">
        <v>15</v>
      </c>
      <c r="R403" s="9" t="s">
        <v>776</v>
      </c>
      <c r="T403" s="85" t="s">
        <v>582</v>
      </c>
      <c r="U403" s="9">
        <f ca="1">IFERROR(OFFSET(ITEM_RES!$A$5,MATCH(BUILDING!T403,ITEM_RES!$J$5:$J$228,0)-1,0),0)</f>
        <v>211020401</v>
      </c>
      <c r="V403" s="11">
        <v>1</v>
      </c>
      <c r="W403" s="85" t="s">
        <v>577</v>
      </c>
      <c r="X403" s="9">
        <f ca="1">IFERROR(OFFSET(ITEM_RES!$A$5,MATCH(BUILDING!W403,ITEM_RES!$J$5:$J$228,0)-1,0),0)</f>
        <v>211020501</v>
      </c>
      <c r="Z403" s="9" t="s">
        <v>555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452</v>
      </c>
      <c r="AR403" s="11">
        <v>6250</v>
      </c>
      <c r="AU403" s="11">
        <f ca="1">IFERROR(OFFSET(ITEM_RES!$A$1,MATCH(AV403,ITEM_RES!$J:$J,0)-1,0),0)</f>
        <v>211020801</v>
      </c>
      <c r="AV403" s="10" t="s">
        <v>457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440</v>
      </c>
      <c r="L404" s="9">
        <v>0</v>
      </c>
      <c r="M404" s="9">
        <v>15</v>
      </c>
      <c r="R404" s="9" t="s">
        <v>776</v>
      </c>
      <c r="T404" s="85" t="s">
        <v>582</v>
      </c>
      <c r="U404" s="9">
        <f ca="1">IFERROR(OFFSET(ITEM_RES!$A$5,MATCH(BUILDING!T404,ITEM_RES!$J$5:$J$228,0)-1,0),0)</f>
        <v>211020401</v>
      </c>
      <c r="V404" s="11">
        <v>1</v>
      </c>
      <c r="W404" s="85" t="s">
        <v>577</v>
      </c>
      <c r="X404" s="9">
        <f ca="1">IFERROR(OFFSET(ITEM_RES!$A$5,MATCH(BUILDING!W404,ITEM_RES!$J$5:$J$228,0)-1,0),0)</f>
        <v>211020501</v>
      </c>
      <c r="Z404" s="9" t="s">
        <v>555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452</v>
      </c>
      <c r="AR404" s="11">
        <v>7500</v>
      </c>
      <c r="AU404" s="11">
        <f ca="1">IFERROR(OFFSET(ITEM_RES!$A$1,MATCH(AV404,ITEM_RES!$J:$J,0)-1,0),0)</f>
        <v>211020801</v>
      </c>
      <c r="AV404" s="10" t="s">
        <v>457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79"/>
      <c r="H405" s="16">
        <v>2</v>
      </c>
      <c r="I405" s="16">
        <v>1</v>
      </c>
      <c r="J405" s="79"/>
      <c r="K405" s="16" t="s">
        <v>561</v>
      </c>
      <c r="L405" s="16">
        <v>1</v>
      </c>
      <c r="M405" s="16">
        <v>15</v>
      </c>
      <c r="N405" s="16" t="s">
        <v>837</v>
      </c>
      <c r="O405" s="17"/>
      <c r="P405" s="17"/>
      <c r="Q405" s="18"/>
      <c r="R405" s="16" t="s">
        <v>772</v>
      </c>
      <c r="S405" s="79"/>
      <c r="T405" s="87" t="s">
        <v>576</v>
      </c>
      <c r="U405" s="16">
        <f ca="1">IFERROR(OFFSET(ITEM_RES!$A$5,MATCH(BUILDING!T405,ITEM_RES!$J$5:$J$228,0)-1,0),0)</f>
        <v>211020201</v>
      </c>
      <c r="V405" s="18">
        <v>1</v>
      </c>
      <c r="W405" s="87" t="s">
        <v>578</v>
      </c>
      <c r="X405" s="16">
        <f ca="1">IFERROR(OFFSET(ITEM_RES!$A$5,MATCH(BUILDING!W405,ITEM_RES!$J$5:$J$228,0)-1,0),0)</f>
        <v>211020301</v>
      </c>
      <c r="Y405" s="79"/>
      <c r="Z405" s="16" t="s">
        <v>556</v>
      </c>
      <c r="AA405" s="16">
        <v>1</v>
      </c>
      <c r="AB405" s="79"/>
      <c r="AC405" s="16">
        <v>0</v>
      </c>
      <c r="AD405" s="79"/>
      <c r="AE405" s="57">
        <f t="shared" si="119"/>
        <v>605</v>
      </c>
      <c r="AF405" s="17">
        <f>AE405</f>
        <v>605</v>
      </c>
      <c r="AG405" s="79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456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449</v>
      </c>
      <c r="AW405" s="18">
        <v>25</v>
      </c>
      <c r="AX405" s="17"/>
      <c r="AY405" s="18"/>
      <c r="AZ405" s="18">
        <f ca="1">IFERROR(OFFSET(ITEM_RES!$A$1,MATCH(BA405,ITEM_RES!$J:$J,0)-1,0),0)</f>
        <v>213010101</v>
      </c>
      <c r="BA405" s="17" t="s">
        <v>478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368</v>
      </c>
      <c r="L406" s="9">
        <v>1</v>
      </c>
      <c r="M406" s="9">
        <v>15</v>
      </c>
      <c r="N406" s="9" t="s">
        <v>837</v>
      </c>
      <c r="R406" s="9" t="s">
        <v>772</v>
      </c>
      <c r="T406" s="85" t="s">
        <v>576</v>
      </c>
      <c r="U406" s="9">
        <f ca="1">IFERROR(OFFSET(ITEM_RES!$A$5,MATCH(BUILDING!T406,ITEM_RES!$J$5:$J$228,0)-1,0),0)</f>
        <v>211020201</v>
      </c>
      <c r="V406" s="11">
        <v>1</v>
      </c>
      <c r="W406" s="85" t="s">
        <v>578</v>
      </c>
      <c r="X406" s="9">
        <f ca="1">IFERROR(OFFSET(ITEM_RES!$A$5,MATCH(BUILDING!W406,ITEM_RES!$J$5:$J$228,0)-1,0),0)</f>
        <v>211020301</v>
      </c>
      <c r="Z406" s="9" t="s">
        <v>556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456</v>
      </c>
      <c r="AR406" s="11">
        <v>50</v>
      </c>
      <c r="AU406" s="11">
        <f ca="1">IFERROR(OFFSET(ITEM_RES!$A$1,MATCH(AV406,ITEM_RES!$J:$J,0)-1,0),0)</f>
        <v>211020201</v>
      </c>
      <c r="AV406" s="10" t="s">
        <v>449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368</v>
      </c>
      <c r="L407" s="9">
        <v>1</v>
      </c>
      <c r="M407" s="9">
        <v>15</v>
      </c>
      <c r="N407" s="9" t="s">
        <v>837</v>
      </c>
      <c r="R407" s="9" t="s">
        <v>772</v>
      </c>
      <c r="T407" s="85" t="s">
        <v>576</v>
      </c>
      <c r="U407" s="9">
        <f ca="1">IFERROR(OFFSET(ITEM_RES!$A$5,MATCH(BUILDING!T407,ITEM_RES!$J$5:$J$228,0)-1,0),0)</f>
        <v>211020201</v>
      </c>
      <c r="V407" s="11">
        <v>1</v>
      </c>
      <c r="W407" s="85" t="s">
        <v>578</v>
      </c>
      <c r="X407" s="9">
        <f ca="1">IFERROR(OFFSET(ITEM_RES!$A$5,MATCH(BUILDING!W407,ITEM_RES!$J$5:$J$228,0)-1,0),0)</f>
        <v>211020301</v>
      </c>
      <c r="Z407" s="9" t="s">
        <v>556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456</v>
      </c>
      <c r="AR407" s="11">
        <v>75</v>
      </c>
      <c r="AU407" s="11">
        <f ca="1">IFERROR(OFFSET(ITEM_RES!$A$1,MATCH(AV407,ITEM_RES!$J:$J,0)-1,0),0)</f>
        <v>211020201</v>
      </c>
      <c r="AV407" s="10" t="s">
        <v>449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368</v>
      </c>
      <c r="L408" s="9">
        <v>1</v>
      </c>
      <c r="M408" s="9">
        <v>15</v>
      </c>
      <c r="N408" s="9" t="s">
        <v>837</v>
      </c>
      <c r="R408" s="9" t="s">
        <v>772</v>
      </c>
      <c r="T408" s="85" t="s">
        <v>576</v>
      </c>
      <c r="U408" s="9">
        <f ca="1">IFERROR(OFFSET(ITEM_RES!$A$5,MATCH(BUILDING!T408,ITEM_RES!$J$5:$J$228,0)-1,0),0)</f>
        <v>211020201</v>
      </c>
      <c r="V408" s="11">
        <v>1</v>
      </c>
      <c r="W408" s="85" t="s">
        <v>578</v>
      </c>
      <c r="X408" s="9">
        <f ca="1">IFERROR(OFFSET(ITEM_RES!$A$5,MATCH(BUILDING!W408,ITEM_RES!$J$5:$J$228,0)-1,0),0)</f>
        <v>211020301</v>
      </c>
      <c r="Z408" s="9" t="s">
        <v>556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456</v>
      </c>
      <c r="AR408" s="11">
        <v>125</v>
      </c>
      <c r="AU408" s="11">
        <f ca="1">IFERROR(OFFSET(ITEM_RES!$A$1,MATCH(AV408,ITEM_RES!$J:$J,0)-1,0),0)</f>
        <v>211020201</v>
      </c>
      <c r="AV408" s="10" t="s">
        <v>449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368</v>
      </c>
      <c r="L409" s="9">
        <v>1</v>
      </c>
      <c r="M409" s="9">
        <v>15</v>
      </c>
      <c r="N409" s="9" t="s">
        <v>837</v>
      </c>
      <c r="R409" s="9" t="s">
        <v>772</v>
      </c>
      <c r="T409" s="85" t="s">
        <v>576</v>
      </c>
      <c r="U409" s="9">
        <f ca="1">IFERROR(OFFSET(ITEM_RES!$A$5,MATCH(BUILDING!T409,ITEM_RES!$J$5:$J$228,0)-1,0),0)</f>
        <v>211020201</v>
      </c>
      <c r="V409" s="11">
        <v>1</v>
      </c>
      <c r="W409" s="85" t="s">
        <v>578</v>
      </c>
      <c r="X409" s="9">
        <f ca="1">IFERROR(OFFSET(ITEM_RES!$A$5,MATCH(BUILDING!W409,ITEM_RES!$J$5:$J$228,0)-1,0),0)</f>
        <v>211020301</v>
      </c>
      <c r="Z409" s="9" t="s">
        <v>556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456</v>
      </c>
      <c r="AR409" s="11">
        <v>200</v>
      </c>
      <c r="AU409" s="11">
        <f ca="1">IFERROR(OFFSET(ITEM_RES!$A$1,MATCH(AV409,ITEM_RES!$J:$J,0)-1,0),0)</f>
        <v>211020201</v>
      </c>
      <c r="AV409" s="10" t="s">
        <v>449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368</v>
      </c>
      <c r="L410" s="9">
        <v>1</v>
      </c>
      <c r="M410" s="9">
        <v>15</v>
      </c>
      <c r="N410" s="9" t="s">
        <v>837</v>
      </c>
      <c r="R410" s="9" t="s">
        <v>772</v>
      </c>
      <c r="T410" s="85" t="s">
        <v>576</v>
      </c>
      <c r="U410" s="9">
        <f ca="1">IFERROR(OFFSET(ITEM_RES!$A$5,MATCH(BUILDING!T410,ITEM_RES!$J$5:$J$228,0)-1,0),0)</f>
        <v>211020201</v>
      </c>
      <c r="V410" s="11">
        <v>1</v>
      </c>
      <c r="W410" s="85" t="s">
        <v>578</v>
      </c>
      <c r="X410" s="9">
        <f ca="1">IFERROR(OFFSET(ITEM_RES!$A$5,MATCH(BUILDING!W410,ITEM_RES!$J$5:$J$228,0)-1,0),0)</f>
        <v>211020301</v>
      </c>
      <c r="Z410" s="9" t="s">
        <v>556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456</v>
      </c>
      <c r="AR410" s="11">
        <v>250</v>
      </c>
      <c r="AU410" s="11">
        <f ca="1">IFERROR(OFFSET(ITEM_RES!$A$1,MATCH(AV410,ITEM_RES!$J:$J,0)-1,0),0)</f>
        <v>211020201</v>
      </c>
      <c r="AV410" s="10" t="s">
        <v>449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368</v>
      </c>
      <c r="L411" s="9">
        <v>1</v>
      </c>
      <c r="M411" s="9">
        <v>15</v>
      </c>
      <c r="N411" s="9" t="s">
        <v>837</v>
      </c>
      <c r="R411" s="9" t="s">
        <v>772</v>
      </c>
      <c r="T411" s="85" t="s">
        <v>576</v>
      </c>
      <c r="U411" s="9">
        <f ca="1">IFERROR(OFFSET(ITEM_RES!$A$5,MATCH(BUILDING!T411,ITEM_RES!$J$5:$J$228,0)-1,0),0)</f>
        <v>211020201</v>
      </c>
      <c r="V411" s="11">
        <v>1</v>
      </c>
      <c r="W411" s="85" t="s">
        <v>578</v>
      </c>
      <c r="X411" s="9">
        <f ca="1">IFERROR(OFFSET(ITEM_RES!$A$5,MATCH(BUILDING!W411,ITEM_RES!$J$5:$J$228,0)-1,0),0)</f>
        <v>211020301</v>
      </c>
      <c r="Z411" s="9" t="s">
        <v>556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456</v>
      </c>
      <c r="AR411" s="11">
        <v>500</v>
      </c>
      <c r="AU411" s="11">
        <f ca="1">IFERROR(OFFSET(ITEM_RES!$A$1,MATCH(AV411,ITEM_RES!$J:$J,0)-1,0),0)</f>
        <v>211020201</v>
      </c>
      <c r="AV411" s="10" t="s">
        <v>449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368</v>
      </c>
      <c r="L412" s="9">
        <v>1</v>
      </c>
      <c r="M412" s="9">
        <v>15</v>
      </c>
      <c r="N412" s="9" t="s">
        <v>837</v>
      </c>
      <c r="R412" s="9" t="s">
        <v>772</v>
      </c>
      <c r="T412" s="85" t="s">
        <v>576</v>
      </c>
      <c r="U412" s="9">
        <f ca="1">IFERROR(OFFSET(ITEM_RES!$A$5,MATCH(BUILDING!T412,ITEM_RES!$J$5:$J$228,0)-1,0),0)</f>
        <v>211020201</v>
      </c>
      <c r="V412" s="11">
        <v>1</v>
      </c>
      <c r="W412" s="85" t="s">
        <v>578</v>
      </c>
      <c r="X412" s="9">
        <f ca="1">IFERROR(OFFSET(ITEM_RES!$A$5,MATCH(BUILDING!W412,ITEM_RES!$J$5:$J$228,0)-1,0),0)</f>
        <v>211020301</v>
      </c>
      <c r="Z412" s="9" t="s">
        <v>556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456</v>
      </c>
      <c r="AR412" s="11">
        <v>500</v>
      </c>
      <c r="AU412" s="11">
        <f ca="1">IFERROR(OFFSET(ITEM_RES!$A$1,MATCH(AV412,ITEM_RES!$J:$J,0)-1,0),0)</f>
        <v>211020201</v>
      </c>
      <c r="AV412" s="10" t="s">
        <v>449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368</v>
      </c>
      <c r="L413" s="9">
        <v>1</v>
      </c>
      <c r="M413" s="9">
        <v>15</v>
      </c>
      <c r="N413" s="9" t="s">
        <v>837</v>
      </c>
      <c r="R413" s="9" t="s">
        <v>772</v>
      </c>
      <c r="T413" s="85" t="s">
        <v>576</v>
      </c>
      <c r="U413" s="9">
        <f ca="1">IFERROR(OFFSET(ITEM_RES!$A$5,MATCH(BUILDING!T413,ITEM_RES!$J$5:$J$228,0)-1,0),0)</f>
        <v>211020201</v>
      </c>
      <c r="V413" s="11">
        <v>1</v>
      </c>
      <c r="W413" s="85" t="s">
        <v>578</v>
      </c>
      <c r="X413" s="9">
        <f ca="1">IFERROR(OFFSET(ITEM_RES!$A$5,MATCH(BUILDING!W413,ITEM_RES!$J$5:$J$228,0)-1,0),0)</f>
        <v>211020301</v>
      </c>
      <c r="Z413" s="9" t="s">
        <v>556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456</v>
      </c>
      <c r="AR413" s="11">
        <v>750</v>
      </c>
      <c r="AU413" s="11">
        <f ca="1">IFERROR(OFFSET(ITEM_RES!$A$1,MATCH(AV413,ITEM_RES!$J:$J,0)-1,0),0)</f>
        <v>211020201</v>
      </c>
      <c r="AV413" s="10" t="s">
        <v>449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368</v>
      </c>
      <c r="L414" s="9">
        <v>1</v>
      </c>
      <c r="M414" s="9">
        <v>15</v>
      </c>
      <c r="N414" s="9" t="s">
        <v>837</v>
      </c>
      <c r="R414" s="9" t="s">
        <v>772</v>
      </c>
      <c r="T414" s="85" t="s">
        <v>576</v>
      </c>
      <c r="U414" s="9">
        <f ca="1">IFERROR(OFFSET(ITEM_RES!$A$5,MATCH(BUILDING!T414,ITEM_RES!$J$5:$J$228,0)-1,0),0)</f>
        <v>211020201</v>
      </c>
      <c r="V414" s="11">
        <v>1</v>
      </c>
      <c r="W414" s="85" t="s">
        <v>578</v>
      </c>
      <c r="X414" s="9">
        <f ca="1">IFERROR(OFFSET(ITEM_RES!$A$5,MATCH(BUILDING!W414,ITEM_RES!$J$5:$J$228,0)-1,0),0)</f>
        <v>211020301</v>
      </c>
      <c r="Z414" s="9" t="s">
        <v>556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456</v>
      </c>
      <c r="AR414" s="11">
        <v>1000</v>
      </c>
      <c r="AU414" s="11">
        <f ca="1">IFERROR(OFFSET(ITEM_RES!$A$1,MATCH(AV414,ITEM_RES!$J:$J,0)-1,0),0)</f>
        <v>211020201</v>
      </c>
      <c r="AV414" s="10" t="s">
        <v>449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368</v>
      </c>
      <c r="L415" s="9">
        <v>1</v>
      </c>
      <c r="M415" s="9">
        <v>15</v>
      </c>
      <c r="N415" s="9" t="s">
        <v>837</v>
      </c>
      <c r="R415" s="9" t="s">
        <v>772</v>
      </c>
      <c r="T415" s="85" t="s">
        <v>576</v>
      </c>
      <c r="U415" s="9">
        <f ca="1">IFERROR(OFFSET(ITEM_RES!$A$5,MATCH(BUILDING!T415,ITEM_RES!$J$5:$J$228,0)-1,0),0)</f>
        <v>211020201</v>
      </c>
      <c r="V415" s="11">
        <v>1</v>
      </c>
      <c r="W415" s="85" t="s">
        <v>578</v>
      </c>
      <c r="X415" s="9">
        <f ca="1">IFERROR(OFFSET(ITEM_RES!$A$5,MATCH(BUILDING!W415,ITEM_RES!$J$5:$J$228,0)-1,0),0)</f>
        <v>211020301</v>
      </c>
      <c r="Z415" s="9" t="s">
        <v>556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456</v>
      </c>
      <c r="AR415" s="11">
        <v>1250</v>
      </c>
      <c r="AU415" s="11">
        <f ca="1">IFERROR(OFFSET(ITEM_RES!$A$1,MATCH(AV415,ITEM_RES!$J:$J,0)-1,0),0)</f>
        <v>211020201</v>
      </c>
      <c r="AV415" s="10" t="s">
        <v>449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213011201</v>
      </c>
      <c r="BF415" s="10" t="s">
        <v>493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368</v>
      </c>
      <c r="L416" s="9">
        <v>1</v>
      </c>
      <c r="M416" s="9">
        <v>15</v>
      </c>
      <c r="N416" s="9" t="s">
        <v>837</v>
      </c>
      <c r="R416" s="9" t="s">
        <v>772</v>
      </c>
      <c r="T416" s="85" t="s">
        <v>576</v>
      </c>
      <c r="U416" s="9">
        <f ca="1">IFERROR(OFFSET(ITEM_RES!$A$5,MATCH(BUILDING!T416,ITEM_RES!$J$5:$J$228,0)-1,0),0)</f>
        <v>211020201</v>
      </c>
      <c r="V416" s="11">
        <v>1</v>
      </c>
      <c r="W416" s="85" t="s">
        <v>578</v>
      </c>
      <c r="X416" s="9">
        <f ca="1">IFERROR(OFFSET(ITEM_RES!$A$5,MATCH(BUILDING!W416,ITEM_RES!$J$5:$J$228,0)-1,0),0)</f>
        <v>211020301</v>
      </c>
      <c r="Z416" s="9" t="s">
        <v>556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456</v>
      </c>
      <c r="AR416" s="11">
        <v>1500</v>
      </c>
      <c r="AU416" s="11">
        <f ca="1">IFERROR(OFFSET(ITEM_RES!$A$1,MATCH(AV416,ITEM_RES!$J:$J,0)-1,0),0)</f>
        <v>211020201</v>
      </c>
      <c r="AV416" s="10" t="s">
        <v>449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368</v>
      </c>
      <c r="L417" s="9">
        <v>1</v>
      </c>
      <c r="M417" s="9">
        <v>15</v>
      </c>
      <c r="N417" s="9" t="s">
        <v>837</v>
      </c>
      <c r="R417" s="9" t="s">
        <v>772</v>
      </c>
      <c r="T417" s="85" t="s">
        <v>576</v>
      </c>
      <c r="U417" s="9">
        <f ca="1">IFERROR(OFFSET(ITEM_RES!$A$5,MATCH(BUILDING!T417,ITEM_RES!$J$5:$J$228,0)-1,0),0)</f>
        <v>211020201</v>
      </c>
      <c r="V417" s="11">
        <v>1</v>
      </c>
      <c r="W417" s="85" t="s">
        <v>578</v>
      </c>
      <c r="X417" s="9">
        <f ca="1">IFERROR(OFFSET(ITEM_RES!$A$5,MATCH(BUILDING!W417,ITEM_RES!$J$5:$J$228,0)-1,0),0)</f>
        <v>211020301</v>
      </c>
      <c r="Z417" s="9" t="s">
        <v>556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456</v>
      </c>
      <c r="AR417" s="11">
        <v>1750</v>
      </c>
      <c r="AU417" s="11">
        <f ca="1">IFERROR(OFFSET(ITEM_RES!$A$1,MATCH(AV417,ITEM_RES!$J:$J,0)-1,0),0)</f>
        <v>211020201</v>
      </c>
      <c r="AV417" s="10" t="s">
        <v>449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368</v>
      </c>
      <c r="L418" s="9">
        <v>1</v>
      </c>
      <c r="M418" s="9">
        <v>15</v>
      </c>
      <c r="N418" s="9" t="s">
        <v>837</v>
      </c>
      <c r="R418" s="9" t="s">
        <v>772</v>
      </c>
      <c r="T418" s="85" t="s">
        <v>576</v>
      </c>
      <c r="U418" s="9">
        <f ca="1">IFERROR(OFFSET(ITEM_RES!$A$5,MATCH(BUILDING!T418,ITEM_RES!$J$5:$J$228,0)-1,0),0)</f>
        <v>211020201</v>
      </c>
      <c r="V418" s="11">
        <v>1</v>
      </c>
      <c r="W418" s="85" t="s">
        <v>578</v>
      </c>
      <c r="X418" s="9">
        <f ca="1">IFERROR(OFFSET(ITEM_RES!$A$5,MATCH(BUILDING!W418,ITEM_RES!$J$5:$J$228,0)-1,0),0)</f>
        <v>211020301</v>
      </c>
      <c r="Z418" s="9" t="s">
        <v>556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456</v>
      </c>
      <c r="AR418" s="11">
        <v>2250</v>
      </c>
      <c r="AU418" s="11">
        <f ca="1">IFERROR(OFFSET(ITEM_RES!$A$1,MATCH(AV418,ITEM_RES!$J:$J,0)-1,0),0)</f>
        <v>0</v>
      </c>
      <c r="AV418" s="10" t="s">
        <v>464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368</v>
      </c>
      <c r="L419" s="9">
        <v>1</v>
      </c>
      <c r="M419" s="9">
        <v>15</v>
      </c>
      <c r="N419" s="9" t="s">
        <v>837</v>
      </c>
      <c r="R419" s="9" t="s">
        <v>772</v>
      </c>
      <c r="T419" s="85" t="s">
        <v>576</v>
      </c>
      <c r="U419" s="9">
        <f ca="1">IFERROR(OFFSET(ITEM_RES!$A$5,MATCH(BUILDING!T419,ITEM_RES!$J$5:$J$228,0)-1,0),0)</f>
        <v>211020201</v>
      </c>
      <c r="V419" s="11">
        <v>1</v>
      </c>
      <c r="W419" s="85" t="s">
        <v>578</v>
      </c>
      <c r="X419" s="9">
        <f ca="1">IFERROR(OFFSET(ITEM_RES!$A$5,MATCH(BUILDING!W419,ITEM_RES!$J$5:$J$228,0)-1,0),0)</f>
        <v>211020301</v>
      </c>
      <c r="Z419" s="9" t="s">
        <v>556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452</v>
      </c>
      <c r="AR419" s="11">
        <v>2750</v>
      </c>
      <c r="AU419" s="11">
        <f ca="1">IFERROR(OFFSET(ITEM_RES!$A$1,MATCH(AV419,ITEM_RES!$J:$J,0)-1,0),0)</f>
        <v>0</v>
      </c>
      <c r="AV419" s="10" t="s">
        <v>464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368</v>
      </c>
      <c r="L420" s="9">
        <v>0</v>
      </c>
      <c r="M420" s="9">
        <v>15</v>
      </c>
      <c r="N420" s="9" t="s">
        <v>837</v>
      </c>
      <c r="R420" s="9" t="s">
        <v>772</v>
      </c>
      <c r="T420" s="85" t="s">
        <v>576</v>
      </c>
      <c r="U420" s="9">
        <f ca="1">IFERROR(OFFSET(ITEM_RES!$A$5,MATCH(BUILDING!T420,ITEM_RES!$J$5:$J$228,0)-1,0),0)</f>
        <v>211020201</v>
      </c>
      <c r="V420" s="11">
        <v>1</v>
      </c>
      <c r="W420" s="85" t="s">
        <v>578</v>
      </c>
      <c r="X420" s="9">
        <f ca="1">IFERROR(OFFSET(ITEM_RES!$A$5,MATCH(BUILDING!W420,ITEM_RES!$J$5:$J$228,0)-1,0),0)</f>
        <v>211020301</v>
      </c>
      <c r="Z420" s="9" t="s">
        <v>556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452</v>
      </c>
      <c r="AR420" s="11">
        <v>3500</v>
      </c>
      <c r="AU420" s="11">
        <f ca="1">IFERROR(OFFSET(ITEM_RES!$A$1,MATCH(AV420,ITEM_RES!$J:$J,0)-1,0),0)</f>
        <v>0</v>
      </c>
      <c r="AV420" s="10" t="s">
        <v>464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368</v>
      </c>
      <c r="L421" s="9">
        <v>0</v>
      </c>
      <c r="M421" s="9">
        <v>15</v>
      </c>
      <c r="N421" s="9" t="s">
        <v>837</v>
      </c>
      <c r="R421" s="9" t="s">
        <v>772</v>
      </c>
      <c r="T421" s="85" t="s">
        <v>576</v>
      </c>
      <c r="U421" s="9">
        <f ca="1">IFERROR(OFFSET(ITEM_RES!$A$5,MATCH(BUILDING!T421,ITEM_RES!$J$5:$J$228,0)-1,0),0)</f>
        <v>211020201</v>
      </c>
      <c r="V421" s="11">
        <v>1</v>
      </c>
      <c r="W421" s="85" t="s">
        <v>578</v>
      </c>
      <c r="X421" s="9">
        <f ca="1">IFERROR(OFFSET(ITEM_RES!$A$5,MATCH(BUILDING!W421,ITEM_RES!$J$5:$J$228,0)-1,0),0)</f>
        <v>211020301</v>
      </c>
      <c r="Z421" s="9" t="s">
        <v>556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452</v>
      </c>
      <c r="AR421" s="11">
        <v>4250</v>
      </c>
      <c r="AU421" s="11">
        <f ca="1">IFERROR(OFFSET(ITEM_RES!$A$1,MATCH(AV421,ITEM_RES!$J:$J,0)-1,0),0)</f>
        <v>0</v>
      </c>
      <c r="AV421" s="10" t="s">
        <v>464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368</v>
      </c>
      <c r="L422" s="9">
        <v>0</v>
      </c>
      <c r="M422" s="9">
        <v>15</v>
      </c>
      <c r="N422" s="9" t="s">
        <v>837</v>
      </c>
      <c r="R422" s="9" t="s">
        <v>772</v>
      </c>
      <c r="T422" s="85" t="s">
        <v>576</v>
      </c>
      <c r="U422" s="9">
        <f ca="1">IFERROR(OFFSET(ITEM_RES!$A$5,MATCH(BUILDING!T422,ITEM_RES!$J$5:$J$228,0)-1,0),0)</f>
        <v>211020201</v>
      </c>
      <c r="V422" s="11">
        <v>1</v>
      </c>
      <c r="W422" s="85" t="s">
        <v>578</v>
      </c>
      <c r="X422" s="9">
        <f ca="1">IFERROR(OFFSET(ITEM_RES!$A$5,MATCH(BUILDING!W422,ITEM_RES!$J$5:$J$228,0)-1,0),0)</f>
        <v>211020301</v>
      </c>
      <c r="Z422" s="9" t="s">
        <v>556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452</v>
      </c>
      <c r="AR422" s="11">
        <v>5250</v>
      </c>
      <c r="AU422" s="11">
        <f ca="1">IFERROR(OFFSET(ITEM_RES!$A$1,MATCH(AV422,ITEM_RES!$J:$J,0)-1,0),0)</f>
        <v>0</v>
      </c>
      <c r="AV422" s="10" t="s">
        <v>464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368</v>
      </c>
      <c r="L423" s="9">
        <v>0</v>
      </c>
      <c r="M423" s="9">
        <v>15</v>
      </c>
      <c r="N423" s="9" t="s">
        <v>837</v>
      </c>
      <c r="R423" s="9" t="s">
        <v>772</v>
      </c>
      <c r="T423" s="85" t="s">
        <v>576</v>
      </c>
      <c r="U423" s="9">
        <f ca="1">IFERROR(OFFSET(ITEM_RES!$A$5,MATCH(BUILDING!T423,ITEM_RES!$J$5:$J$228,0)-1,0),0)</f>
        <v>211020201</v>
      </c>
      <c r="V423" s="11">
        <v>1</v>
      </c>
      <c r="W423" s="85" t="s">
        <v>578</v>
      </c>
      <c r="X423" s="9">
        <f ca="1">IFERROR(OFFSET(ITEM_RES!$A$5,MATCH(BUILDING!W423,ITEM_RES!$J$5:$J$228,0)-1,0),0)</f>
        <v>211020301</v>
      </c>
      <c r="Z423" s="9" t="s">
        <v>556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452</v>
      </c>
      <c r="AR423" s="11">
        <v>6250</v>
      </c>
      <c r="AU423" s="11">
        <f ca="1">IFERROR(OFFSET(ITEM_RES!$A$1,MATCH(AV423,ITEM_RES!$J:$J,0)-1,0),0)</f>
        <v>0</v>
      </c>
      <c r="AV423" s="10" t="s">
        <v>464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368</v>
      </c>
      <c r="L424" s="9">
        <v>0</v>
      </c>
      <c r="M424" s="9">
        <v>15</v>
      </c>
      <c r="N424" s="9" t="s">
        <v>837</v>
      </c>
      <c r="R424" s="9" t="s">
        <v>772</v>
      </c>
      <c r="T424" s="85" t="s">
        <v>576</v>
      </c>
      <c r="U424" s="9">
        <f ca="1">IFERROR(OFFSET(ITEM_RES!$A$5,MATCH(BUILDING!T424,ITEM_RES!$J$5:$J$228,0)-1,0),0)</f>
        <v>211020201</v>
      </c>
      <c r="V424" s="11">
        <v>1</v>
      </c>
      <c r="W424" s="85" t="s">
        <v>578</v>
      </c>
      <c r="X424" s="9">
        <f ca="1">IFERROR(OFFSET(ITEM_RES!$A$5,MATCH(BUILDING!W424,ITEM_RES!$J$5:$J$228,0)-1,0),0)</f>
        <v>211020301</v>
      </c>
      <c r="Z424" s="9" t="s">
        <v>556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452</v>
      </c>
      <c r="AR424" s="11">
        <v>7500</v>
      </c>
      <c r="AU424" s="11">
        <f ca="1">IFERROR(OFFSET(ITEM_RES!$A$1,MATCH(AV424,ITEM_RES!$J:$J,0)-1,0),0)</f>
        <v>0</v>
      </c>
      <c r="AV424" s="10" t="s">
        <v>464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79"/>
      <c r="H425" s="16">
        <v>4</v>
      </c>
      <c r="I425" s="16">
        <v>1</v>
      </c>
      <c r="J425" s="79"/>
      <c r="K425" s="16" t="s">
        <v>458</v>
      </c>
      <c r="L425" s="16">
        <v>1</v>
      </c>
      <c r="M425" s="16">
        <v>15</v>
      </c>
      <c r="N425" s="141"/>
      <c r="O425" s="17"/>
      <c r="P425" s="17"/>
      <c r="Q425" s="18"/>
      <c r="R425" s="16" t="s">
        <v>773</v>
      </c>
      <c r="S425" s="79"/>
      <c r="T425" s="87"/>
      <c r="U425" s="16">
        <f ca="1">IFERROR(OFFSET(ITEM_RES!$A$5,MATCH(BUILDING!T425,ITEM_RES!$J$5:$J$228,0)-1,0),0)</f>
        <v>0</v>
      </c>
      <c r="V425" s="18"/>
      <c r="W425" s="87"/>
      <c r="X425" s="16">
        <f ca="1">IFERROR(OFFSET(ITEM_RES!$A$5,MATCH(BUILDING!W425,ITEM_RES!$J$5:$J$228,0)-1,0),0)</f>
        <v>0</v>
      </c>
      <c r="Y425" s="79"/>
      <c r="Z425" s="16" t="s">
        <v>557</v>
      </c>
      <c r="AA425" s="16">
        <v>1</v>
      </c>
      <c r="AB425" s="79"/>
      <c r="AC425" s="16">
        <v>0</v>
      </c>
      <c r="AD425" s="79"/>
      <c r="AE425" s="57">
        <f t="shared" si="129"/>
        <v>580</v>
      </c>
      <c r="AF425" s="17">
        <f>AE425</f>
        <v>580</v>
      </c>
      <c r="AG425" s="79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456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213010101</v>
      </c>
      <c r="BA425" s="17" t="s">
        <v>478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458</v>
      </c>
      <c r="L426" s="9">
        <v>1</v>
      </c>
      <c r="M426" s="9">
        <v>15</v>
      </c>
      <c r="N426" s="142"/>
      <c r="R426" s="9" t="s">
        <v>773</v>
      </c>
      <c r="U426" s="9">
        <f ca="1">IFERROR(OFFSET(ITEM_RES!$A$5,MATCH(BUILDING!T426,ITEM_RES!$J$5:$J$228,0)-1,0),0)</f>
        <v>0</v>
      </c>
      <c r="X426" s="9">
        <f ca="1">IFERROR(OFFSET(ITEM_RES!$A$5,MATCH(BUILDING!W426,ITEM_RES!$J$5:$J$228,0)-1,0),0)</f>
        <v>0</v>
      </c>
      <c r="Z426" s="9" t="s">
        <v>557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456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458</v>
      </c>
      <c r="L427" s="9">
        <v>1</v>
      </c>
      <c r="M427" s="9">
        <v>15</v>
      </c>
      <c r="N427" s="142"/>
      <c r="R427" s="9" t="s">
        <v>773</v>
      </c>
      <c r="U427" s="9">
        <f ca="1">IFERROR(OFFSET(ITEM_RES!$A$5,MATCH(BUILDING!T427,ITEM_RES!$J$5:$J$228,0)-1,0),0)</f>
        <v>0</v>
      </c>
      <c r="X427" s="9">
        <f ca="1">IFERROR(OFFSET(ITEM_RES!$A$5,MATCH(BUILDING!W427,ITEM_RES!$J$5:$J$228,0)-1,0),0)</f>
        <v>0</v>
      </c>
      <c r="Z427" s="9" t="s">
        <v>557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456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458</v>
      </c>
      <c r="L428" s="9">
        <v>1</v>
      </c>
      <c r="M428" s="9">
        <v>15</v>
      </c>
      <c r="N428" s="142"/>
      <c r="R428" s="9" t="s">
        <v>773</v>
      </c>
      <c r="U428" s="9">
        <f ca="1">IFERROR(OFFSET(ITEM_RES!$A$5,MATCH(BUILDING!T428,ITEM_RES!$J$5:$J$228,0)-1,0),0)</f>
        <v>0</v>
      </c>
      <c r="X428" s="9">
        <f ca="1">IFERROR(OFFSET(ITEM_RES!$A$5,MATCH(BUILDING!W428,ITEM_RES!$J$5:$J$228,0)-1,0),0)</f>
        <v>0</v>
      </c>
      <c r="Z428" s="9" t="s">
        <v>557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456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458</v>
      </c>
      <c r="L429" s="9">
        <v>1</v>
      </c>
      <c r="M429" s="9">
        <v>15</v>
      </c>
      <c r="N429" s="142"/>
      <c r="R429" s="9" t="s">
        <v>773</v>
      </c>
      <c r="U429" s="9">
        <f ca="1">IFERROR(OFFSET(ITEM_RES!$A$5,MATCH(BUILDING!T429,ITEM_RES!$J$5:$J$228,0)-1,0),0)</f>
        <v>0</v>
      </c>
      <c r="X429" s="9">
        <f ca="1">IFERROR(OFFSET(ITEM_RES!$A$5,MATCH(BUILDING!W429,ITEM_RES!$J$5:$J$228,0)-1,0),0)</f>
        <v>0</v>
      </c>
      <c r="Z429" s="9" t="s">
        <v>557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456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458</v>
      </c>
      <c r="L430" s="9">
        <v>1</v>
      </c>
      <c r="M430" s="9">
        <v>15</v>
      </c>
      <c r="N430" s="142"/>
      <c r="R430" s="9" t="s">
        <v>773</v>
      </c>
      <c r="U430" s="9">
        <f ca="1">IFERROR(OFFSET(ITEM_RES!$A$5,MATCH(BUILDING!T430,ITEM_RES!$J$5:$J$228,0)-1,0),0)</f>
        <v>0</v>
      </c>
      <c r="X430" s="9">
        <f ca="1">IFERROR(OFFSET(ITEM_RES!$A$5,MATCH(BUILDING!W430,ITEM_RES!$J$5:$J$228,0)-1,0),0)</f>
        <v>0</v>
      </c>
      <c r="Z430" s="9" t="s">
        <v>557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456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458</v>
      </c>
      <c r="L431" s="9">
        <v>1</v>
      </c>
      <c r="M431" s="9">
        <v>15</v>
      </c>
      <c r="N431" s="142"/>
      <c r="R431" s="9" t="s">
        <v>773</v>
      </c>
      <c r="U431" s="9">
        <f ca="1">IFERROR(OFFSET(ITEM_RES!$A$5,MATCH(BUILDING!T431,ITEM_RES!$J$5:$J$228,0)-1,0),0)</f>
        <v>0</v>
      </c>
      <c r="X431" s="9">
        <f ca="1">IFERROR(OFFSET(ITEM_RES!$A$5,MATCH(BUILDING!W431,ITEM_RES!$J$5:$J$228,0)-1,0),0)</f>
        <v>0</v>
      </c>
      <c r="Z431" s="9" t="s">
        <v>557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456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379</v>
      </c>
      <c r="L432" s="9">
        <v>1</v>
      </c>
      <c r="M432" s="9">
        <v>15</v>
      </c>
      <c r="N432" s="142"/>
      <c r="R432" s="9" t="s">
        <v>774</v>
      </c>
      <c r="U432" s="9">
        <f ca="1">IFERROR(OFFSET(ITEM_RES!$A$5,MATCH(BUILDING!T432,ITEM_RES!$J$5:$J$228,0)-1,0),0)</f>
        <v>0</v>
      </c>
      <c r="X432" s="9">
        <f ca="1">IFERROR(OFFSET(ITEM_RES!$A$5,MATCH(BUILDING!W432,ITEM_RES!$J$5:$J$228,0)-1,0),0)</f>
        <v>0</v>
      </c>
      <c r="Z432" s="9" t="s">
        <v>557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452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379</v>
      </c>
      <c r="L433" s="9">
        <v>1</v>
      </c>
      <c r="M433" s="9">
        <v>15</v>
      </c>
      <c r="N433" s="142"/>
      <c r="R433" s="9" t="s">
        <v>774</v>
      </c>
      <c r="U433" s="9">
        <f ca="1">IFERROR(OFFSET(ITEM_RES!$A$5,MATCH(BUILDING!T433,ITEM_RES!$J$5:$J$228,0)-1,0),0)</f>
        <v>0</v>
      </c>
      <c r="X433" s="9">
        <f ca="1">IFERROR(OFFSET(ITEM_RES!$A$5,MATCH(BUILDING!W433,ITEM_RES!$J$5:$J$228,0)-1,0),0)</f>
        <v>0</v>
      </c>
      <c r="Z433" s="9" t="s">
        <v>557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452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379</v>
      </c>
      <c r="L434" s="9">
        <v>1</v>
      </c>
      <c r="M434" s="9">
        <v>15</v>
      </c>
      <c r="N434" s="142"/>
      <c r="R434" s="9" t="s">
        <v>774</v>
      </c>
      <c r="U434" s="9">
        <f ca="1">IFERROR(OFFSET(ITEM_RES!$A$5,MATCH(BUILDING!T434,ITEM_RES!$J$5:$J$228,0)-1,0),0)</f>
        <v>0</v>
      </c>
      <c r="X434" s="9">
        <f ca="1">IFERROR(OFFSET(ITEM_RES!$A$5,MATCH(BUILDING!W434,ITEM_RES!$J$5:$J$228,0)-1,0),0)</f>
        <v>0</v>
      </c>
      <c r="Z434" s="9" t="s">
        <v>557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452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379</v>
      </c>
      <c r="L435" s="9">
        <v>1</v>
      </c>
      <c r="M435" s="9">
        <v>15</v>
      </c>
      <c r="N435" s="142"/>
      <c r="R435" s="9" t="s">
        <v>774</v>
      </c>
      <c r="U435" s="9">
        <f ca="1">IFERROR(OFFSET(ITEM_RES!$A$5,MATCH(BUILDING!T435,ITEM_RES!$J$5:$J$228,0)-1,0),0)</f>
        <v>0</v>
      </c>
      <c r="X435" s="9">
        <f ca="1">IFERROR(OFFSET(ITEM_RES!$A$5,MATCH(BUILDING!W435,ITEM_RES!$J$5:$J$228,0)-1,0),0)</f>
        <v>0</v>
      </c>
      <c r="Z435" s="9" t="s">
        <v>557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452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379</v>
      </c>
      <c r="L436" s="9">
        <v>1</v>
      </c>
      <c r="M436" s="9">
        <v>15</v>
      </c>
      <c r="N436" s="142"/>
      <c r="R436" s="9" t="s">
        <v>774</v>
      </c>
      <c r="U436" s="9">
        <f ca="1">IFERROR(OFFSET(ITEM_RES!$A$5,MATCH(BUILDING!T436,ITEM_RES!$J$5:$J$228,0)-1,0),0)</f>
        <v>0</v>
      </c>
      <c r="X436" s="9">
        <f ca="1">IFERROR(OFFSET(ITEM_RES!$A$5,MATCH(BUILDING!W436,ITEM_RES!$J$5:$J$228,0)-1,0),0)</f>
        <v>0</v>
      </c>
      <c r="Z436" s="9" t="s">
        <v>557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452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379</v>
      </c>
      <c r="L437" s="9">
        <v>1</v>
      </c>
      <c r="M437" s="9">
        <v>15</v>
      </c>
      <c r="N437" s="142"/>
      <c r="R437" s="9" t="s">
        <v>774</v>
      </c>
      <c r="U437" s="9">
        <f ca="1">IFERROR(OFFSET(ITEM_RES!$A$5,MATCH(BUILDING!T437,ITEM_RES!$J$5:$J$228,0)-1,0),0)</f>
        <v>0</v>
      </c>
      <c r="X437" s="9">
        <f ca="1">IFERROR(OFFSET(ITEM_RES!$A$5,MATCH(BUILDING!W437,ITEM_RES!$J$5:$J$228,0)-1,0),0)</f>
        <v>0</v>
      </c>
      <c r="Z437" s="9" t="s">
        <v>557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452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213011301</v>
      </c>
      <c r="BF437" s="10" t="s">
        <v>496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379</v>
      </c>
      <c r="L438" s="9">
        <v>1</v>
      </c>
      <c r="M438" s="9">
        <v>15</v>
      </c>
      <c r="N438" s="142"/>
      <c r="R438" s="9" t="s">
        <v>774</v>
      </c>
      <c r="U438" s="9">
        <f ca="1">IFERROR(OFFSET(ITEM_RES!$A$5,MATCH(BUILDING!T438,ITEM_RES!$J$5:$J$228,0)-1,0),0)</f>
        <v>0</v>
      </c>
      <c r="X438" s="9">
        <f ca="1">IFERROR(OFFSET(ITEM_RES!$A$5,MATCH(BUILDING!W438,ITEM_RES!$J$5:$J$228,0)-1,0),0)</f>
        <v>0</v>
      </c>
      <c r="Z438" s="9" t="s">
        <v>557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452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379</v>
      </c>
      <c r="L439" s="9">
        <v>1</v>
      </c>
      <c r="M439" s="9">
        <v>15</v>
      </c>
      <c r="N439" s="142"/>
      <c r="R439" s="9" t="s">
        <v>774</v>
      </c>
      <c r="U439" s="9">
        <f ca="1">IFERROR(OFFSET(ITEM_RES!$A$5,MATCH(BUILDING!T439,ITEM_RES!$J$5:$J$228,0)-1,0),0)</f>
        <v>0</v>
      </c>
      <c r="X439" s="9">
        <f ca="1">IFERROR(OFFSET(ITEM_RES!$A$5,MATCH(BUILDING!W439,ITEM_RES!$J$5:$J$228,0)-1,0),0)</f>
        <v>0</v>
      </c>
      <c r="Z439" s="9" t="s">
        <v>557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452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379</v>
      </c>
      <c r="L440" s="9">
        <v>0</v>
      </c>
      <c r="M440" s="9">
        <v>15</v>
      </c>
      <c r="N440" s="142"/>
      <c r="R440" s="9" t="s">
        <v>774</v>
      </c>
      <c r="U440" s="9">
        <f ca="1">IFERROR(OFFSET(ITEM_RES!$A$5,MATCH(BUILDING!T440,ITEM_RES!$J$5:$J$228,0)-1,0),0)</f>
        <v>0</v>
      </c>
      <c r="X440" s="9">
        <f ca="1">IFERROR(OFFSET(ITEM_RES!$A$5,MATCH(BUILDING!W440,ITEM_RES!$J$5:$J$228,0)-1,0),0)</f>
        <v>0</v>
      </c>
      <c r="Z440" s="9" t="s">
        <v>557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452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379</v>
      </c>
      <c r="L441" s="9">
        <v>0</v>
      </c>
      <c r="M441" s="9">
        <v>15</v>
      </c>
      <c r="N441" s="142"/>
      <c r="R441" s="9" t="s">
        <v>774</v>
      </c>
      <c r="U441" s="9">
        <f ca="1">IFERROR(OFFSET(ITEM_RES!$A$5,MATCH(BUILDING!T441,ITEM_RES!$J$5:$J$228,0)-1,0),0)</f>
        <v>0</v>
      </c>
      <c r="X441" s="9">
        <f ca="1">IFERROR(OFFSET(ITEM_RES!$A$5,MATCH(BUILDING!W441,ITEM_RES!$J$5:$J$228,0)-1,0),0)</f>
        <v>0</v>
      </c>
      <c r="Z441" s="9" t="s">
        <v>557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452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379</v>
      </c>
      <c r="L442" s="9">
        <v>0</v>
      </c>
      <c r="M442" s="9">
        <v>15</v>
      </c>
      <c r="N442" s="142"/>
      <c r="R442" s="9" t="s">
        <v>774</v>
      </c>
      <c r="U442" s="9">
        <f ca="1">IFERROR(OFFSET(ITEM_RES!$A$5,MATCH(BUILDING!T442,ITEM_RES!$J$5:$J$228,0)-1,0),0)</f>
        <v>0</v>
      </c>
      <c r="X442" s="9">
        <f ca="1">IFERROR(OFFSET(ITEM_RES!$A$5,MATCH(BUILDING!W442,ITEM_RES!$J$5:$J$228,0)-1,0),0)</f>
        <v>0</v>
      </c>
      <c r="Z442" s="9" t="s">
        <v>557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452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379</v>
      </c>
      <c r="L443" s="9">
        <v>0</v>
      </c>
      <c r="M443" s="9">
        <v>15</v>
      </c>
      <c r="N443" s="142"/>
      <c r="R443" s="9" t="s">
        <v>774</v>
      </c>
      <c r="U443" s="9">
        <f ca="1">IFERROR(OFFSET(ITEM_RES!$A$5,MATCH(BUILDING!T443,ITEM_RES!$J$5:$J$228,0)-1,0),0)</f>
        <v>0</v>
      </c>
      <c r="X443" s="9">
        <f ca="1">IFERROR(OFFSET(ITEM_RES!$A$5,MATCH(BUILDING!W443,ITEM_RES!$J$5:$J$228,0)-1,0),0)</f>
        <v>0</v>
      </c>
      <c r="Z443" s="9" t="s">
        <v>557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452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379</v>
      </c>
      <c r="L444" s="9">
        <v>0</v>
      </c>
      <c r="M444" s="9">
        <v>15</v>
      </c>
      <c r="N444" s="142"/>
      <c r="R444" s="9" t="s">
        <v>774</v>
      </c>
      <c r="U444" s="9">
        <f ca="1">IFERROR(OFFSET(ITEM_RES!$A$5,MATCH(BUILDING!T444,ITEM_RES!$J$5:$J$228,0)-1,0),0)</f>
        <v>0</v>
      </c>
      <c r="X444" s="9">
        <f ca="1">IFERROR(OFFSET(ITEM_RES!$A$5,MATCH(BUILDING!W444,ITEM_RES!$J$5:$J$228,0)-1,0),0)</f>
        <v>0</v>
      </c>
      <c r="Z444" s="9" t="s">
        <v>557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452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79"/>
      <c r="H445" s="16">
        <v>4</v>
      </c>
      <c r="I445" s="16">
        <v>1</v>
      </c>
      <c r="J445" s="79"/>
      <c r="K445" s="16" t="s">
        <v>385</v>
      </c>
      <c r="L445" s="16">
        <v>1</v>
      </c>
      <c r="M445" s="16">
        <v>15</v>
      </c>
      <c r="N445" s="16" t="s">
        <v>836</v>
      </c>
      <c r="O445" s="17"/>
      <c r="P445" s="17"/>
      <c r="Q445" s="18"/>
      <c r="R445" s="16" t="s">
        <v>775</v>
      </c>
      <c r="S445" s="79"/>
      <c r="T445" s="87"/>
      <c r="U445" s="16">
        <f ca="1">IFERROR(OFFSET(ITEM_RES!$A$5,MATCH(BUILDING!T445,ITEM_RES!$J$5:$J$228,0)-1,0),0)</f>
        <v>0</v>
      </c>
      <c r="V445" s="18"/>
      <c r="W445" s="87"/>
      <c r="X445" s="16">
        <f ca="1">IFERROR(OFFSET(ITEM_RES!$A$5,MATCH(BUILDING!W445,ITEM_RES!$J$5:$J$228,0)-1,0),0)</f>
        <v>0</v>
      </c>
      <c r="Y445" s="79"/>
      <c r="Z445" s="16" t="s">
        <v>558</v>
      </c>
      <c r="AA445" s="16">
        <v>1</v>
      </c>
      <c r="AB445" s="79"/>
      <c r="AC445" s="16">
        <v>0</v>
      </c>
      <c r="AD445" s="79"/>
      <c r="AE445" s="57">
        <f t="shared" si="129"/>
        <v>580</v>
      </c>
      <c r="AF445" s="17">
        <f>AE445</f>
        <v>580</v>
      </c>
      <c r="AG445" s="79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457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213010101</v>
      </c>
      <c r="BA445" s="17" t="s">
        <v>478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385</v>
      </c>
      <c r="L446" s="9">
        <v>1</v>
      </c>
      <c r="M446" s="9">
        <v>15</v>
      </c>
      <c r="N446" s="9" t="s">
        <v>836</v>
      </c>
      <c r="R446" s="9" t="s">
        <v>775</v>
      </c>
      <c r="U446" s="9">
        <f ca="1">IFERROR(OFFSET(ITEM_RES!$A$5,MATCH(BUILDING!T446,ITEM_RES!$J$5:$J$228,0)-1,0),0)</f>
        <v>0</v>
      </c>
      <c r="X446" s="9">
        <f ca="1">IFERROR(OFFSET(ITEM_RES!$A$5,MATCH(BUILDING!W446,ITEM_RES!$J$5:$J$228,0)-1,0),0)</f>
        <v>0</v>
      </c>
      <c r="Z446" s="9" t="s">
        <v>558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457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385</v>
      </c>
      <c r="L447" s="9">
        <v>1</v>
      </c>
      <c r="M447" s="9">
        <v>15</v>
      </c>
      <c r="N447" s="9" t="s">
        <v>836</v>
      </c>
      <c r="R447" s="9" t="s">
        <v>775</v>
      </c>
      <c r="U447" s="9">
        <f ca="1">IFERROR(OFFSET(ITEM_RES!$A$5,MATCH(BUILDING!T447,ITEM_RES!$J$5:$J$228,0)-1,0),0)</f>
        <v>0</v>
      </c>
      <c r="X447" s="9">
        <f ca="1">IFERROR(OFFSET(ITEM_RES!$A$5,MATCH(BUILDING!W447,ITEM_RES!$J$5:$J$228,0)-1,0),0)</f>
        <v>0</v>
      </c>
      <c r="Z447" s="9" t="s">
        <v>558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457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385</v>
      </c>
      <c r="L448" s="9">
        <v>1</v>
      </c>
      <c r="M448" s="9">
        <v>15</v>
      </c>
      <c r="N448" s="9" t="s">
        <v>836</v>
      </c>
      <c r="R448" s="9" t="s">
        <v>775</v>
      </c>
      <c r="U448" s="9">
        <f ca="1">IFERROR(OFFSET(ITEM_RES!$A$5,MATCH(BUILDING!T448,ITEM_RES!$J$5:$J$228,0)-1,0),0)</f>
        <v>0</v>
      </c>
      <c r="X448" s="9">
        <f ca="1">IFERROR(OFFSET(ITEM_RES!$A$5,MATCH(BUILDING!W448,ITEM_RES!$J$5:$J$228,0)-1,0),0)</f>
        <v>0</v>
      </c>
      <c r="Z448" s="9" t="s">
        <v>558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457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385</v>
      </c>
      <c r="L449" s="9">
        <v>1</v>
      </c>
      <c r="M449" s="9">
        <v>15</v>
      </c>
      <c r="N449" s="9" t="s">
        <v>836</v>
      </c>
      <c r="R449" s="9" t="s">
        <v>775</v>
      </c>
      <c r="U449" s="9">
        <f ca="1">IFERROR(OFFSET(ITEM_RES!$A$5,MATCH(BUILDING!T449,ITEM_RES!$J$5:$J$228,0)-1,0),0)</f>
        <v>0</v>
      </c>
      <c r="X449" s="9">
        <f ca="1">IFERROR(OFFSET(ITEM_RES!$A$5,MATCH(BUILDING!W449,ITEM_RES!$J$5:$J$228,0)-1,0),0)</f>
        <v>0</v>
      </c>
      <c r="Z449" s="9" t="s">
        <v>558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457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385</v>
      </c>
      <c r="L450" s="9">
        <v>1</v>
      </c>
      <c r="M450" s="9">
        <v>15</v>
      </c>
      <c r="N450" s="9" t="s">
        <v>836</v>
      </c>
      <c r="R450" s="9" t="s">
        <v>775</v>
      </c>
      <c r="U450" s="9">
        <f ca="1">IFERROR(OFFSET(ITEM_RES!$A$5,MATCH(BUILDING!T450,ITEM_RES!$J$5:$J$228,0)-1,0),0)</f>
        <v>0</v>
      </c>
      <c r="X450" s="9">
        <f ca="1">IFERROR(OFFSET(ITEM_RES!$A$5,MATCH(BUILDING!W450,ITEM_RES!$J$5:$J$228,0)-1,0),0)</f>
        <v>0</v>
      </c>
      <c r="Z450" s="9" t="s">
        <v>558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469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385</v>
      </c>
      <c r="L451" s="9">
        <v>1</v>
      </c>
      <c r="M451" s="9">
        <v>15</v>
      </c>
      <c r="N451" s="9" t="s">
        <v>836</v>
      </c>
      <c r="R451" s="9" t="s">
        <v>775</v>
      </c>
      <c r="U451" s="9">
        <f ca="1">IFERROR(OFFSET(ITEM_RES!$A$5,MATCH(BUILDING!T451,ITEM_RES!$J$5:$J$228,0)-1,0),0)</f>
        <v>0</v>
      </c>
      <c r="X451" s="9">
        <f ca="1">IFERROR(OFFSET(ITEM_RES!$A$5,MATCH(BUILDING!W451,ITEM_RES!$J$5:$J$228,0)-1,0),0)</f>
        <v>0</v>
      </c>
      <c r="Z451" s="9" t="s">
        <v>558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457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385</v>
      </c>
      <c r="L452" s="9">
        <v>1</v>
      </c>
      <c r="M452" s="9">
        <v>15</v>
      </c>
      <c r="N452" s="9" t="s">
        <v>836</v>
      </c>
      <c r="R452" s="9" t="s">
        <v>775</v>
      </c>
      <c r="U452" s="9">
        <f ca="1">IFERROR(OFFSET(ITEM_RES!$A$5,MATCH(BUILDING!T452,ITEM_RES!$J$5:$J$228,0)-1,0),0)</f>
        <v>0</v>
      </c>
      <c r="X452" s="9">
        <f ca="1">IFERROR(OFFSET(ITEM_RES!$A$5,MATCH(BUILDING!W452,ITEM_RES!$J$5:$J$228,0)-1,0),0)</f>
        <v>0</v>
      </c>
      <c r="Z452" s="9" t="s">
        <v>558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457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385</v>
      </c>
      <c r="L453" s="9">
        <v>1</v>
      </c>
      <c r="M453" s="9">
        <v>15</v>
      </c>
      <c r="N453" s="56" t="s">
        <v>836</v>
      </c>
      <c r="R453" s="9" t="s">
        <v>775</v>
      </c>
      <c r="U453" s="9">
        <f ca="1">IFERROR(OFFSET(ITEM_RES!$A$5,MATCH(BUILDING!T453,ITEM_RES!$J$5:$J$228,0)-1,0),0)</f>
        <v>0</v>
      </c>
      <c r="X453" s="9">
        <f ca="1">IFERROR(OFFSET(ITEM_RES!$A$5,MATCH(BUILDING!W453,ITEM_RES!$J$5:$J$228,0)-1,0),0)</f>
        <v>0</v>
      </c>
      <c r="Z453" s="9" t="s">
        <v>558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470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385</v>
      </c>
      <c r="L454" s="9">
        <v>1</v>
      </c>
      <c r="M454" s="9">
        <v>15</v>
      </c>
      <c r="N454" s="63" t="s">
        <v>836</v>
      </c>
      <c r="R454" s="9" t="s">
        <v>775</v>
      </c>
      <c r="U454" s="9">
        <f ca="1">IFERROR(OFFSET(ITEM_RES!$A$5,MATCH(BUILDING!T454,ITEM_RES!$J$5:$J$228,0)-1,0),0)</f>
        <v>0</v>
      </c>
      <c r="X454" s="9">
        <f ca="1">IFERROR(OFFSET(ITEM_RES!$A$5,MATCH(BUILDING!W454,ITEM_RES!$J$5:$J$228,0)-1,0),0)</f>
        <v>0</v>
      </c>
      <c r="Z454" s="9" t="s">
        <v>558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470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385</v>
      </c>
      <c r="L455" s="9">
        <v>1</v>
      </c>
      <c r="M455" s="9">
        <v>15</v>
      </c>
      <c r="N455" s="63" t="s">
        <v>836</v>
      </c>
      <c r="R455" s="9" t="s">
        <v>775</v>
      </c>
      <c r="U455" s="9">
        <f ca="1">IFERROR(OFFSET(ITEM_RES!$A$5,MATCH(BUILDING!T455,ITEM_RES!$J$5:$J$228,0)-1,0),0)</f>
        <v>0</v>
      </c>
      <c r="X455" s="9">
        <f ca="1">IFERROR(OFFSET(ITEM_RES!$A$5,MATCH(BUILDING!W455,ITEM_RES!$J$5:$J$228,0)-1,0),0)</f>
        <v>0</v>
      </c>
      <c r="Z455" s="9" t="s">
        <v>558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470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385</v>
      </c>
      <c r="L456" s="9">
        <v>1</v>
      </c>
      <c r="M456" s="9">
        <v>15</v>
      </c>
      <c r="N456" s="9" t="s">
        <v>836</v>
      </c>
      <c r="R456" s="9" t="s">
        <v>775</v>
      </c>
      <c r="U456" s="9">
        <f ca="1">IFERROR(OFFSET(ITEM_RES!$A$5,MATCH(BUILDING!T456,ITEM_RES!$J$5:$J$228,0)-1,0),0)</f>
        <v>0</v>
      </c>
      <c r="X456" s="9">
        <f ca="1">IFERROR(OFFSET(ITEM_RES!$A$5,MATCH(BUILDING!W456,ITEM_RES!$J$5:$J$228,0)-1,0),0)</f>
        <v>0</v>
      </c>
      <c r="Z456" s="9" t="s">
        <v>558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470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213011401</v>
      </c>
      <c r="BF456" s="10" t="s">
        <v>497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385</v>
      </c>
      <c r="L457" s="9">
        <v>1</v>
      </c>
      <c r="M457" s="9">
        <v>15</v>
      </c>
      <c r="N457" s="9" t="s">
        <v>836</v>
      </c>
      <c r="R457" s="9" t="s">
        <v>775</v>
      </c>
      <c r="U457" s="9">
        <f ca="1">IFERROR(OFFSET(ITEM_RES!$A$5,MATCH(BUILDING!T457,ITEM_RES!$J$5:$J$228,0)-1,0),0)</f>
        <v>0</v>
      </c>
      <c r="X457" s="9">
        <f ca="1">IFERROR(OFFSET(ITEM_RES!$A$5,MATCH(BUILDING!W457,ITEM_RES!$J$5:$J$228,0)-1,0),0)</f>
        <v>0</v>
      </c>
      <c r="Z457" s="9" t="s">
        <v>558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470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385</v>
      </c>
      <c r="L458" s="9">
        <v>1</v>
      </c>
      <c r="M458" s="9">
        <v>15</v>
      </c>
      <c r="N458" s="9" t="s">
        <v>836</v>
      </c>
      <c r="R458" s="9" t="s">
        <v>775</v>
      </c>
      <c r="U458" s="9">
        <f ca="1">IFERROR(OFFSET(ITEM_RES!$A$5,MATCH(BUILDING!T458,ITEM_RES!$J$5:$J$228,0)-1,0),0)</f>
        <v>0</v>
      </c>
      <c r="X458" s="9">
        <f ca="1">IFERROR(OFFSET(ITEM_RES!$A$5,MATCH(BUILDING!W458,ITEM_RES!$J$5:$J$228,0)-1,0),0)</f>
        <v>0</v>
      </c>
      <c r="Z458" s="9" t="s">
        <v>558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470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385</v>
      </c>
      <c r="L459" s="9">
        <v>1</v>
      </c>
      <c r="M459" s="9">
        <v>15</v>
      </c>
      <c r="N459" s="9" t="s">
        <v>836</v>
      </c>
      <c r="R459" s="9" t="s">
        <v>775</v>
      </c>
      <c r="U459" s="9">
        <f ca="1">IFERROR(OFFSET(ITEM_RES!$A$5,MATCH(BUILDING!T459,ITEM_RES!$J$5:$J$228,0)-1,0),0)</f>
        <v>0</v>
      </c>
      <c r="X459" s="9">
        <f ca="1">IFERROR(OFFSET(ITEM_RES!$A$5,MATCH(BUILDING!W459,ITEM_RES!$J$5:$J$228,0)-1,0),0)</f>
        <v>0</v>
      </c>
      <c r="Z459" s="9" t="s">
        <v>558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470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385</v>
      </c>
      <c r="L460" s="9">
        <v>0</v>
      </c>
      <c r="M460" s="9">
        <v>15</v>
      </c>
      <c r="N460" s="9" t="s">
        <v>836</v>
      </c>
      <c r="R460" s="9" t="s">
        <v>775</v>
      </c>
      <c r="U460" s="9">
        <f ca="1">IFERROR(OFFSET(ITEM_RES!$A$5,MATCH(BUILDING!T460,ITEM_RES!$J$5:$J$228,0)-1,0),0)</f>
        <v>0</v>
      </c>
      <c r="X460" s="9">
        <f ca="1">IFERROR(OFFSET(ITEM_RES!$A$5,MATCH(BUILDING!W460,ITEM_RES!$J$5:$J$228,0)-1,0),0)</f>
        <v>0</v>
      </c>
      <c r="Z460" s="9" t="s">
        <v>558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470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385</v>
      </c>
      <c r="L461" s="9">
        <v>0</v>
      </c>
      <c r="M461" s="9">
        <v>15</v>
      </c>
      <c r="N461" s="9" t="s">
        <v>836</v>
      </c>
      <c r="R461" s="9" t="s">
        <v>775</v>
      </c>
      <c r="U461" s="9">
        <f ca="1">IFERROR(OFFSET(ITEM_RES!$A$5,MATCH(BUILDING!T461,ITEM_RES!$J$5:$J$228,0)-1,0),0)</f>
        <v>0</v>
      </c>
      <c r="X461" s="9">
        <f ca="1">IFERROR(OFFSET(ITEM_RES!$A$5,MATCH(BUILDING!W461,ITEM_RES!$J$5:$J$228,0)-1,0),0)</f>
        <v>0</v>
      </c>
      <c r="Z461" s="9" t="s">
        <v>558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470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385</v>
      </c>
      <c r="L462" s="9">
        <v>0</v>
      </c>
      <c r="M462" s="9">
        <v>15</v>
      </c>
      <c r="N462" s="9" t="s">
        <v>836</v>
      </c>
      <c r="R462" s="9" t="s">
        <v>775</v>
      </c>
      <c r="U462" s="9">
        <f ca="1">IFERROR(OFFSET(ITEM_RES!$A$5,MATCH(BUILDING!T462,ITEM_RES!$J$5:$J$228,0)-1,0),0)</f>
        <v>0</v>
      </c>
      <c r="X462" s="9">
        <f ca="1">IFERROR(OFFSET(ITEM_RES!$A$5,MATCH(BUILDING!W462,ITEM_RES!$J$5:$J$228,0)-1,0),0)</f>
        <v>0</v>
      </c>
      <c r="Z462" s="9" t="s">
        <v>558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470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385</v>
      </c>
      <c r="L463" s="9">
        <v>0</v>
      </c>
      <c r="M463" s="9">
        <v>15</v>
      </c>
      <c r="N463" s="9" t="s">
        <v>836</v>
      </c>
      <c r="R463" s="9" t="s">
        <v>775</v>
      </c>
      <c r="U463" s="9">
        <f ca="1">IFERROR(OFFSET(ITEM_RES!$A$5,MATCH(BUILDING!T463,ITEM_RES!$J$5:$J$228,0)-1,0),0)</f>
        <v>0</v>
      </c>
      <c r="X463" s="9">
        <f ca="1">IFERROR(OFFSET(ITEM_RES!$A$5,MATCH(BUILDING!W463,ITEM_RES!$J$5:$J$228,0)-1,0),0)</f>
        <v>0</v>
      </c>
      <c r="Z463" s="9" t="s">
        <v>558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470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385</v>
      </c>
      <c r="L464" s="9">
        <v>0</v>
      </c>
      <c r="M464" s="9">
        <v>15</v>
      </c>
      <c r="N464" s="9" t="s">
        <v>836</v>
      </c>
      <c r="R464" s="9" t="s">
        <v>775</v>
      </c>
      <c r="U464" s="9">
        <f ca="1">IFERROR(OFFSET(ITEM_RES!$A$5,MATCH(BUILDING!T464,ITEM_RES!$J$5:$J$228,0)-1,0),0)</f>
        <v>0</v>
      </c>
      <c r="X464" s="9">
        <f ca="1">IFERROR(OFFSET(ITEM_RES!$A$5,MATCH(BUILDING!W464,ITEM_RES!$J$5:$J$228,0)-1,0),0)</f>
        <v>0</v>
      </c>
      <c r="Z464" s="9" t="s">
        <v>558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470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79"/>
      <c r="H465" s="16">
        <v>5</v>
      </c>
      <c r="I465" s="16">
        <v>1</v>
      </c>
      <c r="J465" s="79"/>
      <c r="K465" s="16" t="s">
        <v>365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79"/>
      <c r="T465" s="87"/>
      <c r="U465" s="16">
        <f ca="1">IFERROR(OFFSET(ITEM_RES!$A$5,MATCH(BUILDING!T465,ITEM_RES!$J$5:$J$228,0)-1,0),0)</f>
        <v>0</v>
      </c>
      <c r="V465" s="18"/>
      <c r="W465" s="87"/>
      <c r="X465" s="16">
        <f ca="1">IFERROR(OFFSET(ITEM_RES!$A$5,MATCH(BUILDING!W465,ITEM_RES!$J$5:$J$228,0)-1,0),0)</f>
        <v>0</v>
      </c>
      <c r="Y465" s="79"/>
      <c r="Z465" s="16" t="s">
        <v>559</v>
      </c>
      <c r="AA465" s="16">
        <v>1</v>
      </c>
      <c r="AB465" s="79"/>
      <c r="AC465" s="16">
        <v>0</v>
      </c>
      <c r="AD465" s="79"/>
      <c r="AE465" s="57">
        <f t="shared" si="129"/>
        <v>1080</v>
      </c>
      <c r="AF465" s="17">
        <f>AE465</f>
        <v>1080</v>
      </c>
      <c r="AG465" s="79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457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213010101</v>
      </c>
      <c r="BA465" s="17" t="s">
        <v>478</v>
      </c>
      <c r="BB465" s="18">
        <v>1</v>
      </c>
      <c r="BC465" s="17"/>
      <c r="BD465" s="18"/>
      <c r="BE465" s="18">
        <f ca="1">IFERROR(OFFSET(ITEM_RES!$A$1,MATCH(BF465,ITEM_RES!$J:$J,0)-1,0),0)</f>
        <v>213010201</v>
      </c>
      <c r="BF465" s="17" t="s">
        <v>500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IFERROR(OFFSET(ITEM_RES!$A$5,MATCH(BUILDING!T466,ITEM_RES!$J$5:$J$228,0)-1,0),0)</f>
        <v>0</v>
      </c>
      <c r="X466" s="9">
        <f ca="1">IFERROR(OFFSET(ITEM_RES!$A$5,MATCH(BUILDING!W466,ITEM_RES!$J$5:$J$228,0)-1,0),0)</f>
        <v>0</v>
      </c>
      <c r="Z466" s="9" t="s">
        <v>559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457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IFERROR(OFFSET(ITEM_RES!$A$5,MATCH(BUILDING!T467,ITEM_RES!$J$5:$J$228,0)-1,0),0)</f>
        <v>0</v>
      </c>
      <c r="X467" s="9">
        <f ca="1">IFERROR(OFFSET(ITEM_RES!$A$5,MATCH(BUILDING!W467,ITEM_RES!$J$5:$J$228,0)-1,0),0)</f>
        <v>0</v>
      </c>
      <c r="Z467" s="9" t="s">
        <v>559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457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IFERROR(OFFSET(ITEM_RES!$A$5,MATCH(BUILDING!T468,ITEM_RES!$J$5:$J$228,0)-1,0),0)</f>
        <v>0</v>
      </c>
      <c r="X468" s="9">
        <f ca="1">IFERROR(OFFSET(ITEM_RES!$A$5,MATCH(BUILDING!W468,ITEM_RES!$J$5:$J$228,0)-1,0),0)</f>
        <v>0</v>
      </c>
      <c r="Z468" s="9" t="s">
        <v>559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457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IFERROR(OFFSET(ITEM_RES!$A$5,MATCH(BUILDING!T469,ITEM_RES!$J$5:$J$228,0)-1,0),0)</f>
        <v>0</v>
      </c>
      <c r="X469" s="9">
        <f ca="1">IFERROR(OFFSET(ITEM_RES!$A$5,MATCH(BUILDING!W469,ITEM_RES!$J$5:$J$228,0)-1,0),0)</f>
        <v>0</v>
      </c>
      <c r="Z469" s="9" t="s">
        <v>559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457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IFERROR(OFFSET(ITEM_RES!$A$5,MATCH(BUILDING!T470,ITEM_RES!$J$5:$J$228,0)-1,0),0)</f>
        <v>0</v>
      </c>
      <c r="X470" s="9">
        <f ca="1">IFERROR(OFFSET(ITEM_RES!$A$5,MATCH(BUILDING!W470,ITEM_RES!$J$5:$J$228,0)-1,0),0)</f>
        <v>0</v>
      </c>
      <c r="Z470" s="9" t="s">
        <v>559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457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IFERROR(OFFSET(ITEM_RES!$A$5,MATCH(BUILDING!T471,ITEM_RES!$J$5:$J$228,0)-1,0),0)</f>
        <v>0</v>
      </c>
      <c r="X471" s="9">
        <f ca="1">IFERROR(OFFSET(ITEM_RES!$A$5,MATCH(BUILDING!W471,ITEM_RES!$J$5:$J$228,0)-1,0),0)</f>
        <v>0</v>
      </c>
      <c r="Z471" s="9" t="s">
        <v>559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457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IFERROR(OFFSET(ITEM_RES!$A$5,MATCH(BUILDING!T472,ITEM_RES!$J$5:$J$228,0)-1,0),0)</f>
        <v>0</v>
      </c>
      <c r="X472" s="9">
        <f ca="1">IFERROR(OFFSET(ITEM_RES!$A$5,MATCH(BUILDING!W472,ITEM_RES!$J$5:$J$228,0)-1,0),0)</f>
        <v>0</v>
      </c>
      <c r="Z472" s="9" t="s">
        <v>559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457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IFERROR(OFFSET(ITEM_RES!$A$5,MATCH(BUILDING!T473,ITEM_RES!$J$5:$J$228,0)-1,0),0)</f>
        <v>0</v>
      </c>
      <c r="X473" s="9">
        <f ca="1">IFERROR(OFFSET(ITEM_RES!$A$5,MATCH(BUILDING!W473,ITEM_RES!$J$5:$J$228,0)-1,0),0)</f>
        <v>0</v>
      </c>
      <c r="Z473" s="9" t="s">
        <v>559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457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IFERROR(OFFSET(ITEM_RES!$A$5,MATCH(BUILDING!T474,ITEM_RES!$J$5:$J$228,0)-1,0),0)</f>
        <v>0</v>
      </c>
      <c r="X474" s="9">
        <f ca="1">IFERROR(OFFSET(ITEM_RES!$A$5,MATCH(BUILDING!W474,ITEM_RES!$J$5:$J$228,0)-1,0),0)</f>
        <v>0</v>
      </c>
      <c r="Z474" s="9" t="s">
        <v>559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457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213011501</v>
      </c>
      <c r="BF474" s="10" t="s">
        <v>503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IFERROR(OFFSET(ITEM_RES!$A$5,MATCH(BUILDING!T475,ITEM_RES!$J$5:$J$228,0)-1,0),0)</f>
        <v>0</v>
      </c>
      <c r="X475" s="9">
        <f ca="1">IFERROR(OFFSET(ITEM_RES!$A$5,MATCH(BUILDING!W475,ITEM_RES!$J$5:$J$228,0)-1,0),0)</f>
        <v>0</v>
      </c>
      <c r="Z475" s="9" t="s">
        <v>559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457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IFERROR(OFFSET(ITEM_RES!$A$5,MATCH(BUILDING!T476,ITEM_RES!$J$5:$J$228,0)-1,0),0)</f>
        <v>0</v>
      </c>
      <c r="X476" s="9">
        <f ca="1">IFERROR(OFFSET(ITEM_RES!$A$5,MATCH(BUILDING!W476,ITEM_RES!$J$5:$J$228,0)-1,0),0)</f>
        <v>0</v>
      </c>
      <c r="Z476" s="9" t="s">
        <v>559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457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IFERROR(OFFSET(ITEM_RES!$A$5,MATCH(BUILDING!T477,ITEM_RES!$J$5:$J$228,0)-1,0),0)</f>
        <v>0</v>
      </c>
      <c r="X477" s="9">
        <f ca="1">IFERROR(OFFSET(ITEM_RES!$A$5,MATCH(BUILDING!W477,ITEM_RES!$J$5:$J$228,0)-1,0),0)</f>
        <v>0</v>
      </c>
      <c r="Z477" s="9" t="s">
        <v>559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457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IFERROR(OFFSET(ITEM_RES!$A$5,MATCH(BUILDING!T478,ITEM_RES!$J$5:$J$228,0)-1,0),0)</f>
        <v>0</v>
      </c>
      <c r="X478" s="9">
        <f ca="1">IFERROR(OFFSET(ITEM_RES!$A$5,MATCH(BUILDING!W478,ITEM_RES!$J$5:$J$228,0)-1,0),0)</f>
        <v>0</v>
      </c>
      <c r="Z478" s="9" t="s">
        <v>559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457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IFERROR(OFFSET(ITEM_RES!$A$5,MATCH(BUILDING!T479,ITEM_RES!$J$5:$J$228,0)-1,0),0)</f>
        <v>0</v>
      </c>
      <c r="X479" s="9">
        <f ca="1">IFERROR(OFFSET(ITEM_RES!$A$5,MATCH(BUILDING!W479,ITEM_RES!$J$5:$J$228,0)-1,0),0)</f>
        <v>0</v>
      </c>
      <c r="Z479" s="9" t="s">
        <v>559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457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IFERROR(OFFSET(ITEM_RES!$A$5,MATCH(BUILDING!T480,ITEM_RES!$J$5:$J$228,0)-1,0),0)</f>
        <v>0</v>
      </c>
      <c r="X480" s="9">
        <f ca="1">IFERROR(OFFSET(ITEM_RES!$A$5,MATCH(BUILDING!W480,ITEM_RES!$J$5:$J$228,0)-1,0),0)</f>
        <v>0</v>
      </c>
      <c r="Z480" s="9" t="s">
        <v>559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467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IFERROR(OFFSET(ITEM_RES!$A$5,MATCH(BUILDING!T481,ITEM_RES!$J$5:$J$228,0)-1,0),0)</f>
        <v>0</v>
      </c>
      <c r="X481" s="9">
        <f ca="1">IFERROR(OFFSET(ITEM_RES!$A$5,MATCH(BUILDING!W481,ITEM_RES!$J$5:$J$228,0)-1,0),0)</f>
        <v>0</v>
      </c>
      <c r="Z481" s="9" t="s">
        <v>559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467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IFERROR(OFFSET(ITEM_RES!$A$5,MATCH(BUILDING!T482,ITEM_RES!$J$5:$J$228,0)-1,0),0)</f>
        <v>0</v>
      </c>
      <c r="X482" s="9">
        <f ca="1">IFERROR(OFFSET(ITEM_RES!$A$5,MATCH(BUILDING!W482,ITEM_RES!$J$5:$J$228,0)-1,0),0)</f>
        <v>0</v>
      </c>
      <c r="Z482" s="9" t="s">
        <v>559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467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IFERROR(OFFSET(ITEM_RES!$A$5,MATCH(BUILDING!T483,ITEM_RES!$J$5:$J$228,0)-1,0),0)</f>
        <v>0</v>
      </c>
      <c r="X483" s="9">
        <f ca="1">IFERROR(OFFSET(ITEM_RES!$A$5,MATCH(BUILDING!W483,ITEM_RES!$J$5:$J$228,0)-1,0),0)</f>
        <v>0</v>
      </c>
      <c r="Z483" s="9" t="s">
        <v>559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467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IFERROR(OFFSET(ITEM_RES!$A$5,MATCH(BUILDING!T484,ITEM_RES!$J$5:$J$228,0)-1,0),0)</f>
        <v>0</v>
      </c>
      <c r="X484" s="9">
        <f ca="1">IFERROR(OFFSET(ITEM_RES!$A$5,MATCH(BUILDING!W484,ITEM_RES!$J$5:$J$228,0)-1,0),0)</f>
        <v>0</v>
      </c>
      <c r="Z484" s="9" t="s">
        <v>559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467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79"/>
      <c r="H485" s="16">
        <v>5</v>
      </c>
      <c r="I485" s="16">
        <v>1</v>
      </c>
      <c r="J485" s="79"/>
      <c r="K485" s="16" t="s">
        <v>374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79"/>
      <c r="T485" s="87"/>
      <c r="U485" s="16">
        <f ca="1">IFERROR(OFFSET(ITEM_RES!$A$5,MATCH(BUILDING!T485,ITEM_RES!$J$5:$J$228,0)-1,0),0)</f>
        <v>0</v>
      </c>
      <c r="V485" s="18"/>
      <c r="W485" s="87"/>
      <c r="X485" s="16">
        <f ca="1">IFERROR(OFFSET(ITEM_RES!$A$5,MATCH(BUILDING!W485,ITEM_RES!$J$5:$J$228,0)-1,0),0)</f>
        <v>0</v>
      </c>
      <c r="Y485" s="79"/>
      <c r="Z485" s="16" t="s">
        <v>392</v>
      </c>
      <c r="AA485" s="16">
        <v>1</v>
      </c>
      <c r="AB485" s="79"/>
      <c r="AC485" s="16">
        <v>0</v>
      </c>
      <c r="AD485" s="79"/>
      <c r="AE485" s="57">
        <f t="shared" si="139"/>
        <v>1080</v>
      </c>
      <c r="AF485" s="17">
        <f>AE485</f>
        <v>1080</v>
      </c>
      <c r="AG485" s="79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457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213010101</v>
      </c>
      <c r="BA485" s="17" t="s">
        <v>478</v>
      </c>
      <c r="BB485" s="18">
        <v>1</v>
      </c>
      <c r="BC485" s="17"/>
      <c r="BD485" s="18"/>
      <c r="BE485" s="18">
        <f ca="1">IFERROR(OFFSET(ITEM_RES!$A$1,MATCH(BF485,ITEM_RES!$J:$J,0)-1,0),0)</f>
        <v>213010201</v>
      </c>
      <c r="BF485" s="17" t="s">
        <v>500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IFERROR(OFFSET(ITEM_RES!$A$5,MATCH(BUILDING!T486,ITEM_RES!$J$5:$J$228,0)-1,0),0)</f>
        <v>0</v>
      </c>
      <c r="X486" s="9">
        <f ca="1">IFERROR(OFFSET(ITEM_RES!$A$5,MATCH(BUILDING!W486,ITEM_RES!$J$5:$J$228,0)-1,0),0)</f>
        <v>0</v>
      </c>
      <c r="Z486" s="9" t="s">
        <v>388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457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IFERROR(OFFSET(ITEM_RES!$A$5,MATCH(BUILDING!T487,ITEM_RES!$J$5:$J$228,0)-1,0),0)</f>
        <v>0</v>
      </c>
      <c r="X487" s="9">
        <f ca="1">IFERROR(OFFSET(ITEM_RES!$A$5,MATCH(BUILDING!W487,ITEM_RES!$J$5:$J$228,0)-1,0),0)</f>
        <v>0</v>
      </c>
      <c r="Z487" s="9" t="s">
        <v>387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457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IFERROR(OFFSET(ITEM_RES!$A$5,MATCH(BUILDING!T488,ITEM_RES!$J$5:$J$228,0)-1,0),0)</f>
        <v>0</v>
      </c>
      <c r="X488" s="9">
        <f ca="1">IFERROR(OFFSET(ITEM_RES!$A$5,MATCH(BUILDING!W488,ITEM_RES!$J$5:$J$228,0)-1,0),0)</f>
        <v>0</v>
      </c>
      <c r="Z488" s="9" t="s">
        <v>387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457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IFERROR(OFFSET(ITEM_RES!$A$5,MATCH(BUILDING!T489,ITEM_RES!$J$5:$J$228,0)-1,0),0)</f>
        <v>0</v>
      </c>
      <c r="X489" s="9">
        <f ca="1">IFERROR(OFFSET(ITEM_RES!$A$5,MATCH(BUILDING!W489,ITEM_RES!$J$5:$J$228,0)-1,0),0)</f>
        <v>0</v>
      </c>
      <c r="Z489" s="9" t="s">
        <v>387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457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IFERROR(OFFSET(ITEM_RES!$A$5,MATCH(BUILDING!T490,ITEM_RES!$J$5:$J$228,0)-1,0),0)</f>
        <v>0</v>
      </c>
      <c r="X490" s="9">
        <f ca="1">IFERROR(OFFSET(ITEM_RES!$A$5,MATCH(BUILDING!W490,ITEM_RES!$J$5:$J$228,0)-1,0),0)</f>
        <v>0</v>
      </c>
      <c r="Z490" s="9" t="s">
        <v>387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457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IFERROR(OFFSET(ITEM_RES!$A$5,MATCH(BUILDING!T491,ITEM_RES!$J$5:$J$228,0)-1,0),0)</f>
        <v>0</v>
      </c>
      <c r="X491" s="9">
        <f ca="1">IFERROR(OFFSET(ITEM_RES!$A$5,MATCH(BUILDING!W491,ITEM_RES!$J$5:$J$228,0)-1,0),0)</f>
        <v>0</v>
      </c>
      <c r="Z491" s="9" t="s">
        <v>387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457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IFERROR(OFFSET(ITEM_RES!$A$5,MATCH(BUILDING!T492,ITEM_RES!$J$5:$J$228,0)-1,0),0)</f>
        <v>0</v>
      </c>
      <c r="X492" s="9">
        <f ca="1">IFERROR(OFFSET(ITEM_RES!$A$5,MATCH(BUILDING!W492,ITEM_RES!$J$5:$J$228,0)-1,0),0)</f>
        <v>0</v>
      </c>
      <c r="Z492" s="9" t="s">
        <v>387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457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IFERROR(OFFSET(ITEM_RES!$A$5,MATCH(BUILDING!T493,ITEM_RES!$J$5:$J$228,0)-1,0),0)</f>
        <v>0</v>
      </c>
      <c r="X493" s="9">
        <f ca="1">IFERROR(OFFSET(ITEM_RES!$A$5,MATCH(BUILDING!W493,ITEM_RES!$J$5:$J$228,0)-1,0),0)</f>
        <v>0</v>
      </c>
      <c r="Z493" s="9" t="s">
        <v>387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457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IFERROR(OFFSET(ITEM_RES!$A$5,MATCH(BUILDING!T494,ITEM_RES!$J$5:$J$228,0)-1,0),0)</f>
        <v>0</v>
      </c>
      <c r="X494" s="9">
        <f ca="1">IFERROR(OFFSET(ITEM_RES!$A$5,MATCH(BUILDING!W494,ITEM_RES!$J$5:$J$228,0)-1,0),0)</f>
        <v>0</v>
      </c>
      <c r="Z494" s="9" t="s">
        <v>387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457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213011601</v>
      </c>
      <c r="BF494" s="10" t="s">
        <v>511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IFERROR(OFFSET(ITEM_RES!$A$5,MATCH(BUILDING!T495,ITEM_RES!$J$5:$J$228,0)-1,0),0)</f>
        <v>0</v>
      </c>
      <c r="X495" s="9">
        <f ca="1">IFERROR(OFFSET(ITEM_RES!$A$5,MATCH(BUILDING!W495,ITEM_RES!$J$5:$J$228,0)-1,0),0)</f>
        <v>0</v>
      </c>
      <c r="Z495" s="9" t="s">
        <v>387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457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IFERROR(OFFSET(ITEM_RES!$A$5,MATCH(BUILDING!T496,ITEM_RES!$J$5:$J$228,0)-1,0),0)</f>
        <v>0</v>
      </c>
      <c r="X496" s="9">
        <f ca="1">IFERROR(OFFSET(ITEM_RES!$A$5,MATCH(BUILDING!W496,ITEM_RES!$J$5:$J$228,0)-1,0),0)</f>
        <v>0</v>
      </c>
      <c r="Z496" s="9" t="s">
        <v>387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457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IFERROR(OFFSET(ITEM_RES!$A$5,MATCH(BUILDING!T497,ITEM_RES!$J$5:$J$228,0)-1,0),0)</f>
        <v>0</v>
      </c>
      <c r="X497" s="9">
        <f ca="1">IFERROR(OFFSET(ITEM_RES!$A$5,MATCH(BUILDING!W497,ITEM_RES!$J$5:$J$228,0)-1,0),0)</f>
        <v>0</v>
      </c>
      <c r="Z497" s="9" t="s">
        <v>387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457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IFERROR(OFFSET(ITEM_RES!$A$5,MATCH(BUILDING!T498,ITEM_RES!$J$5:$J$228,0)-1,0),0)</f>
        <v>0</v>
      </c>
      <c r="X498" s="9">
        <f ca="1">IFERROR(OFFSET(ITEM_RES!$A$5,MATCH(BUILDING!W498,ITEM_RES!$J$5:$J$228,0)-1,0),0)</f>
        <v>0</v>
      </c>
      <c r="Z498" s="9" t="s">
        <v>387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457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IFERROR(OFFSET(ITEM_RES!$A$5,MATCH(BUILDING!T499,ITEM_RES!$J$5:$J$228,0)-1,0),0)</f>
        <v>0</v>
      </c>
      <c r="X499" s="9">
        <f ca="1">IFERROR(OFFSET(ITEM_RES!$A$5,MATCH(BUILDING!W499,ITEM_RES!$J$5:$J$228,0)-1,0),0)</f>
        <v>0</v>
      </c>
      <c r="Z499" s="9" t="s">
        <v>387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467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IFERROR(OFFSET(ITEM_RES!$A$5,MATCH(BUILDING!T500,ITEM_RES!$J$5:$J$228,0)-1,0),0)</f>
        <v>0</v>
      </c>
      <c r="X500" s="9">
        <f ca="1">IFERROR(OFFSET(ITEM_RES!$A$5,MATCH(BUILDING!W500,ITEM_RES!$J$5:$J$228,0)-1,0),0)</f>
        <v>0</v>
      </c>
      <c r="Z500" s="9" t="s">
        <v>387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467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IFERROR(OFFSET(ITEM_RES!$A$5,MATCH(BUILDING!T501,ITEM_RES!$J$5:$J$228,0)-1,0),0)</f>
        <v>0</v>
      </c>
      <c r="X501" s="9">
        <f ca="1">IFERROR(OFFSET(ITEM_RES!$A$5,MATCH(BUILDING!W501,ITEM_RES!$J$5:$J$228,0)-1,0),0)</f>
        <v>0</v>
      </c>
      <c r="Z501" s="9" t="s">
        <v>387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467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IFERROR(OFFSET(ITEM_RES!$A$5,MATCH(BUILDING!T502,ITEM_RES!$J$5:$J$228,0)-1,0),0)</f>
        <v>0</v>
      </c>
      <c r="X502" s="9">
        <f ca="1">IFERROR(OFFSET(ITEM_RES!$A$5,MATCH(BUILDING!W502,ITEM_RES!$J$5:$J$228,0)-1,0),0)</f>
        <v>0</v>
      </c>
      <c r="Z502" s="9" t="s">
        <v>387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467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IFERROR(OFFSET(ITEM_RES!$A$5,MATCH(BUILDING!T503,ITEM_RES!$J$5:$J$228,0)-1,0),0)</f>
        <v>0</v>
      </c>
      <c r="X503" s="9">
        <f ca="1">IFERROR(OFFSET(ITEM_RES!$A$5,MATCH(BUILDING!W503,ITEM_RES!$J$5:$J$228,0)-1,0),0)</f>
        <v>0</v>
      </c>
      <c r="Z503" s="9" t="s">
        <v>387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467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IFERROR(OFFSET(ITEM_RES!$A$5,MATCH(BUILDING!T504,ITEM_RES!$J$5:$J$228,0)-1,0),0)</f>
        <v>0</v>
      </c>
      <c r="X504" s="9">
        <f ca="1">IFERROR(OFFSET(ITEM_RES!$A$5,MATCH(BUILDING!W504,ITEM_RES!$J$5:$J$228,0)-1,0),0)</f>
        <v>0</v>
      </c>
      <c r="Z504" s="9" t="s">
        <v>387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467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79"/>
      <c r="H505" s="16">
        <v>5</v>
      </c>
      <c r="I505" s="16">
        <v>1</v>
      </c>
      <c r="J505" s="79"/>
      <c r="K505" s="16" t="s">
        <v>375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79"/>
      <c r="T505" s="87"/>
      <c r="U505" s="16">
        <f ca="1">IFERROR(OFFSET(ITEM_RES!$A$5,MATCH(BUILDING!T505,ITEM_RES!$J$5:$J$228,0)-1,0),0)</f>
        <v>0</v>
      </c>
      <c r="V505" s="18"/>
      <c r="W505" s="87"/>
      <c r="X505" s="16">
        <f ca="1">IFERROR(OFFSET(ITEM_RES!$A$5,MATCH(BUILDING!W505,ITEM_RES!$J$5:$J$228,0)-1,0),0)</f>
        <v>0</v>
      </c>
      <c r="Y505" s="79"/>
      <c r="Z505" s="16" t="s">
        <v>390</v>
      </c>
      <c r="AA505" s="16">
        <v>1</v>
      </c>
      <c r="AB505" s="79"/>
      <c r="AC505" s="16">
        <v>0</v>
      </c>
      <c r="AD505" s="79"/>
      <c r="AE505" s="57">
        <f t="shared" si="139"/>
        <v>1080</v>
      </c>
      <c r="AF505" s="17">
        <f>AE505</f>
        <v>1080</v>
      </c>
      <c r="AG505" s="79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454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213010101</v>
      </c>
      <c r="BA505" s="17" t="s">
        <v>478</v>
      </c>
      <c r="BB505" s="18">
        <v>1</v>
      </c>
      <c r="BC505" s="17"/>
      <c r="BD505" s="18"/>
      <c r="BE505" s="18">
        <f ca="1">IFERROR(OFFSET(ITEM_RES!$A$1,MATCH(BF505,ITEM_RES!$J:$J,0)-1,0),0)</f>
        <v>213010201</v>
      </c>
      <c r="BF505" s="17" t="s">
        <v>500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IFERROR(OFFSET(ITEM_RES!$A$5,MATCH(BUILDING!T506,ITEM_RES!$J$5:$J$228,0)-1,0),0)</f>
        <v>0</v>
      </c>
      <c r="X506" s="9">
        <f ca="1">IFERROR(OFFSET(ITEM_RES!$A$5,MATCH(BUILDING!W506,ITEM_RES!$J$5:$J$228,0)-1,0),0)</f>
        <v>0</v>
      </c>
      <c r="Z506" s="9" t="s">
        <v>389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454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IFERROR(OFFSET(ITEM_RES!$A$5,MATCH(BUILDING!T507,ITEM_RES!$J$5:$J$228,0)-1,0),0)</f>
        <v>0</v>
      </c>
      <c r="X507" s="9">
        <f ca="1">IFERROR(OFFSET(ITEM_RES!$A$5,MATCH(BUILDING!W507,ITEM_RES!$J$5:$J$228,0)-1,0),0)</f>
        <v>0</v>
      </c>
      <c r="Z507" s="9" t="s">
        <v>389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454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IFERROR(OFFSET(ITEM_RES!$A$5,MATCH(BUILDING!T508,ITEM_RES!$J$5:$J$228,0)-1,0),0)</f>
        <v>0</v>
      </c>
      <c r="X508" s="9">
        <f ca="1">IFERROR(OFFSET(ITEM_RES!$A$5,MATCH(BUILDING!W508,ITEM_RES!$J$5:$J$228,0)-1,0),0)</f>
        <v>0</v>
      </c>
      <c r="Z508" s="9" t="s">
        <v>389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454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IFERROR(OFFSET(ITEM_RES!$A$5,MATCH(BUILDING!T509,ITEM_RES!$J$5:$J$228,0)-1,0),0)</f>
        <v>0</v>
      </c>
      <c r="X509" s="9">
        <f ca="1">IFERROR(OFFSET(ITEM_RES!$A$5,MATCH(BUILDING!W509,ITEM_RES!$J$5:$J$228,0)-1,0),0)</f>
        <v>0</v>
      </c>
      <c r="Z509" s="9" t="s">
        <v>389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454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IFERROR(OFFSET(ITEM_RES!$A$5,MATCH(BUILDING!T510,ITEM_RES!$J$5:$J$228,0)-1,0),0)</f>
        <v>0</v>
      </c>
      <c r="X510" s="9">
        <f ca="1">IFERROR(OFFSET(ITEM_RES!$A$5,MATCH(BUILDING!W510,ITEM_RES!$J$5:$J$228,0)-1,0),0)</f>
        <v>0</v>
      </c>
      <c r="Z510" s="9" t="s">
        <v>389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454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IFERROR(OFFSET(ITEM_RES!$A$5,MATCH(BUILDING!T511,ITEM_RES!$J$5:$J$228,0)-1,0),0)</f>
        <v>0</v>
      </c>
      <c r="X511" s="9">
        <f ca="1">IFERROR(OFFSET(ITEM_RES!$A$5,MATCH(BUILDING!W511,ITEM_RES!$J$5:$J$228,0)-1,0),0)</f>
        <v>0</v>
      </c>
      <c r="Z511" s="9" t="s">
        <v>389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454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IFERROR(OFFSET(ITEM_RES!$A$5,MATCH(BUILDING!T512,ITEM_RES!$J$5:$J$228,0)-1,0),0)</f>
        <v>0</v>
      </c>
      <c r="X512" s="9">
        <f ca="1">IFERROR(OFFSET(ITEM_RES!$A$5,MATCH(BUILDING!W512,ITEM_RES!$J$5:$J$228,0)-1,0),0)</f>
        <v>0</v>
      </c>
      <c r="Z512" s="9" t="s">
        <v>389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454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213011701</v>
      </c>
      <c r="BF512" s="10" t="s">
        <v>505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IFERROR(OFFSET(ITEM_RES!$A$5,MATCH(BUILDING!T513,ITEM_RES!$J$5:$J$228,0)-1,0),0)</f>
        <v>0</v>
      </c>
      <c r="X513" s="9">
        <f ca="1">IFERROR(OFFSET(ITEM_RES!$A$5,MATCH(BUILDING!W513,ITEM_RES!$J$5:$J$228,0)-1,0),0)</f>
        <v>0</v>
      </c>
      <c r="Z513" s="9" t="s">
        <v>389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454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IFERROR(OFFSET(ITEM_RES!$A$5,MATCH(BUILDING!T514,ITEM_RES!$J$5:$J$228,0)-1,0),0)</f>
        <v>0</v>
      </c>
      <c r="X514" s="9">
        <f ca="1">IFERROR(OFFSET(ITEM_RES!$A$5,MATCH(BUILDING!W514,ITEM_RES!$J$5:$J$228,0)-1,0),0)</f>
        <v>0</v>
      </c>
      <c r="Z514" s="9" t="s">
        <v>389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454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IFERROR(OFFSET(ITEM_RES!$A$5,MATCH(BUILDING!T515,ITEM_RES!$J$5:$J$228,0)-1,0),0)</f>
        <v>0</v>
      </c>
      <c r="X515" s="9">
        <f ca="1">IFERROR(OFFSET(ITEM_RES!$A$5,MATCH(BUILDING!W515,ITEM_RES!$J$5:$J$228,0)-1,0),0)</f>
        <v>0</v>
      </c>
      <c r="Z515" s="9" t="s">
        <v>389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454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IFERROR(OFFSET(ITEM_RES!$A$5,MATCH(BUILDING!T516,ITEM_RES!$J$5:$J$228,0)-1,0),0)</f>
        <v>0</v>
      </c>
      <c r="X516" s="9">
        <f ca="1">IFERROR(OFFSET(ITEM_RES!$A$5,MATCH(BUILDING!W516,ITEM_RES!$J$5:$J$228,0)-1,0),0)</f>
        <v>0</v>
      </c>
      <c r="Z516" s="9" t="s">
        <v>389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454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IFERROR(OFFSET(ITEM_RES!$A$5,MATCH(BUILDING!T517,ITEM_RES!$J$5:$J$228,0)-1,0),0)</f>
        <v>0</v>
      </c>
      <c r="X517" s="9">
        <f ca="1">IFERROR(OFFSET(ITEM_RES!$A$5,MATCH(BUILDING!W517,ITEM_RES!$J$5:$J$228,0)-1,0),0)</f>
        <v>0</v>
      </c>
      <c r="Z517" s="9" t="s">
        <v>389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454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IFERROR(OFFSET(ITEM_RES!$A$5,MATCH(BUILDING!T518,ITEM_RES!$J$5:$J$228,0)-1,0),0)</f>
        <v>0</v>
      </c>
      <c r="X518" s="9">
        <f ca="1">IFERROR(OFFSET(ITEM_RES!$A$5,MATCH(BUILDING!W518,ITEM_RES!$J$5:$J$228,0)-1,0),0)</f>
        <v>0</v>
      </c>
      <c r="Z518" s="9" t="s">
        <v>389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467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IFERROR(OFFSET(ITEM_RES!$A$5,MATCH(BUILDING!T519,ITEM_RES!$J$5:$J$228,0)-1,0),0)</f>
        <v>0</v>
      </c>
      <c r="X519" s="9">
        <f ca="1">IFERROR(OFFSET(ITEM_RES!$A$5,MATCH(BUILDING!W519,ITEM_RES!$J$5:$J$228,0)-1,0),0)</f>
        <v>0</v>
      </c>
      <c r="Z519" s="9" t="s">
        <v>389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467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IFERROR(OFFSET(ITEM_RES!$A$5,MATCH(BUILDING!T520,ITEM_RES!$J$5:$J$228,0)-1,0),0)</f>
        <v>0</v>
      </c>
      <c r="X520" s="9">
        <f ca="1">IFERROR(OFFSET(ITEM_RES!$A$5,MATCH(BUILDING!W520,ITEM_RES!$J$5:$J$228,0)-1,0),0)</f>
        <v>0</v>
      </c>
      <c r="Z520" s="9" t="s">
        <v>389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467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IFERROR(OFFSET(ITEM_RES!$A$5,MATCH(BUILDING!T521,ITEM_RES!$J$5:$J$228,0)-1,0),0)</f>
        <v>0</v>
      </c>
      <c r="X521" s="9">
        <f ca="1">IFERROR(OFFSET(ITEM_RES!$A$5,MATCH(BUILDING!W521,ITEM_RES!$J$5:$J$228,0)-1,0),0)</f>
        <v>0</v>
      </c>
      <c r="Z521" s="9" t="s">
        <v>389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467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IFERROR(OFFSET(ITEM_RES!$A$5,MATCH(BUILDING!T522,ITEM_RES!$J$5:$J$228,0)-1,0),0)</f>
        <v>0</v>
      </c>
      <c r="X522" s="9">
        <f ca="1">IFERROR(OFFSET(ITEM_RES!$A$5,MATCH(BUILDING!W522,ITEM_RES!$J$5:$J$228,0)-1,0),0)</f>
        <v>0</v>
      </c>
      <c r="Z522" s="9" t="s">
        <v>389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467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IFERROR(OFFSET(ITEM_RES!$A$5,MATCH(BUILDING!T523,ITEM_RES!$J$5:$J$228,0)-1,0),0)</f>
        <v>0</v>
      </c>
      <c r="X523" s="9">
        <f ca="1">IFERROR(OFFSET(ITEM_RES!$A$5,MATCH(BUILDING!W523,ITEM_RES!$J$5:$J$228,0)-1,0),0)</f>
        <v>0</v>
      </c>
      <c r="Z523" s="9" t="s">
        <v>389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467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IFERROR(OFFSET(ITEM_RES!$A$5,MATCH(BUILDING!T524,ITEM_RES!$J$5:$J$228,0)-1,0),0)</f>
        <v>0</v>
      </c>
      <c r="X524" s="9">
        <f ca="1">IFERROR(OFFSET(ITEM_RES!$A$5,MATCH(BUILDING!W524,ITEM_RES!$J$5:$J$228,0)-1,0),0)</f>
        <v>0</v>
      </c>
      <c r="Z524" s="9" t="s">
        <v>389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467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79"/>
      <c r="H525" s="16">
        <v>5</v>
      </c>
      <c r="I525" s="16">
        <v>1</v>
      </c>
      <c r="J525" s="79"/>
      <c r="K525" s="16" t="s">
        <v>370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79"/>
      <c r="T525" s="87"/>
      <c r="U525" s="16">
        <f ca="1">IFERROR(OFFSET(ITEM_RES!$A$5,MATCH(BUILDING!T525,ITEM_RES!$J$5:$J$228,0)-1,0),0)</f>
        <v>0</v>
      </c>
      <c r="V525" s="18"/>
      <c r="W525" s="87"/>
      <c r="X525" s="16">
        <f ca="1">IFERROR(OFFSET(ITEM_RES!$A$5,MATCH(BUILDING!W525,ITEM_RES!$J$5:$J$228,0)-1,0),0)</f>
        <v>0</v>
      </c>
      <c r="Y525" s="79"/>
      <c r="Z525" s="16" t="s">
        <v>391</v>
      </c>
      <c r="AA525" s="16">
        <v>1</v>
      </c>
      <c r="AB525" s="79"/>
      <c r="AC525" s="16">
        <v>0</v>
      </c>
      <c r="AD525" s="79"/>
      <c r="AE525" s="57">
        <f t="shared" si="139"/>
        <v>1080</v>
      </c>
      <c r="AF525" s="17">
        <f>AE525</f>
        <v>1080</v>
      </c>
      <c r="AG525" s="79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459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213010101</v>
      </c>
      <c r="BA525" s="17" t="s">
        <v>478</v>
      </c>
      <c r="BB525" s="18">
        <v>1</v>
      </c>
      <c r="BC525" s="17"/>
      <c r="BD525" s="18"/>
      <c r="BE525" s="18">
        <f ca="1">IFERROR(OFFSET(ITEM_RES!$A$1,MATCH(BF525,ITEM_RES!$J:$J,0)-1,0),0)</f>
        <v>213010401</v>
      </c>
      <c r="BF525" s="17" t="s">
        <v>501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370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IFERROR(OFFSET(ITEM_RES!$A$5,MATCH(BUILDING!T526,ITEM_RES!$J$5:$J$228,0)-1,0),0)</f>
        <v>0</v>
      </c>
      <c r="X526" s="9">
        <f ca="1">IFERROR(OFFSET(ITEM_RES!$A$5,MATCH(BUILDING!W526,ITEM_RES!$J$5:$J$228,0)-1,0),0)</f>
        <v>0</v>
      </c>
      <c r="Z526" s="9" t="s">
        <v>391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459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370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IFERROR(OFFSET(ITEM_RES!$A$5,MATCH(BUILDING!T527,ITEM_RES!$J$5:$J$228,0)-1,0),0)</f>
        <v>0</v>
      </c>
      <c r="X527" s="9">
        <f ca="1">IFERROR(OFFSET(ITEM_RES!$A$5,MATCH(BUILDING!W527,ITEM_RES!$J$5:$J$228,0)-1,0),0)</f>
        <v>0</v>
      </c>
      <c r="Z527" s="9" t="s">
        <v>369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459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369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IFERROR(OFFSET(ITEM_RES!$A$5,MATCH(BUILDING!T528,ITEM_RES!$J$5:$J$228,0)-1,0),0)</f>
        <v>0</v>
      </c>
      <c r="X528" s="9">
        <f ca="1">IFERROR(OFFSET(ITEM_RES!$A$5,MATCH(BUILDING!W528,ITEM_RES!$J$5:$J$228,0)-1,0),0)</f>
        <v>0</v>
      </c>
      <c r="Z528" s="9" t="s">
        <v>369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459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369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IFERROR(OFFSET(ITEM_RES!$A$5,MATCH(BUILDING!T529,ITEM_RES!$J$5:$J$228,0)-1,0),0)</f>
        <v>0</v>
      </c>
      <c r="X529" s="9">
        <f ca="1">IFERROR(OFFSET(ITEM_RES!$A$5,MATCH(BUILDING!W529,ITEM_RES!$J$5:$J$228,0)-1,0),0)</f>
        <v>0</v>
      </c>
      <c r="Z529" s="9" t="s">
        <v>369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459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369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IFERROR(OFFSET(ITEM_RES!$A$5,MATCH(BUILDING!T530,ITEM_RES!$J$5:$J$228,0)-1,0),0)</f>
        <v>0</v>
      </c>
      <c r="X530" s="9">
        <f ca="1">IFERROR(OFFSET(ITEM_RES!$A$5,MATCH(BUILDING!W530,ITEM_RES!$J$5:$J$228,0)-1,0),0)</f>
        <v>0</v>
      </c>
      <c r="Z530" s="9" t="s">
        <v>369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459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369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IFERROR(OFFSET(ITEM_RES!$A$5,MATCH(BUILDING!T531,ITEM_RES!$J$5:$J$228,0)-1,0),0)</f>
        <v>0</v>
      </c>
      <c r="X531" s="9">
        <f ca="1">IFERROR(OFFSET(ITEM_RES!$A$5,MATCH(BUILDING!W531,ITEM_RES!$J$5:$J$228,0)-1,0),0)</f>
        <v>0</v>
      </c>
      <c r="Z531" s="9" t="s">
        <v>369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459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369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IFERROR(OFFSET(ITEM_RES!$A$5,MATCH(BUILDING!T532,ITEM_RES!$J$5:$J$228,0)-1,0),0)</f>
        <v>0</v>
      </c>
      <c r="X532" s="9">
        <f ca="1">IFERROR(OFFSET(ITEM_RES!$A$5,MATCH(BUILDING!W532,ITEM_RES!$J$5:$J$228,0)-1,0),0)</f>
        <v>0</v>
      </c>
      <c r="Z532" s="9" t="s">
        <v>369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459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369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IFERROR(OFFSET(ITEM_RES!$A$5,MATCH(BUILDING!T533,ITEM_RES!$J$5:$J$228,0)-1,0),0)</f>
        <v>0</v>
      </c>
      <c r="X533" s="9">
        <f ca="1">IFERROR(OFFSET(ITEM_RES!$A$5,MATCH(BUILDING!W533,ITEM_RES!$J$5:$J$228,0)-1,0),0)</f>
        <v>0</v>
      </c>
      <c r="Z533" s="9" t="s">
        <v>369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459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369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IFERROR(OFFSET(ITEM_RES!$A$5,MATCH(BUILDING!T534,ITEM_RES!$J$5:$J$228,0)-1,0),0)</f>
        <v>0</v>
      </c>
      <c r="X534" s="9">
        <f ca="1">IFERROR(OFFSET(ITEM_RES!$A$5,MATCH(BUILDING!W534,ITEM_RES!$J$5:$J$228,0)-1,0),0)</f>
        <v>0</v>
      </c>
      <c r="Z534" s="9" t="s">
        <v>369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459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369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IFERROR(OFFSET(ITEM_RES!$A$5,MATCH(BUILDING!T535,ITEM_RES!$J$5:$J$228,0)-1,0),0)</f>
        <v>0</v>
      </c>
      <c r="X535" s="9">
        <f ca="1">IFERROR(OFFSET(ITEM_RES!$A$5,MATCH(BUILDING!W535,ITEM_RES!$J$5:$J$228,0)-1,0),0)</f>
        <v>0</v>
      </c>
      <c r="Z535" s="9" t="s">
        <v>369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459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369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IFERROR(OFFSET(ITEM_RES!$A$5,MATCH(BUILDING!T536,ITEM_RES!$J$5:$J$228,0)-1,0),0)</f>
        <v>0</v>
      </c>
      <c r="X536" s="9">
        <f ca="1">IFERROR(OFFSET(ITEM_RES!$A$5,MATCH(BUILDING!W536,ITEM_RES!$J$5:$J$228,0)-1,0),0)</f>
        <v>0</v>
      </c>
      <c r="Z536" s="9" t="s">
        <v>369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459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213011701</v>
      </c>
      <c r="BF536" s="10" t="s">
        <v>505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369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IFERROR(OFFSET(ITEM_RES!$A$5,MATCH(BUILDING!T537,ITEM_RES!$J$5:$J$228,0)-1,0),0)</f>
        <v>0</v>
      </c>
      <c r="X537" s="9">
        <f ca="1">IFERROR(OFFSET(ITEM_RES!$A$5,MATCH(BUILDING!W537,ITEM_RES!$J$5:$J$228,0)-1,0),0)</f>
        <v>0</v>
      </c>
      <c r="Z537" s="9" t="s">
        <v>369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468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369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IFERROR(OFFSET(ITEM_RES!$A$5,MATCH(BUILDING!T538,ITEM_RES!$J$5:$J$228,0)-1,0),0)</f>
        <v>0</v>
      </c>
      <c r="X538" s="9">
        <f ca="1">IFERROR(OFFSET(ITEM_RES!$A$5,MATCH(BUILDING!W538,ITEM_RES!$J$5:$J$228,0)-1,0),0)</f>
        <v>0</v>
      </c>
      <c r="Z538" s="9" t="s">
        <v>369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468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369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IFERROR(OFFSET(ITEM_RES!$A$5,MATCH(BUILDING!T539,ITEM_RES!$J$5:$J$228,0)-1,0),0)</f>
        <v>0</v>
      </c>
      <c r="X539" s="9">
        <f ca="1">IFERROR(OFFSET(ITEM_RES!$A$5,MATCH(BUILDING!W539,ITEM_RES!$J$5:$J$228,0)-1,0),0)</f>
        <v>0</v>
      </c>
      <c r="Z539" s="9" t="s">
        <v>369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468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369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IFERROR(OFFSET(ITEM_RES!$A$5,MATCH(BUILDING!T540,ITEM_RES!$J$5:$J$228,0)-1,0),0)</f>
        <v>0</v>
      </c>
      <c r="X540" s="9">
        <f ca="1">IFERROR(OFFSET(ITEM_RES!$A$5,MATCH(BUILDING!W540,ITEM_RES!$J$5:$J$228,0)-1,0),0)</f>
        <v>0</v>
      </c>
      <c r="Z540" s="9" t="s">
        <v>369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468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369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IFERROR(OFFSET(ITEM_RES!$A$5,MATCH(BUILDING!T541,ITEM_RES!$J$5:$J$228,0)-1,0),0)</f>
        <v>0</v>
      </c>
      <c r="X541" s="9">
        <f ca="1">IFERROR(OFFSET(ITEM_RES!$A$5,MATCH(BUILDING!W541,ITEM_RES!$J$5:$J$228,0)-1,0),0)</f>
        <v>0</v>
      </c>
      <c r="Z541" s="9" t="s">
        <v>369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468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369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IFERROR(OFFSET(ITEM_RES!$A$5,MATCH(BUILDING!T542,ITEM_RES!$J$5:$J$228,0)-1,0),0)</f>
        <v>0</v>
      </c>
      <c r="X542" s="9">
        <f ca="1">IFERROR(OFFSET(ITEM_RES!$A$5,MATCH(BUILDING!W542,ITEM_RES!$J$5:$J$228,0)-1,0),0)</f>
        <v>0</v>
      </c>
      <c r="Z542" s="9" t="s">
        <v>369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468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369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IFERROR(OFFSET(ITEM_RES!$A$5,MATCH(BUILDING!T543,ITEM_RES!$J$5:$J$228,0)-1,0),0)</f>
        <v>0</v>
      </c>
      <c r="X543" s="9">
        <f ca="1">IFERROR(OFFSET(ITEM_RES!$A$5,MATCH(BUILDING!W543,ITEM_RES!$J$5:$J$228,0)-1,0),0)</f>
        <v>0</v>
      </c>
      <c r="Z543" s="9" t="s">
        <v>369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468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369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IFERROR(OFFSET(ITEM_RES!$A$5,MATCH(BUILDING!T544,ITEM_RES!$J$5:$J$228,0)-1,0),0)</f>
        <v>0</v>
      </c>
      <c r="X544" s="9">
        <f ca="1">IFERROR(OFFSET(ITEM_RES!$A$5,MATCH(BUILDING!W544,ITEM_RES!$J$5:$J$228,0)-1,0),0)</f>
        <v>0</v>
      </c>
      <c r="Z544" s="9" t="s">
        <v>369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468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79"/>
      <c r="H545" s="16">
        <v>5</v>
      </c>
      <c r="I545" s="16">
        <v>1</v>
      </c>
      <c r="J545" s="79"/>
      <c r="K545" s="16" t="s">
        <v>394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79"/>
      <c r="T545" s="87"/>
      <c r="U545" s="16">
        <f ca="1">IFERROR(OFFSET(ITEM_RES!$A$5,MATCH(BUILDING!T545,ITEM_RES!$J$5:$J$228,0)-1,0),0)</f>
        <v>0</v>
      </c>
      <c r="V545" s="18"/>
      <c r="W545" s="87"/>
      <c r="X545" s="16">
        <f ca="1">IFERROR(OFFSET(ITEM_RES!$A$5,MATCH(BUILDING!W545,ITEM_RES!$J$5:$J$228,0)-1,0),0)</f>
        <v>0</v>
      </c>
      <c r="Y545" s="79"/>
      <c r="Z545" s="16" t="s">
        <v>394</v>
      </c>
      <c r="AA545" s="16">
        <v>1</v>
      </c>
      <c r="AB545" s="79"/>
      <c r="AC545" s="16">
        <v>0</v>
      </c>
      <c r="AD545" s="79"/>
      <c r="AE545" s="57">
        <f t="shared" si="149"/>
        <v>1080</v>
      </c>
      <c r="AF545" s="17">
        <f>AE545</f>
        <v>1080</v>
      </c>
      <c r="AG545" s="79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453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213010101</v>
      </c>
      <c r="BA545" s="17" t="s">
        <v>478</v>
      </c>
      <c r="BB545" s="18">
        <v>1</v>
      </c>
      <c r="BC545" s="17"/>
      <c r="BD545" s="18"/>
      <c r="BE545" s="18">
        <f ca="1">IFERROR(OFFSET(ITEM_RES!$A$1,MATCH(BF545,ITEM_RES!$J:$J,0)-1,0),0)</f>
        <v>213010301</v>
      </c>
      <c r="BF545" s="17" t="s">
        <v>502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394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IFERROR(OFFSET(ITEM_RES!$A$5,MATCH(BUILDING!T546,ITEM_RES!$J$5:$J$228,0)-1,0),0)</f>
        <v>0</v>
      </c>
      <c r="X546" s="9">
        <f ca="1">IFERROR(OFFSET(ITEM_RES!$A$5,MATCH(BUILDING!W546,ITEM_RES!$J$5:$J$228,0)-1,0),0)</f>
        <v>0</v>
      </c>
      <c r="Z546" s="9" t="s">
        <v>394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453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393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IFERROR(OFFSET(ITEM_RES!$A$5,MATCH(BUILDING!T547,ITEM_RES!$J$5:$J$228,0)-1,0),0)</f>
        <v>0</v>
      </c>
      <c r="X547" s="9">
        <f ca="1">IFERROR(OFFSET(ITEM_RES!$A$5,MATCH(BUILDING!W547,ITEM_RES!$J$5:$J$228,0)-1,0),0)</f>
        <v>0</v>
      </c>
      <c r="Z547" s="9" t="s">
        <v>393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453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393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IFERROR(OFFSET(ITEM_RES!$A$5,MATCH(BUILDING!T548,ITEM_RES!$J$5:$J$228,0)-1,0),0)</f>
        <v>0</v>
      </c>
      <c r="X548" s="9">
        <f ca="1">IFERROR(OFFSET(ITEM_RES!$A$5,MATCH(BUILDING!W548,ITEM_RES!$J$5:$J$228,0)-1,0),0)</f>
        <v>0</v>
      </c>
      <c r="Z548" s="9" t="s">
        <v>393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453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393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IFERROR(OFFSET(ITEM_RES!$A$5,MATCH(BUILDING!T549,ITEM_RES!$J$5:$J$228,0)-1,0),0)</f>
        <v>0</v>
      </c>
      <c r="X549" s="9">
        <f ca="1">IFERROR(OFFSET(ITEM_RES!$A$5,MATCH(BUILDING!W549,ITEM_RES!$J$5:$J$228,0)-1,0),0)</f>
        <v>0</v>
      </c>
      <c r="Z549" s="9" t="s">
        <v>393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453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393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IFERROR(OFFSET(ITEM_RES!$A$5,MATCH(BUILDING!T550,ITEM_RES!$J$5:$J$228,0)-1,0),0)</f>
        <v>0</v>
      </c>
      <c r="X550" s="9">
        <f ca="1">IFERROR(OFFSET(ITEM_RES!$A$5,MATCH(BUILDING!W550,ITEM_RES!$J$5:$J$228,0)-1,0),0)</f>
        <v>0</v>
      </c>
      <c r="Z550" s="9" t="s">
        <v>393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453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213011901</v>
      </c>
      <c r="BF550" s="10" t="s">
        <v>508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393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IFERROR(OFFSET(ITEM_RES!$A$5,MATCH(BUILDING!T551,ITEM_RES!$J$5:$J$228,0)-1,0),0)</f>
        <v>0</v>
      </c>
      <c r="X551" s="9">
        <f ca="1">IFERROR(OFFSET(ITEM_RES!$A$5,MATCH(BUILDING!W551,ITEM_RES!$J$5:$J$228,0)-1,0),0)</f>
        <v>0</v>
      </c>
      <c r="Z551" s="9" t="s">
        <v>393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453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393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IFERROR(OFFSET(ITEM_RES!$A$5,MATCH(BUILDING!T552,ITEM_RES!$J$5:$J$228,0)-1,0),0)</f>
        <v>0</v>
      </c>
      <c r="X552" s="9">
        <f ca="1">IFERROR(OFFSET(ITEM_RES!$A$5,MATCH(BUILDING!W552,ITEM_RES!$J$5:$J$228,0)-1,0),0)</f>
        <v>0</v>
      </c>
      <c r="Z552" s="9" t="s">
        <v>393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453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393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IFERROR(OFFSET(ITEM_RES!$A$5,MATCH(BUILDING!T553,ITEM_RES!$J$5:$J$228,0)-1,0),0)</f>
        <v>0</v>
      </c>
      <c r="X553" s="9">
        <f ca="1">IFERROR(OFFSET(ITEM_RES!$A$5,MATCH(BUILDING!W553,ITEM_RES!$J$5:$J$228,0)-1,0),0)</f>
        <v>0</v>
      </c>
      <c r="Z553" s="9" t="s">
        <v>393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453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393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IFERROR(OFFSET(ITEM_RES!$A$5,MATCH(BUILDING!T554,ITEM_RES!$J$5:$J$228,0)-1,0),0)</f>
        <v>0</v>
      </c>
      <c r="X554" s="9">
        <f ca="1">IFERROR(OFFSET(ITEM_RES!$A$5,MATCH(BUILDING!W554,ITEM_RES!$J$5:$J$228,0)-1,0),0)</f>
        <v>0</v>
      </c>
      <c r="Z554" s="9" t="s">
        <v>393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453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393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IFERROR(OFFSET(ITEM_RES!$A$5,MATCH(BUILDING!T555,ITEM_RES!$J$5:$J$228,0)-1,0),0)</f>
        <v>0</v>
      </c>
      <c r="X555" s="9">
        <f ca="1">IFERROR(OFFSET(ITEM_RES!$A$5,MATCH(BUILDING!W555,ITEM_RES!$J$5:$J$228,0)-1,0),0)</f>
        <v>0</v>
      </c>
      <c r="Z555" s="9" t="s">
        <v>393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453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393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IFERROR(OFFSET(ITEM_RES!$A$5,MATCH(BUILDING!T556,ITEM_RES!$J$5:$J$228,0)-1,0),0)</f>
        <v>0</v>
      </c>
      <c r="X556" s="9">
        <f ca="1">IFERROR(OFFSET(ITEM_RES!$A$5,MATCH(BUILDING!W556,ITEM_RES!$J$5:$J$228,0)-1,0),0)</f>
        <v>0</v>
      </c>
      <c r="Z556" s="9" t="s">
        <v>393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453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393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IFERROR(OFFSET(ITEM_RES!$A$5,MATCH(BUILDING!T557,ITEM_RES!$J$5:$J$228,0)-1,0),0)</f>
        <v>0</v>
      </c>
      <c r="X557" s="9">
        <f ca="1">IFERROR(OFFSET(ITEM_RES!$A$5,MATCH(BUILDING!W557,ITEM_RES!$J$5:$J$228,0)-1,0),0)</f>
        <v>0</v>
      </c>
      <c r="Z557" s="9" t="s">
        <v>393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453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393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IFERROR(OFFSET(ITEM_RES!$A$5,MATCH(BUILDING!T558,ITEM_RES!$J$5:$J$228,0)-1,0),0)</f>
        <v>0</v>
      </c>
      <c r="X558" s="9">
        <f ca="1">IFERROR(OFFSET(ITEM_RES!$A$5,MATCH(BUILDING!W558,ITEM_RES!$J$5:$J$228,0)-1,0),0)</f>
        <v>0</v>
      </c>
      <c r="Z558" s="9" t="s">
        <v>393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453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393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IFERROR(OFFSET(ITEM_RES!$A$5,MATCH(BUILDING!T559,ITEM_RES!$J$5:$J$228,0)-1,0),0)</f>
        <v>0</v>
      </c>
      <c r="X559" s="9">
        <f ca="1">IFERROR(OFFSET(ITEM_RES!$A$5,MATCH(BUILDING!W559,ITEM_RES!$J$5:$J$228,0)-1,0),0)</f>
        <v>0</v>
      </c>
      <c r="Z559" s="9" t="s">
        <v>393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466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393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IFERROR(OFFSET(ITEM_RES!$A$5,MATCH(BUILDING!T560,ITEM_RES!$J$5:$J$228,0)-1,0),0)</f>
        <v>0</v>
      </c>
      <c r="X560" s="9">
        <f ca="1">IFERROR(OFFSET(ITEM_RES!$A$5,MATCH(BUILDING!W560,ITEM_RES!$J$5:$J$228,0)-1,0),0)</f>
        <v>0</v>
      </c>
      <c r="Z560" s="9" t="s">
        <v>393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466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393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IFERROR(OFFSET(ITEM_RES!$A$5,MATCH(BUILDING!T561,ITEM_RES!$J$5:$J$228,0)-1,0),0)</f>
        <v>0</v>
      </c>
      <c r="X561" s="9">
        <f ca="1">IFERROR(OFFSET(ITEM_RES!$A$5,MATCH(BUILDING!W561,ITEM_RES!$J$5:$J$228,0)-1,0),0)</f>
        <v>0</v>
      </c>
      <c r="Z561" s="9" t="s">
        <v>393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466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393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IFERROR(OFFSET(ITEM_RES!$A$5,MATCH(BUILDING!T562,ITEM_RES!$J$5:$J$228,0)-1,0),0)</f>
        <v>0</v>
      </c>
      <c r="X562" s="9">
        <f ca="1">IFERROR(OFFSET(ITEM_RES!$A$5,MATCH(BUILDING!W562,ITEM_RES!$J$5:$J$228,0)-1,0),0)</f>
        <v>0</v>
      </c>
      <c r="Z562" s="9" t="s">
        <v>393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466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213011901</v>
      </c>
      <c r="BF562" s="10" t="s">
        <v>508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393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IFERROR(OFFSET(ITEM_RES!$A$5,MATCH(BUILDING!T563,ITEM_RES!$J$5:$J$228,0)-1,0),0)</f>
        <v>0</v>
      </c>
      <c r="X563" s="9">
        <f ca="1">IFERROR(OFFSET(ITEM_RES!$A$5,MATCH(BUILDING!W563,ITEM_RES!$J$5:$J$228,0)-1,0),0)</f>
        <v>0</v>
      </c>
      <c r="Z563" s="9" t="s">
        <v>393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466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393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IFERROR(OFFSET(ITEM_RES!$A$5,MATCH(BUILDING!T564,ITEM_RES!$J$5:$J$228,0)-1,0),0)</f>
        <v>0</v>
      </c>
      <c r="X564" s="9">
        <f ca="1">IFERROR(OFFSET(ITEM_RES!$A$5,MATCH(BUILDING!W564,ITEM_RES!$J$5:$J$228,0)-1,0),0)</f>
        <v>0</v>
      </c>
      <c r="Z564" s="9" t="s">
        <v>393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466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79"/>
      <c r="H565" s="16">
        <v>5</v>
      </c>
      <c r="I565" s="16">
        <v>1</v>
      </c>
      <c r="J565" s="79"/>
      <c r="K565" s="16" t="s">
        <v>382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79"/>
      <c r="T565" s="87"/>
      <c r="U565" s="16">
        <f ca="1">IFERROR(OFFSET(ITEM_RES!$A$5,MATCH(BUILDING!T565,ITEM_RES!$J$5:$J$228,0)-1,0),0)</f>
        <v>0</v>
      </c>
      <c r="V565" s="18"/>
      <c r="W565" s="87"/>
      <c r="X565" s="16">
        <f ca="1">IFERROR(OFFSET(ITEM_RES!$A$5,MATCH(BUILDING!W565,ITEM_RES!$J$5:$J$228,0)-1,0),0)</f>
        <v>0</v>
      </c>
      <c r="Y565" s="79"/>
      <c r="Z565" s="16" t="s">
        <v>395</v>
      </c>
      <c r="AA565" s="16">
        <v>1</v>
      </c>
      <c r="AB565" s="79"/>
      <c r="AC565" s="16">
        <v>0</v>
      </c>
      <c r="AD565" s="79"/>
      <c r="AE565" s="57">
        <f t="shared" si="149"/>
        <v>1080</v>
      </c>
      <c r="AF565" s="17">
        <f>AE565</f>
        <v>1080</v>
      </c>
      <c r="AG565" s="79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453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213010101</v>
      </c>
      <c r="BA565" s="17" t="s">
        <v>478</v>
      </c>
      <c r="BB565" s="18">
        <v>1</v>
      </c>
      <c r="BC565" s="17"/>
      <c r="BD565" s="18"/>
      <c r="BE565" s="18">
        <f ca="1">IFERROR(OFFSET(ITEM_RES!$A$1,MATCH(BF565,ITEM_RES!$J:$J,0)-1,0),0)</f>
        <v>213010301</v>
      </c>
      <c r="BF565" s="17" t="s">
        <v>502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382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IFERROR(OFFSET(ITEM_RES!$A$5,MATCH(BUILDING!T566,ITEM_RES!$J$5:$J$228,0)-1,0),0)</f>
        <v>0</v>
      </c>
      <c r="X566" s="9">
        <f ca="1">IFERROR(OFFSET(ITEM_RES!$A$5,MATCH(BUILDING!W566,ITEM_RES!$J$5:$J$228,0)-1,0),0)</f>
        <v>0</v>
      </c>
      <c r="Z566" s="9" t="s">
        <v>395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453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382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IFERROR(OFFSET(ITEM_RES!$A$5,MATCH(BUILDING!T567,ITEM_RES!$J$5:$J$228,0)-1,0),0)</f>
        <v>0</v>
      </c>
      <c r="X567" s="9">
        <f ca="1">IFERROR(OFFSET(ITEM_RES!$A$5,MATCH(BUILDING!W567,ITEM_RES!$J$5:$J$228,0)-1,0),0)</f>
        <v>0</v>
      </c>
      <c r="Z567" s="9" t="s">
        <v>395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453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382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IFERROR(OFFSET(ITEM_RES!$A$5,MATCH(BUILDING!T568,ITEM_RES!$J$5:$J$228,0)-1,0),0)</f>
        <v>0</v>
      </c>
      <c r="X568" s="9">
        <f ca="1">IFERROR(OFFSET(ITEM_RES!$A$5,MATCH(BUILDING!W568,ITEM_RES!$J$5:$J$228,0)-1,0),0)</f>
        <v>0</v>
      </c>
      <c r="Z568" s="9" t="s">
        <v>395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453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382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IFERROR(OFFSET(ITEM_RES!$A$5,MATCH(BUILDING!T569,ITEM_RES!$J$5:$J$228,0)-1,0),0)</f>
        <v>0</v>
      </c>
      <c r="X569" s="9">
        <f ca="1">IFERROR(OFFSET(ITEM_RES!$A$5,MATCH(BUILDING!W569,ITEM_RES!$J$5:$J$228,0)-1,0),0)</f>
        <v>0</v>
      </c>
      <c r="Z569" s="9" t="s">
        <v>395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453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382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IFERROR(OFFSET(ITEM_RES!$A$5,MATCH(BUILDING!T570,ITEM_RES!$J$5:$J$228,0)-1,0),0)</f>
        <v>0</v>
      </c>
      <c r="X570" s="9">
        <f ca="1">IFERROR(OFFSET(ITEM_RES!$A$5,MATCH(BUILDING!W570,ITEM_RES!$J$5:$J$228,0)-1,0),0)</f>
        <v>0</v>
      </c>
      <c r="Z570" s="9" t="s">
        <v>395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453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382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IFERROR(OFFSET(ITEM_RES!$A$5,MATCH(BUILDING!T571,ITEM_RES!$J$5:$J$228,0)-1,0),0)</f>
        <v>0</v>
      </c>
      <c r="X571" s="9">
        <f ca="1">IFERROR(OFFSET(ITEM_RES!$A$5,MATCH(BUILDING!W571,ITEM_RES!$J$5:$J$228,0)-1,0),0)</f>
        <v>0</v>
      </c>
      <c r="Z571" s="9" t="s">
        <v>395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453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382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IFERROR(OFFSET(ITEM_RES!$A$5,MATCH(BUILDING!T572,ITEM_RES!$J$5:$J$228,0)-1,0),0)</f>
        <v>0</v>
      </c>
      <c r="X572" s="9">
        <f ca="1">IFERROR(OFFSET(ITEM_RES!$A$5,MATCH(BUILDING!W572,ITEM_RES!$J$5:$J$228,0)-1,0),0)</f>
        <v>0</v>
      </c>
      <c r="Z572" s="9" t="s">
        <v>395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453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382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IFERROR(OFFSET(ITEM_RES!$A$5,MATCH(BUILDING!T573,ITEM_RES!$J$5:$J$228,0)-1,0),0)</f>
        <v>0</v>
      </c>
      <c r="X573" s="9">
        <f ca="1">IFERROR(OFFSET(ITEM_RES!$A$5,MATCH(BUILDING!W573,ITEM_RES!$J$5:$J$228,0)-1,0),0)</f>
        <v>0</v>
      </c>
      <c r="Z573" s="9" t="s">
        <v>395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453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382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IFERROR(OFFSET(ITEM_RES!$A$5,MATCH(BUILDING!T574,ITEM_RES!$J$5:$J$228,0)-1,0),0)</f>
        <v>0</v>
      </c>
      <c r="X574" s="9">
        <f ca="1">IFERROR(OFFSET(ITEM_RES!$A$5,MATCH(BUILDING!W574,ITEM_RES!$J$5:$J$228,0)-1,0),0)</f>
        <v>0</v>
      </c>
      <c r="Z574" s="9" t="s">
        <v>395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453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382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IFERROR(OFFSET(ITEM_RES!$A$5,MATCH(BUILDING!T575,ITEM_RES!$J$5:$J$228,0)-1,0),0)</f>
        <v>0</v>
      </c>
      <c r="X575" s="9">
        <f ca="1">IFERROR(OFFSET(ITEM_RES!$A$5,MATCH(BUILDING!W575,ITEM_RES!$J$5:$J$228,0)-1,0),0)</f>
        <v>0</v>
      </c>
      <c r="Z575" s="9" t="s">
        <v>395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453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382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IFERROR(OFFSET(ITEM_RES!$A$5,MATCH(BUILDING!T576,ITEM_RES!$J$5:$J$228,0)-1,0),0)</f>
        <v>0</v>
      </c>
      <c r="X576" s="9">
        <f ca="1">IFERROR(OFFSET(ITEM_RES!$A$5,MATCH(BUILDING!W576,ITEM_RES!$J$5:$J$228,0)-1,0),0)</f>
        <v>0</v>
      </c>
      <c r="Z576" s="9" t="s">
        <v>395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453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382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IFERROR(OFFSET(ITEM_RES!$A$5,MATCH(BUILDING!T577,ITEM_RES!$J$5:$J$228,0)-1,0),0)</f>
        <v>0</v>
      </c>
      <c r="X577" s="9">
        <f ca="1">IFERROR(OFFSET(ITEM_RES!$A$5,MATCH(BUILDING!W577,ITEM_RES!$J$5:$J$228,0)-1,0),0)</f>
        <v>0</v>
      </c>
      <c r="Z577" s="9" t="s">
        <v>395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453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382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IFERROR(OFFSET(ITEM_RES!$A$5,MATCH(BUILDING!T578,ITEM_RES!$J$5:$J$228,0)-1,0),0)</f>
        <v>0</v>
      </c>
      <c r="X578" s="9">
        <f ca="1">IFERROR(OFFSET(ITEM_RES!$A$5,MATCH(BUILDING!W578,ITEM_RES!$J$5:$J$228,0)-1,0),0)</f>
        <v>0</v>
      </c>
      <c r="Z578" s="9" t="s">
        <v>395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471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382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IFERROR(OFFSET(ITEM_RES!$A$5,MATCH(BUILDING!T579,ITEM_RES!$J$5:$J$228,0)-1,0),0)</f>
        <v>0</v>
      </c>
      <c r="X579" s="9">
        <f ca="1">IFERROR(OFFSET(ITEM_RES!$A$5,MATCH(BUILDING!W579,ITEM_RES!$J$5:$J$228,0)-1,0),0)</f>
        <v>0</v>
      </c>
      <c r="Z579" s="9" t="s">
        <v>395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466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382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IFERROR(OFFSET(ITEM_RES!$A$5,MATCH(BUILDING!T580,ITEM_RES!$J$5:$J$228,0)-1,0),0)</f>
        <v>0</v>
      </c>
      <c r="X580" s="9">
        <f ca="1">IFERROR(OFFSET(ITEM_RES!$A$5,MATCH(BUILDING!W580,ITEM_RES!$J$5:$J$228,0)-1,0),0)</f>
        <v>0</v>
      </c>
      <c r="Z580" s="9" t="s">
        <v>395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466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382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IFERROR(OFFSET(ITEM_RES!$A$5,MATCH(BUILDING!T581,ITEM_RES!$J$5:$J$228,0)-1,0),0)</f>
        <v>0</v>
      </c>
      <c r="X581" s="9">
        <f ca="1">IFERROR(OFFSET(ITEM_RES!$A$5,MATCH(BUILDING!W581,ITEM_RES!$J$5:$J$228,0)-1,0),0)</f>
        <v>0</v>
      </c>
      <c r="Z581" s="9" t="s">
        <v>395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466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382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IFERROR(OFFSET(ITEM_RES!$A$5,MATCH(BUILDING!T582,ITEM_RES!$J$5:$J$228,0)-1,0),0)</f>
        <v>0</v>
      </c>
      <c r="X582" s="9">
        <f ca="1">IFERROR(OFFSET(ITEM_RES!$A$5,MATCH(BUILDING!W582,ITEM_RES!$J$5:$J$228,0)-1,0),0)</f>
        <v>0</v>
      </c>
      <c r="Z582" s="9" t="s">
        <v>395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466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382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IFERROR(OFFSET(ITEM_RES!$A$5,MATCH(BUILDING!T583,ITEM_RES!$J$5:$J$228,0)-1,0),0)</f>
        <v>0</v>
      </c>
      <c r="X583" s="9">
        <f ca="1">IFERROR(OFFSET(ITEM_RES!$A$5,MATCH(BUILDING!W583,ITEM_RES!$J$5:$J$228,0)-1,0),0)</f>
        <v>0</v>
      </c>
      <c r="Z583" s="9" t="s">
        <v>395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466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382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IFERROR(OFFSET(ITEM_RES!$A$5,MATCH(BUILDING!T584,ITEM_RES!$J$5:$J$228,0)-1,0),0)</f>
        <v>0</v>
      </c>
      <c r="X584" s="9">
        <f ca="1">IFERROR(OFFSET(ITEM_RES!$A$5,MATCH(BUILDING!W584,ITEM_RES!$J$5:$J$228,0)-1,0),0)</f>
        <v>0</v>
      </c>
      <c r="Z584" s="9" t="s">
        <v>395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466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79"/>
      <c r="H585" s="16">
        <v>5</v>
      </c>
      <c r="I585" s="16">
        <v>1</v>
      </c>
      <c r="J585" s="79"/>
      <c r="K585" s="16" t="s">
        <v>383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79"/>
      <c r="T585" s="87"/>
      <c r="U585" s="16">
        <f ca="1">IFERROR(OFFSET(ITEM_RES!$A$5,MATCH(BUILDING!T585,ITEM_RES!$J$5:$J$228,0)-1,0),0)</f>
        <v>0</v>
      </c>
      <c r="V585" s="18"/>
      <c r="W585" s="87"/>
      <c r="X585" s="16">
        <f ca="1">IFERROR(OFFSET(ITEM_RES!$A$5,MATCH(BUILDING!W585,ITEM_RES!$J$5:$J$228,0)-1,0),0)</f>
        <v>0</v>
      </c>
      <c r="Y585" s="79"/>
      <c r="Z585" s="16" t="s">
        <v>397</v>
      </c>
      <c r="AA585" s="16">
        <v>1</v>
      </c>
      <c r="AB585" s="79"/>
      <c r="AC585" s="16">
        <v>0</v>
      </c>
      <c r="AD585" s="79"/>
      <c r="AE585" s="57">
        <f t="shared" si="149"/>
        <v>1080</v>
      </c>
      <c r="AF585" s="17">
        <f>AE585</f>
        <v>1080</v>
      </c>
      <c r="AG585" s="79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453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213010101</v>
      </c>
      <c r="BA585" s="17" t="s">
        <v>478</v>
      </c>
      <c r="BB585" s="18">
        <v>1</v>
      </c>
      <c r="BC585" s="17"/>
      <c r="BD585" s="18"/>
      <c r="BE585" s="18">
        <f ca="1">IFERROR(OFFSET(ITEM_RES!$A$1,MATCH(BF585,ITEM_RES!$J:$J,0)-1,0),0)</f>
        <v>213010301</v>
      </c>
      <c r="BF585" s="17" t="s">
        <v>502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383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IFERROR(OFFSET(ITEM_RES!$A$5,MATCH(BUILDING!T586,ITEM_RES!$J$5:$J$228,0)-1,0),0)</f>
        <v>0</v>
      </c>
      <c r="X586" s="9">
        <f ca="1">IFERROR(OFFSET(ITEM_RES!$A$5,MATCH(BUILDING!W586,ITEM_RES!$J$5:$J$228,0)-1,0),0)</f>
        <v>0</v>
      </c>
      <c r="Z586" s="9" t="s">
        <v>397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453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384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IFERROR(OFFSET(ITEM_RES!$A$5,MATCH(BUILDING!T587,ITEM_RES!$J$5:$J$228,0)-1,0),0)</f>
        <v>0</v>
      </c>
      <c r="X587" s="9">
        <f ca="1">IFERROR(OFFSET(ITEM_RES!$A$5,MATCH(BUILDING!W587,ITEM_RES!$J$5:$J$228,0)-1,0),0)</f>
        <v>0</v>
      </c>
      <c r="Z587" s="9" t="s">
        <v>396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453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384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IFERROR(OFFSET(ITEM_RES!$A$5,MATCH(BUILDING!T588,ITEM_RES!$J$5:$J$228,0)-1,0),0)</f>
        <v>0</v>
      </c>
      <c r="X588" s="9">
        <f ca="1">IFERROR(OFFSET(ITEM_RES!$A$5,MATCH(BUILDING!W588,ITEM_RES!$J$5:$J$228,0)-1,0),0)</f>
        <v>0</v>
      </c>
      <c r="Z588" s="9" t="s">
        <v>396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453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384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IFERROR(OFFSET(ITEM_RES!$A$5,MATCH(BUILDING!T589,ITEM_RES!$J$5:$J$228,0)-1,0),0)</f>
        <v>0</v>
      </c>
      <c r="X589" s="9">
        <f ca="1">IFERROR(OFFSET(ITEM_RES!$A$5,MATCH(BUILDING!W589,ITEM_RES!$J$5:$J$228,0)-1,0),0)</f>
        <v>0</v>
      </c>
      <c r="Z589" s="9" t="s">
        <v>396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453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213011801</v>
      </c>
      <c r="BF589" s="10" t="s">
        <v>510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384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IFERROR(OFFSET(ITEM_RES!$A$5,MATCH(BUILDING!T590,ITEM_RES!$J$5:$J$228,0)-1,0),0)</f>
        <v>0</v>
      </c>
      <c r="X590" s="9">
        <f ca="1">IFERROR(OFFSET(ITEM_RES!$A$5,MATCH(BUILDING!W590,ITEM_RES!$J$5:$J$228,0)-1,0),0)</f>
        <v>0</v>
      </c>
      <c r="Z590" s="9" t="s">
        <v>396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453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384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IFERROR(OFFSET(ITEM_RES!$A$5,MATCH(BUILDING!T591,ITEM_RES!$J$5:$J$228,0)-1,0),0)</f>
        <v>0</v>
      </c>
      <c r="X591" s="9">
        <f ca="1">IFERROR(OFFSET(ITEM_RES!$A$5,MATCH(BUILDING!W591,ITEM_RES!$J$5:$J$228,0)-1,0),0)</f>
        <v>0</v>
      </c>
      <c r="Z591" s="9" t="s">
        <v>396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453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384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IFERROR(OFFSET(ITEM_RES!$A$5,MATCH(BUILDING!T592,ITEM_RES!$J$5:$J$228,0)-1,0),0)</f>
        <v>0</v>
      </c>
      <c r="X592" s="9">
        <f ca="1">IFERROR(OFFSET(ITEM_RES!$A$5,MATCH(BUILDING!W592,ITEM_RES!$J$5:$J$228,0)-1,0),0)</f>
        <v>0</v>
      </c>
      <c r="Z592" s="9" t="s">
        <v>396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453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384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IFERROR(OFFSET(ITEM_RES!$A$5,MATCH(BUILDING!T593,ITEM_RES!$J$5:$J$228,0)-1,0),0)</f>
        <v>0</v>
      </c>
      <c r="X593" s="9">
        <f ca="1">IFERROR(OFFSET(ITEM_RES!$A$5,MATCH(BUILDING!W593,ITEM_RES!$J$5:$J$228,0)-1,0),0)</f>
        <v>0</v>
      </c>
      <c r="Z593" s="9" t="s">
        <v>396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453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384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IFERROR(OFFSET(ITEM_RES!$A$5,MATCH(BUILDING!T594,ITEM_RES!$J$5:$J$228,0)-1,0),0)</f>
        <v>0</v>
      </c>
      <c r="X594" s="9">
        <f ca="1">IFERROR(OFFSET(ITEM_RES!$A$5,MATCH(BUILDING!W594,ITEM_RES!$J$5:$J$228,0)-1,0),0)</f>
        <v>0</v>
      </c>
      <c r="Z594" s="9" t="s">
        <v>396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453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384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IFERROR(OFFSET(ITEM_RES!$A$5,MATCH(BUILDING!T595,ITEM_RES!$J$5:$J$228,0)-1,0),0)</f>
        <v>0</v>
      </c>
      <c r="X595" s="9">
        <f ca="1">IFERROR(OFFSET(ITEM_RES!$A$5,MATCH(BUILDING!W595,ITEM_RES!$J$5:$J$228,0)-1,0),0)</f>
        <v>0</v>
      </c>
      <c r="Z595" s="9" t="s">
        <v>396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453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384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IFERROR(OFFSET(ITEM_RES!$A$5,MATCH(BUILDING!T596,ITEM_RES!$J$5:$J$228,0)-1,0),0)</f>
        <v>0</v>
      </c>
      <c r="X596" s="9">
        <f ca="1">IFERROR(OFFSET(ITEM_RES!$A$5,MATCH(BUILDING!W596,ITEM_RES!$J$5:$J$228,0)-1,0),0)</f>
        <v>0</v>
      </c>
      <c r="Z596" s="9" t="s">
        <v>396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453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384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IFERROR(OFFSET(ITEM_RES!$A$5,MATCH(BUILDING!T597,ITEM_RES!$J$5:$J$228,0)-1,0),0)</f>
        <v>0</v>
      </c>
      <c r="X597" s="9">
        <f ca="1">IFERROR(OFFSET(ITEM_RES!$A$5,MATCH(BUILDING!W597,ITEM_RES!$J$5:$J$228,0)-1,0),0)</f>
        <v>0</v>
      </c>
      <c r="Z597" s="9" t="s">
        <v>396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467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384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IFERROR(OFFSET(ITEM_RES!$A$5,MATCH(BUILDING!T598,ITEM_RES!$J$5:$J$228,0)-1,0),0)</f>
        <v>0</v>
      </c>
      <c r="X598" s="9">
        <f ca="1">IFERROR(OFFSET(ITEM_RES!$A$5,MATCH(BUILDING!W598,ITEM_RES!$J$5:$J$228,0)-1,0),0)</f>
        <v>0</v>
      </c>
      <c r="Z598" s="9" t="s">
        <v>396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466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384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IFERROR(OFFSET(ITEM_RES!$A$5,MATCH(BUILDING!T599,ITEM_RES!$J$5:$J$228,0)-1,0),0)</f>
        <v>0</v>
      </c>
      <c r="X599" s="9">
        <f ca="1">IFERROR(OFFSET(ITEM_RES!$A$5,MATCH(BUILDING!W599,ITEM_RES!$J$5:$J$228,0)-1,0),0)</f>
        <v>0</v>
      </c>
      <c r="Z599" s="9" t="s">
        <v>396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466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213011801</v>
      </c>
      <c r="BF599" s="10" t="s">
        <v>510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384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IFERROR(OFFSET(ITEM_RES!$A$5,MATCH(BUILDING!T600,ITEM_RES!$J$5:$J$228,0)-1,0),0)</f>
        <v>0</v>
      </c>
      <c r="X600" s="9">
        <f ca="1">IFERROR(OFFSET(ITEM_RES!$A$5,MATCH(BUILDING!W600,ITEM_RES!$J$5:$J$228,0)-1,0),0)</f>
        <v>0</v>
      </c>
      <c r="Z600" s="9" t="s">
        <v>396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466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384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IFERROR(OFFSET(ITEM_RES!$A$5,MATCH(BUILDING!T601,ITEM_RES!$J$5:$J$228,0)-1,0),0)</f>
        <v>0</v>
      </c>
      <c r="X601" s="9">
        <f ca="1">IFERROR(OFFSET(ITEM_RES!$A$5,MATCH(BUILDING!W601,ITEM_RES!$J$5:$J$228,0)-1,0),0)</f>
        <v>0</v>
      </c>
      <c r="Z601" s="9" t="s">
        <v>396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466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384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IFERROR(OFFSET(ITEM_RES!$A$5,MATCH(BUILDING!T602,ITEM_RES!$J$5:$J$228,0)-1,0),0)</f>
        <v>0</v>
      </c>
      <c r="X602" s="9">
        <f ca="1">IFERROR(OFFSET(ITEM_RES!$A$5,MATCH(BUILDING!W602,ITEM_RES!$J$5:$J$228,0)-1,0),0)</f>
        <v>0</v>
      </c>
      <c r="Z602" s="9" t="s">
        <v>396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466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384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IFERROR(OFFSET(ITEM_RES!$A$5,MATCH(BUILDING!T603,ITEM_RES!$J$5:$J$228,0)-1,0),0)</f>
        <v>0</v>
      </c>
      <c r="X603" s="9">
        <f ca="1">IFERROR(OFFSET(ITEM_RES!$A$5,MATCH(BUILDING!W603,ITEM_RES!$J$5:$J$228,0)-1,0),0)</f>
        <v>0</v>
      </c>
      <c r="Z603" s="9" t="s">
        <v>396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466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384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IFERROR(OFFSET(ITEM_RES!$A$5,MATCH(BUILDING!T604,ITEM_RES!$J$5:$J$228,0)-1,0),0)</f>
        <v>0</v>
      </c>
      <c r="X604" s="9">
        <f ca="1">IFERROR(OFFSET(ITEM_RES!$A$5,MATCH(BUILDING!W604,ITEM_RES!$J$5:$J$228,0)-1,0),0)</f>
        <v>0</v>
      </c>
      <c r="Z604" s="9" t="s">
        <v>396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466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213011801</v>
      </c>
      <c r="BF604" s="10" t="s">
        <v>510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79"/>
      <c r="H605" s="16"/>
      <c r="I605" s="16"/>
      <c r="J605" s="79"/>
      <c r="K605" s="16"/>
      <c r="L605" s="16"/>
      <c r="M605" s="16"/>
      <c r="N605" s="16"/>
      <c r="O605" s="17"/>
      <c r="P605" s="17"/>
      <c r="Q605" s="18"/>
      <c r="R605" s="16"/>
      <c r="S605" s="79"/>
      <c r="T605" s="87"/>
      <c r="U605" s="16"/>
      <c r="V605" s="18"/>
      <c r="W605" s="87"/>
      <c r="X605" s="16"/>
      <c r="Y605" s="79"/>
      <c r="Z605" s="16"/>
      <c r="AA605" s="16"/>
      <c r="AB605" s="79"/>
      <c r="AC605" s="16"/>
      <c r="AD605" s="79"/>
      <c r="AE605" s="57"/>
      <c r="AF605" s="17"/>
      <c r="AG605" s="79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T107"/>
  <sheetViews>
    <sheetView zoomScale="90" zoomScaleNormal="90" workbookViewId="0">
      <selection activeCell="N29" sqref="N29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9.875" style="36" bestFit="1" customWidth="1"/>
    <col min="13" max="13" width="9.875" style="36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5" customWidth="1"/>
    <col min="18" max="18" width="11.875" style="35" bestFit="1" customWidth="1"/>
    <col min="19" max="19" width="5.75" style="75" bestFit="1" customWidth="1"/>
    <col min="20" max="20" width="10.25" style="35" bestFit="1" customWidth="1"/>
    <col min="21" max="16384" width="8.75" style="34"/>
  </cols>
  <sheetData>
    <row r="1" spans="1:20" x14ac:dyDescent="0.15">
      <c r="A1" s="14" t="s">
        <v>59</v>
      </c>
      <c r="G1" s="70"/>
      <c r="H1" s="35" t="s">
        <v>60</v>
      </c>
      <c r="I1" s="70"/>
      <c r="J1" s="35" t="s">
        <v>60</v>
      </c>
      <c r="N1" s="34" t="s">
        <v>60</v>
      </c>
      <c r="O1" s="35" t="s">
        <v>60</v>
      </c>
      <c r="P1" s="35" t="s">
        <v>60</v>
      </c>
      <c r="Q1" s="70"/>
      <c r="R1" s="35" t="s">
        <v>60</v>
      </c>
      <c r="S1" s="70"/>
      <c r="T1" s="1" t="s">
        <v>60</v>
      </c>
    </row>
    <row r="2" spans="1:20" x14ac:dyDescent="0.15">
      <c r="A2" s="14" t="s">
        <v>61</v>
      </c>
      <c r="G2" s="70"/>
      <c r="H2" s="35" t="s">
        <v>61</v>
      </c>
      <c r="I2" s="70"/>
      <c r="J2" s="35" t="s">
        <v>62</v>
      </c>
      <c r="N2" s="34" t="s">
        <v>62</v>
      </c>
      <c r="O2" s="35" t="s">
        <v>62</v>
      </c>
      <c r="P2" s="35" t="s">
        <v>62</v>
      </c>
      <c r="Q2" s="70"/>
      <c r="R2" s="35" t="s">
        <v>62</v>
      </c>
      <c r="S2" s="70"/>
      <c r="T2" s="1" t="s">
        <v>61</v>
      </c>
    </row>
    <row r="3" spans="1:20" x14ac:dyDescent="0.15">
      <c r="A3" s="14" t="s">
        <v>217</v>
      </c>
      <c r="G3" s="70"/>
      <c r="H3" s="35" t="s">
        <v>343</v>
      </c>
      <c r="I3" s="70"/>
      <c r="J3" s="35" t="s">
        <v>338</v>
      </c>
      <c r="N3" s="34" t="s">
        <v>322</v>
      </c>
      <c r="O3" s="35" t="s">
        <v>347</v>
      </c>
      <c r="P3" s="35" t="s">
        <v>324</v>
      </c>
      <c r="Q3" s="70"/>
      <c r="R3" s="35" t="s">
        <v>439</v>
      </c>
      <c r="S3" s="70"/>
      <c r="T3" s="1" t="s">
        <v>336</v>
      </c>
    </row>
    <row r="4" spans="1:20" s="80" customFormat="1" ht="83.25" thickBot="1" x14ac:dyDescent="0.2">
      <c r="A4" s="80" t="s">
        <v>337</v>
      </c>
      <c r="B4" s="81" t="s">
        <v>430</v>
      </c>
      <c r="C4" s="81" t="s">
        <v>658</v>
      </c>
      <c r="D4" s="81" t="s">
        <v>659</v>
      </c>
      <c r="E4" s="81" t="s">
        <v>431</v>
      </c>
      <c r="F4" s="81" t="s">
        <v>432</v>
      </c>
      <c r="G4" s="71" t="s">
        <v>355</v>
      </c>
      <c r="H4" s="82" t="s">
        <v>344</v>
      </c>
      <c r="I4" s="71" t="s">
        <v>354</v>
      </c>
      <c r="J4" s="82" t="s">
        <v>428</v>
      </c>
      <c r="K4" s="83" t="s">
        <v>425</v>
      </c>
      <c r="L4" s="83" t="s">
        <v>426</v>
      </c>
      <c r="M4" s="83"/>
      <c r="N4" s="80" t="s">
        <v>323</v>
      </c>
      <c r="O4" s="82" t="s">
        <v>348</v>
      </c>
      <c r="P4" s="82" t="s">
        <v>325</v>
      </c>
      <c r="Q4" s="71" t="s">
        <v>664</v>
      </c>
      <c r="R4" s="80" t="s">
        <v>588</v>
      </c>
      <c r="S4" s="71" t="s">
        <v>346</v>
      </c>
      <c r="T4" s="2" t="s">
        <v>429</v>
      </c>
    </row>
    <row r="5" spans="1:20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398</v>
      </c>
      <c r="K5" s="39" t="s">
        <v>424</v>
      </c>
      <c r="L5" s="39" t="s">
        <v>421</v>
      </c>
      <c r="M5" s="39">
        <v>1</v>
      </c>
      <c r="N5" s="37" t="s">
        <v>866</v>
      </c>
      <c r="O5" s="38"/>
      <c r="P5" s="38" t="s">
        <v>781</v>
      </c>
      <c r="Q5" s="73"/>
      <c r="R5" s="38">
        <v>10</v>
      </c>
      <c r="S5" s="73"/>
      <c r="T5" s="38">
        <v>1</v>
      </c>
    </row>
    <row r="6" spans="1:20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399</v>
      </c>
      <c r="K6" s="39" t="s">
        <v>424</v>
      </c>
      <c r="L6" s="39" t="s">
        <v>421</v>
      </c>
      <c r="M6" s="39">
        <v>1</v>
      </c>
      <c r="N6" s="69" t="s">
        <v>867</v>
      </c>
      <c r="O6" s="62"/>
      <c r="P6" s="38" t="s">
        <v>782</v>
      </c>
      <c r="Q6" s="76"/>
      <c r="R6" s="62">
        <v>10</v>
      </c>
      <c r="S6" s="76"/>
      <c r="T6" s="62">
        <v>1</v>
      </c>
    </row>
    <row r="7" spans="1:20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400</v>
      </c>
      <c r="K7" s="39" t="s">
        <v>424</v>
      </c>
      <c r="L7" s="39" t="s">
        <v>421</v>
      </c>
      <c r="M7" s="39">
        <v>1</v>
      </c>
      <c r="N7" s="69" t="s">
        <v>868</v>
      </c>
      <c r="O7" s="62"/>
      <c r="P7" s="38" t="s">
        <v>783</v>
      </c>
      <c r="Q7" s="76"/>
      <c r="R7" s="62">
        <v>10</v>
      </c>
      <c r="S7" s="76"/>
      <c r="T7" s="62">
        <v>1</v>
      </c>
    </row>
    <row r="8" spans="1:20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474</v>
      </c>
      <c r="K8" s="39" t="s">
        <v>461</v>
      </c>
      <c r="L8" s="39" t="s">
        <v>475</v>
      </c>
      <c r="M8" s="39">
        <v>1</v>
      </c>
      <c r="N8" s="69" t="s">
        <v>869</v>
      </c>
      <c r="O8" s="62"/>
      <c r="P8" s="38" t="s">
        <v>784</v>
      </c>
      <c r="Q8" s="76"/>
      <c r="R8" s="62">
        <v>10</v>
      </c>
      <c r="S8" s="76"/>
      <c r="T8" s="62"/>
    </row>
    <row r="9" spans="1:20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401</v>
      </c>
      <c r="K9" s="39" t="s">
        <v>424</v>
      </c>
      <c r="L9" s="39" t="s">
        <v>421</v>
      </c>
      <c r="M9" s="39">
        <v>1</v>
      </c>
      <c r="N9" s="69" t="s">
        <v>870</v>
      </c>
      <c r="O9" s="62"/>
      <c r="P9" s="38" t="s">
        <v>785</v>
      </c>
      <c r="Q9" s="76"/>
      <c r="R9" s="38">
        <v>10</v>
      </c>
      <c r="S9" s="76"/>
      <c r="T9" s="62">
        <v>1</v>
      </c>
    </row>
    <row r="10" spans="1:20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560</v>
      </c>
      <c r="K10" s="39" t="s">
        <v>424</v>
      </c>
      <c r="L10" s="39" t="s">
        <v>421</v>
      </c>
      <c r="M10" s="39">
        <v>1</v>
      </c>
      <c r="N10" s="34" t="s">
        <v>871</v>
      </c>
      <c r="P10" s="38" t="s">
        <v>786</v>
      </c>
      <c r="R10" s="62">
        <v>10</v>
      </c>
      <c r="T10" s="35">
        <v>1</v>
      </c>
    </row>
    <row r="11" spans="1:20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473</v>
      </c>
      <c r="K11" s="39" t="s">
        <v>421</v>
      </c>
      <c r="L11" s="39"/>
      <c r="M11" s="39">
        <v>1</v>
      </c>
      <c r="N11" s="34" t="s">
        <v>872</v>
      </c>
      <c r="P11" s="38" t="s">
        <v>787</v>
      </c>
      <c r="R11" s="62">
        <v>10</v>
      </c>
      <c r="T11" s="35">
        <v>1</v>
      </c>
    </row>
    <row r="12" spans="1:20" x14ac:dyDescent="0.15">
      <c r="A12" s="34">
        <f t="shared" ref="A12:A56" si="2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420</v>
      </c>
      <c r="K12" s="39" t="s">
        <v>421</v>
      </c>
      <c r="M12" s="36">
        <v>1</v>
      </c>
      <c r="N12" s="34" t="s">
        <v>873</v>
      </c>
      <c r="P12" s="38" t="s">
        <v>788</v>
      </c>
      <c r="R12" s="62">
        <v>10</v>
      </c>
      <c r="T12" s="35">
        <v>1</v>
      </c>
    </row>
    <row r="13" spans="1:20" x14ac:dyDescent="0.15">
      <c r="A13" s="34">
        <f t="shared" si="2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405</v>
      </c>
      <c r="K13" s="36" t="s">
        <v>421</v>
      </c>
      <c r="M13" s="36">
        <v>1</v>
      </c>
      <c r="N13" s="34" t="s">
        <v>874</v>
      </c>
      <c r="P13" s="38" t="s">
        <v>789</v>
      </c>
      <c r="R13" s="62">
        <v>10</v>
      </c>
      <c r="T13" s="35">
        <v>1</v>
      </c>
    </row>
    <row r="14" spans="1:20" x14ac:dyDescent="0.15">
      <c r="A14" s="34">
        <f t="shared" si="2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407</v>
      </c>
      <c r="K14" s="36" t="s">
        <v>421</v>
      </c>
      <c r="M14" s="36">
        <v>1</v>
      </c>
      <c r="N14" s="34" t="s">
        <v>875</v>
      </c>
      <c r="P14" s="38" t="s">
        <v>790</v>
      </c>
      <c r="R14" s="38">
        <v>10</v>
      </c>
      <c r="T14" s="35">
        <v>1</v>
      </c>
    </row>
    <row r="15" spans="1:20" x14ac:dyDescent="0.15">
      <c r="A15" s="34">
        <f t="shared" ref="A15" si="3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4">H15</f>
        <v>1</v>
      </c>
      <c r="G15" s="73"/>
      <c r="H15" s="62">
        <v>1</v>
      </c>
      <c r="J15" s="35" t="s">
        <v>528</v>
      </c>
      <c r="K15" s="36" t="s">
        <v>529</v>
      </c>
      <c r="L15" s="36" t="s">
        <v>530</v>
      </c>
      <c r="N15" s="34" t="s">
        <v>876</v>
      </c>
      <c r="P15" s="38" t="s">
        <v>791</v>
      </c>
      <c r="R15" s="62">
        <v>10</v>
      </c>
      <c r="T15" s="35">
        <v>1</v>
      </c>
    </row>
    <row r="16" spans="1:20" x14ac:dyDescent="0.15">
      <c r="A16" s="34">
        <f t="shared" si="2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410</v>
      </c>
      <c r="K16" s="36" t="s">
        <v>421</v>
      </c>
      <c r="M16" s="36">
        <v>1</v>
      </c>
      <c r="N16" s="34" t="s">
        <v>877</v>
      </c>
      <c r="P16" s="38" t="s">
        <v>792</v>
      </c>
      <c r="R16" s="62">
        <v>500</v>
      </c>
      <c r="T16" s="35">
        <v>1</v>
      </c>
    </row>
    <row r="17" spans="1:20" x14ac:dyDescent="0.15">
      <c r="A17" s="34">
        <f t="shared" si="2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411</v>
      </c>
      <c r="K17" s="36" t="s">
        <v>421</v>
      </c>
      <c r="M17" s="36">
        <v>1</v>
      </c>
      <c r="N17" s="34" t="s">
        <v>878</v>
      </c>
      <c r="P17" s="38" t="s">
        <v>793</v>
      </c>
      <c r="R17" s="38">
        <v>1000</v>
      </c>
      <c r="T17" s="35">
        <v>1</v>
      </c>
    </row>
    <row r="18" spans="1:20" x14ac:dyDescent="0.15">
      <c r="A18" s="34">
        <f t="shared" si="2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412</v>
      </c>
      <c r="K18" s="36" t="s">
        <v>421</v>
      </c>
      <c r="M18" s="36">
        <v>1</v>
      </c>
      <c r="N18" s="34" t="s">
        <v>878</v>
      </c>
      <c r="P18" s="38" t="s">
        <v>794</v>
      </c>
      <c r="R18" s="38">
        <v>1000</v>
      </c>
      <c r="T18" s="35">
        <v>1</v>
      </c>
    </row>
    <row r="19" spans="1:20" x14ac:dyDescent="0.15">
      <c r="A19" s="34">
        <f t="shared" si="2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413</v>
      </c>
      <c r="K19" s="36" t="s">
        <v>421</v>
      </c>
      <c r="M19" s="36">
        <v>1</v>
      </c>
      <c r="N19" s="34" t="s">
        <v>878</v>
      </c>
      <c r="P19" s="38" t="s">
        <v>795</v>
      </c>
      <c r="R19" s="38">
        <v>1000</v>
      </c>
      <c r="T19" s="35">
        <v>1</v>
      </c>
    </row>
    <row r="20" spans="1:20" x14ac:dyDescent="0.15">
      <c r="A20" s="34">
        <f t="shared" si="2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479</v>
      </c>
      <c r="K20" s="36" t="s">
        <v>475</v>
      </c>
      <c r="M20" s="36">
        <v>1</v>
      </c>
      <c r="N20" s="34" t="s">
        <v>877</v>
      </c>
      <c r="P20" s="38" t="s">
        <v>796</v>
      </c>
      <c r="R20" s="38">
        <v>1000</v>
      </c>
      <c r="T20" s="35">
        <v>1</v>
      </c>
    </row>
    <row r="21" spans="1:20" x14ac:dyDescent="0.15">
      <c r="A21" s="34">
        <f t="shared" si="2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5">H21</f>
        <v>1</v>
      </c>
      <c r="G21" s="73"/>
      <c r="H21" s="62">
        <v>1</v>
      </c>
      <c r="J21" s="35" t="s">
        <v>480</v>
      </c>
      <c r="K21" s="36" t="s">
        <v>475</v>
      </c>
      <c r="M21" s="36">
        <v>1</v>
      </c>
      <c r="N21" s="34" t="s">
        <v>877</v>
      </c>
      <c r="P21" s="38" t="s">
        <v>797</v>
      </c>
      <c r="R21" s="38">
        <v>1000</v>
      </c>
      <c r="T21" s="35">
        <v>1</v>
      </c>
    </row>
    <row r="22" spans="1:20" x14ac:dyDescent="0.15">
      <c r="A22" s="34">
        <f t="shared" si="2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5"/>
        <v>1</v>
      </c>
      <c r="G22" s="73"/>
      <c r="H22" s="62">
        <v>1</v>
      </c>
      <c r="J22" s="35" t="s">
        <v>481</v>
      </c>
      <c r="K22" s="36" t="s">
        <v>475</v>
      </c>
      <c r="M22" s="36">
        <v>1</v>
      </c>
      <c r="N22" s="34" t="s">
        <v>877</v>
      </c>
      <c r="P22" s="38" t="s">
        <v>798</v>
      </c>
      <c r="R22" s="38">
        <v>1000</v>
      </c>
      <c r="T22" s="35">
        <v>1</v>
      </c>
    </row>
    <row r="23" spans="1:20" x14ac:dyDescent="0.15">
      <c r="A23" s="34">
        <f t="shared" si="2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5"/>
        <v>1</v>
      </c>
      <c r="G23" s="73"/>
      <c r="H23" s="62">
        <v>1</v>
      </c>
      <c r="J23" s="35" t="s">
        <v>488</v>
      </c>
      <c r="K23" s="36" t="s">
        <v>475</v>
      </c>
      <c r="M23" s="36">
        <v>1</v>
      </c>
      <c r="N23" s="34" t="s">
        <v>877</v>
      </c>
      <c r="P23" s="38" t="s">
        <v>799</v>
      </c>
      <c r="R23" s="38">
        <v>1000</v>
      </c>
      <c r="T23" s="35">
        <v>1</v>
      </c>
    </row>
    <row r="24" spans="1:20" x14ac:dyDescent="0.15">
      <c r="A24" s="34">
        <f t="shared" si="2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5"/>
        <v>1</v>
      </c>
      <c r="G24" s="73"/>
      <c r="H24" s="62">
        <v>1</v>
      </c>
      <c r="J24" s="35" t="s">
        <v>482</v>
      </c>
      <c r="K24" s="36" t="s">
        <v>475</v>
      </c>
      <c r="M24" s="36">
        <v>1</v>
      </c>
      <c r="N24" s="34" t="s">
        <v>877</v>
      </c>
      <c r="P24" s="38" t="s">
        <v>801</v>
      </c>
      <c r="R24" s="38">
        <v>1000</v>
      </c>
      <c r="T24" s="35">
        <v>1</v>
      </c>
    </row>
    <row r="25" spans="1:20" x14ac:dyDescent="0.15">
      <c r="A25" s="34">
        <f t="shared" si="2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5"/>
        <v>1</v>
      </c>
      <c r="G25" s="73"/>
      <c r="H25" s="62">
        <v>1</v>
      </c>
      <c r="J25" s="35" t="s">
        <v>483</v>
      </c>
      <c r="K25" s="36" t="s">
        <v>475</v>
      </c>
      <c r="M25" s="36">
        <v>1</v>
      </c>
      <c r="N25" s="34" t="s">
        <v>877</v>
      </c>
      <c r="P25" s="38" t="s">
        <v>800</v>
      </c>
      <c r="R25" s="38">
        <v>1000</v>
      </c>
      <c r="T25" s="35">
        <v>1</v>
      </c>
    </row>
    <row r="26" spans="1:20" x14ac:dyDescent="0.15">
      <c r="A26" s="34">
        <f t="shared" si="2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5"/>
        <v>1</v>
      </c>
      <c r="G26" s="73"/>
      <c r="H26" s="62">
        <v>1</v>
      </c>
      <c r="J26" s="35" t="s">
        <v>484</v>
      </c>
      <c r="K26" s="36" t="s">
        <v>475</v>
      </c>
      <c r="M26" s="36">
        <v>1</v>
      </c>
      <c r="N26" s="34" t="s">
        <v>877</v>
      </c>
      <c r="P26" s="38" t="s">
        <v>802</v>
      </c>
      <c r="R26" s="38">
        <v>1000</v>
      </c>
      <c r="T26" s="35">
        <v>1</v>
      </c>
    </row>
    <row r="27" spans="1:20" x14ac:dyDescent="0.15">
      <c r="A27" s="34">
        <f t="shared" si="2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5"/>
        <v>1</v>
      </c>
      <c r="G27" s="73"/>
      <c r="H27" s="62">
        <v>1</v>
      </c>
      <c r="J27" s="35" t="s">
        <v>494</v>
      </c>
      <c r="K27" s="36" t="s">
        <v>475</v>
      </c>
      <c r="M27" s="36">
        <v>1</v>
      </c>
      <c r="N27" s="34" t="s">
        <v>877</v>
      </c>
      <c r="P27" s="38" t="s">
        <v>803</v>
      </c>
      <c r="R27" s="38">
        <v>1000</v>
      </c>
      <c r="T27" s="35">
        <v>1</v>
      </c>
    </row>
    <row r="28" spans="1:20" x14ac:dyDescent="0.15">
      <c r="A28" s="34">
        <f t="shared" si="2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5"/>
        <v>1</v>
      </c>
      <c r="G28" s="73"/>
      <c r="H28" s="62">
        <v>1</v>
      </c>
      <c r="J28" s="35" t="s">
        <v>498</v>
      </c>
      <c r="K28" s="36" t="s">
        <v>475</v>
      </c>
      <c r="M28" s="36">
        <v>1</v>
      </c>
      <c r="N28" s="34" t="s">
        <v>877</v>
      </c>
      <c r="P28" s="38" t="s">
        <v>804</v>
      </c>
      <c r="R28" s="38">
        <v>1000</v>
      </c>
      <c r="T28" s="35">
        <v>1</v>
      </c>
    </row>
    <row r="29" spans="1:20" x14ac:dyDescent="0.15">
      <c r="A29" s="34">
        <f t="shared" si="2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5"/>
        <v>1</v>
      </c>
      <c r="G29" s="73"/>
      <c r="H29" s="62">
        <v>1</v>
      </c>
      <c r="J29" s="35" t="s">
        <v>499</v>
      </c>
      <c r="K29" s="36" t="s">
        <v>475</v>
      </c>
      <c r="M29" s="36">
        <v>1</v>
      </c>
      <c r="N29" s="34" t="s">
        <v>877</v>
      </c>
      <c r="P29" s="38" t="s">
        <v>805</v>
      </c>
      <c r="R29" s="38">
        <v>1000</v>
      </c>
      <c r="T29" s="35">
        <v>1</v>
      </c>
    </row>
    <row r="30" spans="1:20" x14ac:dyDescent="0.15">
      <c r="A30" s="34">
        <f t="shared" si="2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5"/>
        <v>1</v>
      </c>
      <c r="G30" s="73"/>
      <c r="H30" s="62">
        <v>1</v>
      </c>
      <c r="J30" s="35" t="s">
        <v>504</v>
      </c>
      <c r="K30" s="36" t="s">
        <v>475</v>
      </c>
      <c r="M30" s="36">
        <v>1</v>
      </c>
      <c r="N30" s="34" t="s">
        <v>877</v>
      </c>
      <c r="P30" s="38" t="s">
        <v>806</v>
      </c>
      <c r="R30" s="38">
        <v>1000</v>
      </c>
      <c r="T30" s="35">
        <v>1</v>
      </c>
    </row>
    <row r="31" spans="1:20" x14ac:dyDescent="0.15">
      <c r="A31" s="34">
        <f t="shared" si="2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5"/>
        <v>1</v>
      </c>
      <c r="G31" s="73"/>
      <c r="H31" s="62">
        <v>1</v>
      </c>
      <c r="J31" s="35" t="s">
        <v>512</v>
      </c>
      <c r="K31" s="36" t="s">
        <v>475</v>
      </c>
      <c r="M31" s="36">
        <v>1</v>
      </c>
      <c r="N31" s="34" t="s">
        <v>877</v>
      </c>
      <c r="P31" s="38" t="s">
        <v>807</v>
      </c>
      <c r="R31" s="38">
        <v>1000</v>
      </c>
      <c r="T31" s="35">
        <v>1</v>
      </c>
    </row>
    <row r="32" spans="1:20" x14ac:dyDescent="0.15">
      <c r="A32" s="34">
        <f t="shared" si="2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5"/>
        <v>1</v>
      </c>
      <c r="G32" s="73"/>
      <c r="H32" s="62">
        <v>1</v>
      </c>
      <c r="J32" s="35" t="s">
        <v>506</v>
      </c>
      <c r="K32" s="36" t="s">
        <v>475</v>
      </c>
      <c r="M32" s="36">
        <v>1</v>
      </c>
      <c r="N32" s="34" t="s">
        <v>877</v>
      </c>
      <c r="P32" s="38" t="s">
        <v>808</v>
      </c>
      <c r="R32" s="38">
        <v>1000</v>
      </c>
      <c r="T32" s="35">
        <v>1</v>
      </c>
    </row>
    <row r="33" spans="1:20" x14ac:dyDescent="0.15">
      <c r="A33" s="34">
        <f t="shared" si="2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5"/>
        <v>1</v>
      </c>
      <c r="G33" s="73"/>
      <c r="H33" s="62">
        <v>1</v>
      </c>
      <c r="J33" s="35" t="s">
        <v>507</v>
      </c>
      <c r="K33" s="36" t="s">
        <v>475</v>
      </c>
      <c r="M33" s="36">
        <v>1</v>
      </c>
      <c r="N33" s="34" t="s">
        <v>877</v>
      </c>
      <c r="P33" s="38" t="s">
        <v>809</v>
      </c>
      <c r="Q33" s="88" t="s">
        <v>531</v>
      </c>
      <c r="R33" s="38">
        <v>1000</v>
      </c>
      <c r="T33" s="35">
        <v>1</v>
      </c>
    </row>
    <row r="34" spans="1:20" x14ac:dyDescent="0.15">
      <c r="A34" s="34">
        <f t="shared" si="2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5"/>
        <v>1</v>
      </c>
      <c r="G34" s="73"/>
      <c r="H34" s="62">
        <v>1</v>
      </c>
      <c r="J34" s="35" t="s">
        <v>509</v>
      </c>
      <c r="K34" s="36" t="s">
        <v>475</v>
      </c>
      <c r="M34" s="36">
        <v>1</v>
      </c>
      <c r="N34" s="34" t="s">
        <v>877</v>
      </c>
      <c r="P34" s="38" t="s">
        <v>810</v>
      </c>
      <c r="R34" s="38">
        <v>1000</v>
      </c>
      <c r="T34" s="35">
        <v>1</v>
      </c>
    </row>
    <row r="35" spans="1:20" x14ac:dyDescent="0.15">
      <c r="A35" s="34">
        <f t="shared" si="2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5"/>
        <v>1</v>
      </c>
      <c r="G35" s="73"/>
      <c r="H35" s="62">
        <v>1</v>
      </c>
      <c r="J35" s="35" t="s">
        <v>518</v>
      </c>
      <c r="K35" s="36" t="s">
        <v>527</v>
      </c>
      <c r="M35" s="36">
        <v>1</v>
      </c>
      <c r="P35" s="38" t="s">
        <v>811</v>
      </c>
      <c r="R35" s="38">
        <v>10</v>
      </c>
      <c r="T35" s="35">
        <v>1</v>
      </c>
    </row>
    <row r="36" spans="1:20" x14ac:dyDescent="0.15">
      <c r="A36" s="34">
        <f t="shared" si="2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5"/>
        <v>1</v>
      </c>
      <c r="G36" s="73"/>
      <c r="H36" s="62">
        <v>1</v>
      </c>
      <c r="J36" s="35" t="s">
        <v>519</v>
      </c>
      <c r="K36" s="36" t="s">
        <v>527</v>
      </c>
      <c r="M36" s="36">
        <v>1</v>
      </c>
      <c r="P36" s="38" t="s">
        <v>811</v>
      </c>
      <c r="R36" s="38">
        <v>100</v>
      </c>
      <c r="T36" s="35">
        <v>1</v>
      </c>
    </row>
    <row r="37" spans="1:20" x14ac:dyDescent="0.15">
      <c r="A37" s="34">
        <f t="shared" si="2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5"/>
        <v>1</v>
      </c>
      <c r="G37" s="73"/>
      <c r="H37" s="62">
        <v>1</v>
      </c>
      <c r="J37" s="35" t="s">
        <v>520</v>
      </c>
      <c r="K37" s="36" t="s">
        <v>527</v>
      </c>
      <c r="M37" s="36">
        <v>1</v>
      </c>
      <c r="P37" s="38" t="s">
        <v>811</v>
      </c>
      <c r="R37" s="38">
        <v>1000</v>
      </c>
      <c r="T37" s="35">
        <v>1</v>
      </c>
    </row>
    <row r="38" spans="1:20" x14ac:dyDescent="0.15">
      <c r="A38" s="34">
        <f t="shared" si="2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5"/>
        <v>1</v>
      </c>
      <c r="G38" s="73"/>
      <c r="H38" s="62">
        <v>1</v>
      </c>
      <c r="J38" s="35" t="s">
        <v>414</v>
      </c>
      <c r="K38" s="36" t="s">
        <v>421</v>
      </c>
      <c r="M38" s="36">
        <v>1</v>
      </c>
      <c r="P38" s="38" t="s">
        <v>812</v>
      </c>
      <c r="R38" s="38">
        <v>10</v>
      </c>
      <c r="T38" s="35">
        <v>1</v>
      </c>
    </row>
    <row r="39" spans="1:20" x14ac:dyDescent="0.15">
      <c r="A39" s="34">
        <f t="shared" si="2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5"/>
        <v>1</v>
      </c>
      <c r="G39" s="73"/>
      <c r="H39" s="38">
        <v>1</v>
      </c>
      <c r="J39" s="35" t="s">
        <v>415</v>
      </c>
      <c r="K39" s="36" t="s">
        <v>421</v>
      </c>
      <c r="M39" s="36">
        <v>1</v>
      </c>
      <c r="P39" s="38" t="s">
        <v>813</v>
      </c>
      <c r="R39" s="38">
        <v>100</v>
      </c>
      <c r="T39" s="35">
        <v>1</v>
      </c>
    </row>
    <row r="40" spans="1:20" x14ac:dyDescent="0.15">
      <c r="A40" s="34">
        <f t="shared" si="2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5"/>
        <v>1</v>
      </c>
      <c r="G40" s="73"/>
      <c r="H40" s="62">
        <v>1</v>
      </c>
      <c r="J40" s="35" t="s">
        <v>416</v>
      </c>
      <c r="K40" s="36" t="s">
        <v>421</v>
      </c>
      <c r="M40" s="36">
        <v>1</v>
      </c>
      <c r="P40" s="38" t="s">
        <v>814</v>
      </c>
      <c r="R40" s="38">
        <v>1000</v>
      </c>
      <c r="T40" s="35">
        <v>1</v>
      </c>
    </row>
    <row r="41" spans="1:20" x14ac:dyDescent="0.15">
      <c r="A41" s="34">
        <f t="shared" si="2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5"/>
        <v>1</v>
      </c>
      <c r="G41" s="73"/>
      <c r="H41" s="62">
        <v>1</v>
      </c>
      <c r="J41" s="35" t="s">
        <v>417</v>
      </c>
      <c r="K41" s="36" t="s">
        <v>421</v>
      </c>
      <c r="M41" s="36">
        <v>1</v>
      </c>
      <c r="P41" s="38" t="s">
        <v>815</v>
      </c>
      <c r="R41" s="38">
        <v>10</v>
      </c>
      <c r="T41" s="35">
        <v>1</v>
      </c>
    </row>
    <row r="42" spans="1:20" x14ac:dyDescent="0.15">
      <c r="A42" s="34">
        <f t="shared" si="2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5"/>
        <v>1</v>
      </c>
      <c r="G42" s="73"/>
      <c r="H42" s="62">
        <v>1</v>
      </c>
      <c r="J42" s="35" t="s">
        <v>418</v>
      </c>
      <c r="K42" s="36" t="s">
        <v>421</v>
      </c>
      <c r="M42" s="36">
        <v>1</v>
      </c>
      <c r="P42" s="38" t="s">
        <v>816</v>
      </c>
      <c r="R42" s="38">
        <v>100</v>
      </c>
      <c r="T42" s="35">
        <v>1</v>
      </c>
    </row>
    <row r="43" spans="1:20" x14ac:dyDescent="0.15">
      <c r="A43" s="34">
        <f t="shared" si="2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5"/>
        <v>1</v>
      </c>
      <c r="G43" s="73"/>
      <c r="H43" s="38">
        <v>1</v>
      </c>
      <c r="J43" s="35" t="s">
        <v>419</v>
      </c>
      <c r="K43" s="36" t="s">
        <v>421</v>
      </c>
      <c r="M43" s="36">
        <v>1</v>
      </c>
      <c r="P43" s="38" t="s">
        <v>817</v>
      </c>
      <c r="R43" s="38">
        <v>1000</v>
      </c>
      <c r="T43" s="35">
        <v>1</v>
      </c>
    </row>
    <row r="44" spans="1:20" x14ac:dyDescent="0.15">
      <c r="A44" s="34">
        <f t="shared" ref="A44:A46" si="6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5"/>
        <v>1</v>
      </c>
      <c r="G44" s="73"/>
      <c r="H44" s="62">
        <v>1</v>
      </c>
      <c r="J44" s="35" t="s">
        <v>521</v>
      </c>
      <c r="K44" s="36" t="s">
        <v>421</v>
      </c>
      <c r="M44" s="36">
        <v>1</v>
      </c>
      <c r="P44" s="38" t="s">
        <v>818</v>
      </c>
      <c r="R44" s="38">
        <v>10</v>
      </c>
      <c r="T44" s="35">
        <v>1</v>
      </c>
    </row>
    <row r="45" spans="1:20" x14ac:dyDescent="0.15">
      <c r="A45" s="34">
        <f t="shared" si="6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5"/>
        <v>1</v>
      </c>
      <c r="G45" s="73"/>
      <c r="H45" s="62">
        <v>1</v>
      </c>
      <c r="J45" s="35" t="s">
        <v>522</v>
      </c>
      <c r="K45" s="36" t="s">
        <v>421</v>
      </c>
      <c r="M45" s="36">
        <v>1</v>
      </c>
      <c r="P45" s="38" t="s">
        <v>819</v>
      </c>
      <c r="R45" s="38">
        <v>100</v>
      </c>
      <c r="T45" s="35">
        <v>1</v>
      </c>
    </row>
    <row r="46" spans="1:20" x14ac:dyDescent="0.15">
      <c r="A46" s="34">
        <f t="shared" si="6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5"/>
        <v>1</v>
      </c>
      <c r="G46" s="73"/>
      <c r="H46" s="38">
        <v>1</v>
      </c>
      <c r="J46" s="35" t="s">
        <v>523</v>
      </c>
      <c r="K46" s="36" t="s">
        <v>421</v>
      </c>
      <c r="M46" s="36">
        <v>1</v>
      </c>
      <c r="P46" s="38" t="s">
        <v>820</v>
      </c>
      <c r="R46" s="38">
        <v>1000</v>
      </c>
      <c r="T46" s="35">
        <v>1</v>
      </c>
    </row>
    <row r="47" spans="1:20" x14ac:dyDescent="0.15">
      <c r="A47" s="34">
        <f t="shared" ref="A47:A49" si="7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5"/>
        <v>1</v>
      </c>
      <c r="G47" s="73"/>
      <c r="H47" s="62">
        <v>1</v>
      </c>
      <c r="J47" s="35" t="s">
        <v>524</v>
      </c>
      <c r="K47" s="36" t="s">
        <v>421</v>
      </c>
      <c r="M47" s="36">
        <v>1</v>
      </c>
      <c r="P47" s="38" t="s">
        <v>821</v>
      </c>
      <c r="R47" s="38">
        <v>10</v>
      </c>
      <c r="T47" s="35">
        <v>1</v>
      </c>
    </row>
    <row r="48" spans="1:20" x14ac:dyDescent="0.15">
      <c r="A48" s="34">
        <f t="shared" si="7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5"/>
        <v>1</v>
      </c>
      <c r="G48" s="73"/>
      <c r="H48" s="62">
        <v>1</v>
      </c>
      <c r="J48" s="35" t="s">
        <v>525</v>
      </c>
      <c r="K48" s="36" t="s">
        <v>421</v>
      </c>
      <c r="M48" s="36">
        <v>1</v>
      </c>
      <c r="P48" s="38" t="s">
        <v>822</v>
      </c>
      <c r="R48" s="38">
        <v>100</v>
      </c>
      <c r="T48" s="35">
        <v>1</v>
      </c>
    </row>
    <row r="49" spans="1:20" x14ac:dyDescent="0.15">
      <c r="A49" s="34">
        <f t="shared" si="7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5"/>
        <v>1</v>
      </c>
      <c r="G49" s="73"/>
      <c r="H49" s="38">
        <v>1</v>
      </c>
      <c r="J49" s="35" t="s">
        <v>526</v>
      </c>
      <c r="K49" s="36" t="s">
        <v>421</v>
      </c>
      <c r="M49" s="36">
        <v>1</v>
      </c>
      <c r="P49" s="38" t="s">
        <v>823</v>
      </c>
      <c r="R49" s="38">
        <v>1000</v>
      </c>
      <c r="T49" s="35">
        <v>1</v>
      </c>
    </row>
    <row r="50" spans="1:20" x14ac:dyDescent="0.15">
      <c r="A50" s="34">
        <f t="shared" si="2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5"/>
        <v>1</v>
      </c>
      <c r="G50" s="73"/>
      <c r="H50" s="62">
        <v>1</v>
      </c>
      <c r="J50" s="35" t="s">
        <v>402</v>
      </c>
      <c r="K50" s="36" t="s">
        <v>423</v>
      </c>
      <c r="M50" s="36">
        <v>1</v>
      </c>
      <c r="N50" s="34" t="s">
        <v>879</v>
      </c>
      <c r="P50" s="38" t="s">
        <v>824</v>
      </c>
      <c r="R50" s="38">
        <v>10</v>
      </c>
      <c r="T50" s="35">
        <v>1</v>
      </c>
    </row>
    <row r="51" spans="1:20" x14ac:dyDescent="0.15">
      <c r="A51" s="34">
        <f t="shared" si="2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5"/>
        <v>1</v>
      </c>
      <c r="G51" s="73"/>
      <c r="H51" s="62">
        <v>1</v>
      </c>
      <c r="J51" s="35" t="s">
        <v>404</v>
      </c>
      <c r="K51" s="36" t="s">
        <v>423</v>
      </c>
      <c r="M51" s="36">
        <v>1</v>
      </c>
      <c r="N51" s="34" t="s">
        <v>880</v>
      </c>
      <c r="P51" s="38" t="s">
        <v>825</v>
      </c>
      <c r="R51" s="62">
        <v>10</v>
      </c>
      <c r="T51" s="35">
        <v>1</v>
      </c>
    </row>
    <row r="52" spans="1:20" x14ac:dyDescent="0.15">
      <c r="A52" s="34">
        <f t="shared" si="2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5"/>
        <v>1</v>
      </c>
      <c r="G52" s="73"/>
      <c r="H52" s="62">
        <v>1</v>
      </c>
      <c r="J52" s="35" t="s">
        <v>403</v>
      </c>
      <c r="K52" s="36" t="s">
        <v>422</v>
      </c>
      <c r="M52" s="36">
        <v>1</v>
      </c>
      <c r="N52" s="34" t="s">
        <v>881</v>
      </c>
      <c r="P52" s="38" t="s">
        <v>826</v>
      </c>
      <c r="R52" s="62">
        <v>10</v>
      </c>
      <c r="T52" s="35">
        <v>1</v>
      </c>
    </row>
    <row r="53" spans="1:20" x14ac:dyDescent="0.15">
      <c r="A53" s="34">
        <f t="shared" si="2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5"/>
        <v>1</v>
      </c>
      <c r="G53" s="73"/>
      <c r="H53" s="38">
        <v>1</v>
      </c>
      <c r="J53" s="35" t="s">
        <v>406</v>
      </c>
      <c r="K53" s="36" t="s">
        <v>422</v>
      </c>
      <c r="N53" s="34" t="s">
        <v>882</v>
      </c>
      <c r="P53" s="38" t="s">
        <v>827</v>
      </c>
      <c r="R53" s="38">
        <v>10</v>
      </c>
      <c r="T53" s="35">
        <v>1</v>
      </c>
    </row>
    <row r="54" spans="1:20" x14ac:dyDescent="0.15">
      <c r="A54" s="34">
        <f t="shared" si="2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5"/>
        <v>1</v>
      </c>
      <c r="G54" s="73"/>
      <c r="H54" s="62">
        <v>1</v>
      </c>
      <c r="J54" s="35" t="s">
        <v>408</v>
      </c>
      <c r="K54" s="36" t="s">
        <v>422</v>
      </c>
      <c r="M54" s="36">
        <v>1</v>
      </c>
      <c r="N54" s="34" t="s">
        <v>883</v>
      </c>
      <c r="P54" s="38" t="s">
        <v>828</v>
      </c>
      <c r="R54" s="62">
        <v>10</v>
      </c>
      <c r="T54" s="35">
        <v>1</v>
      </c>
    </row>
    <row r="55" spans="1:20" x14ac:dyDescent="0.15">
      <c r="A55" s="34">
        <f t="shared" si="2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5"/>
        <v>1</v>
      </c>
      <c r="G55" s="73"/>
      <c r="H55" s="62">
        <v>1</v>
      </c>
      <c r="J55" s="35" t="s">
        <v>409</v>
      </c>
      <c r="K55" s="36" t="s">
        <v>422</v>
      </c>
      <c r="M55" s="36">
        <v>1</v>
      </c>
      <c r="N55" s="34" t="s">
        <v>884</v>
      </c>
      <c r="P55" s="38" t="s">
        <v>829</v>
      </c>
      <c r="R55" s="62">
        <v>10</v>
      </c>
      <c r="T55" s="35">
        <v>1</v>
      </c>
    </row>
    <row r="56" spans="1:20" x14ac:dyDescent="0.15">
      <c r="A56" s="34">
        <f t="shared" si="2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5"/>
        <v>1</v>
      </c>
      <c r="G56" s="73"/>
      <c r="H56" s="62">
        <v>1</v>
      </c>
      <c r="J56" s="35" t="s">
        <v>443</v>
      </c>
      <c r="K56" s="36" t="s">
        <v>422</v>
      </c>
      <c r="M56" s="36">
        <v>1</v>
      </c>
      <c r="N56" s="34" t="s">
        <v>885</v>
      </c>
      <c r="P56" s="38" t="s">
        <v>830</v>
      </c>
      <c r="R56" s="38">
        <v>10</v>
      </c>
      <c r="T56" s="35">
        <v>1</v>
      </c>
    </row>
    <row r="57" spans="1:20" x14ac:dyDescent="0.15">
      <c r="G57" s="73"/>
      <c r="P57" s="38" t="s">
        <v>427</v>
      </c>
      <c r="R57" s="62">
        <v>10</v>
      </c>
      <c r="T57" s="35">
        <v>1</v>
      </c>
    </row>
    <row r="58" spans="1:20" x14ac:dyDescent="0.15">
      <c r="G58" s="73"/>
      <c r="P58" s="38" t="s">
        <v>427</v>
      </c>
      <c r="R58" s="38">
        <v>10</v>
      </c>
      <c r="T58" s="35">
        <v>1</v>
      </c>
    </row>
    <row r="59" spans="1:20" x14ac:dyDescent="0.15">
      <c r="G59" s="73"/>
    </row>
    <row r="60" spans="1:20" x14ac:dyDescent="0.15">
      <c r="G60" s="73"/>
    </row>
    <row r="61" spans="1:20" x14ac:dyDescent="0.15">
      <c r="G61" s="73"/>
    </row>
    <row r="62" spans="1:20" x14ac:dyDescent="0.15">
      <c r="G62" s="73"/>
    </row>
    <row r="63" spans="1:20" x14ac:dyDescent="0.15">
      <c r="G63" s="73"/>
    </row>
    <row r="64" spans="1:20" x14ac:dyDescent="0.15">
      <c r="G64" s="73"/>
    </row>
    <row r="65" spans="7:7" x14ac:dyDescent="0.15">
      <c r="G65" s="73"/>
    </row>
    <row r="66" spans="7:7" x14ac:dyDescent="0.15">
      <c r="G66" s="73"/>
    </row>
    <row r="67" spans="7:7" ht="17.25" thickBot="1" x14ac:dyDescent="0.2">
      <c r="G67" s="73"/>
    </row>
    <row r="68" spans="7:7" x14ac:dyDescent="0.15">
      <c r="G68" s="72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x14ac:dyDescent="0.15">
      <c r="G85" s="73"/>
    </row>
    <row r="86" spans="7:7" x14ac:dyDescent="0.15">
      <c r="G86" s="73"/>
    </row>
    <row r="87" spans="7:7" ht="17.25" thickBot="1" x14ac:dyDescent="0.2">
      <c r="G87" s="73"/>
    </row>
    <row r="88" spans="7:7" x14ac:dyDescent="0.15">
      <c r="G88" s="72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x14ac:dyDescent="0.15">
      <c r="G105" s="73"/>
    </row>
    <row r="106" spans="7:7" x14ac:dyDescent="0.15">
      <c r="G106" s="73"/>
    </row>
    <row r="107" spans="7:7" ht="17.25" thickBot="1" x14ac:dyDescent="0.2">
      <c r="G107" s="74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17" sqref="F17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734</v>
      </c>
      <c r="B3" s="56" t="s">
        <v>589</v>
      </c>
    </row>
    <row r="4" spans="1:2" ht="17.25" thickBot="1" x14ac:dyDescent="0.2">
      <c r="A4" s="58" t="s">
        <v>590</v>
      </c>
      <c r="B4" s="58" t="s">
        <v>591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1" sqref="B1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598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734</v>
      </c>
      <c r="B3" s="56" t="s">
        <v>594</v>
      </c>
    </row>
    <row r="4" spans="1:2" ht="17.25" thickBot="1" x14ac:dyDescent="0.2">
      <c r="A4" s="58" t="s">
        <v>592</v>
      </c>
      <c r="B4" s="58" t="s">
        <v>593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2"/>
    <col min="2" max="2" width="15" style="95"/>
    <col min="3" max="3" width="15" style="143"/>
    <col min="4" max="4" width="15" style="95"/>
    <col min="5" max="5" width="15" style="143"/>
    <col min="6" max="16384" width="15" style="95"/>
  </cols>
  <sheetData>
    <row r="1" spans="1:6" x14ac:dyDescent="0.15">
      <c r="A1" s="102" t="s">
        <v>858</v>
      </c>
      <c r="B1" s="95" t="s">
        <v>859</v>
      </c>
      <c r="C1" s="143" t="s">
        <v>859</v>
      </c>
      <c r="D1" s="95" t="s">
        <v>859</v>
      </c>
      <c r="E1" s="143" t="s">
        <v>859</v>
      </c>
      <c r="F1" s="95" t="s">
        <v>859</v>
      </c>
    </row>
    <row r="2" spans="1:6" x14ac:dyDescent="0.15">
      <c r="A2" s="102" t="s">
        <v>860</v>
      </c>
      <c r="B2" s="95" t="s">
        <v>860</v>
      </c>
      <c r="C2" s="143" t="s">
        <v>860</v>
      </c>
      <c r="D2" s="95" t="s">
        <v>860</v>
      </c>
      <c r="E2" s="143" t="s">
        <v>860</v>
      </c>
      <c r="F2" s="95" t="s">
        <v>860</v>
      </c>
    </row>
    <row r="3" spans="1:6" x14ac:dyDescent="0.15">
      <c r="A3" s="102" t="s">
        <v>861</v>
      </c>
      <c r="B3" s="95" t="s">
        <v>854</v>
      </c>
      <c r="C3" s="143" t="s">
        <v>855</v>
      </c>
      <c r="D3" s="95" t="s">
        <v>852</v>
      </c>
      <c r="E3" s="143" t="s">
        <v>853</v>
      </c>
      <c r="F3" s="95" t="s">
        <v>851</v>
      </c>
    </row>
    <row r="4" spans="1:6" ht="22.5" customHeight="1" x14ac:dyDescent="0.15">
      <c r="A4" s="102" t="s">
        <v>857</v>
      </c>
      <c r="B4" s="95" t="s">
        <v>862</v>
      </c>
      <c r="C4" s="143" t="s">
        <v>863</v>
      </c>
      <c r="D4" s="95" t="s">
        <v>864</v>
      </c>
      <c r="E4" s="143" t="s">
        <v>856</v>
      </c>
      <c r="F4" s="95" t="s">
        <v>865</v>
      </c>
    </row>
    <row r="5" spans="1:6" x14ac:dyDescent="0.15">
      <c r="A5" s="102">
        <v>1</v>
      </c>
      <c r="B5" s="95">
        <v>50</v>
      </c>
      <c r="C5" s="143">
        <v>20</v>
      </c>
      <c r="D5" s="95">
        <v>620</v>
      </c>
      <c r="E5" s="143">
        <v>20</v>
      </c>
      <c r="F5" s="95">
        <v>620</v>
      </c>
    </row>
    <row r="6" spans="1:6" x14ac:dyDescent="0.15">
      <c r="A6" s="102">
        <v>2</v>
      </c>
      <c r="B6" s="95">
        <v>50</v>
      </c>
      <c r="C6" s="143">
        <v>20</v>
      </c>
      <c r="D6" s="95">
        <v>620</v>
      </c>
      <c r="E6" s="143">
        <v>20</v>
      </c>
      <c r="F6" s="95">
        <v>620</v>
      </c>
    </row>
    <row r="7" spans="1:6" x14ac:dyDescent="0.15">
      <c r="A7" s="102">
        <v>3</v>
      </c>
      <c r="B7" s="95">
        <v>50</v>
      </c>
      <c r="C7" s="143">
        <v>20</v>
      </c>
      <c r="D7" s="95">
        <v>620</v>
      </c>
      <c r="E7" s="143">
        <v>20</v>
      </c>
      <c r="F7" s="95">
        <v>620</v>
      </c>
    </row>
    <row r="8" spans="1:6" x14ac:dyDescent="0.15">
      <c r="A8" s="102">
        <v>4</v>
      </c>
      <c r="B8" s="95">
        <v>50</v>
      </c>
      <c r="C8" s="143">
        <v>20</v>
      </c>
      <c r="D8" s="95">
        <v>720</v>
      </c>
      <c r="E8" s="143">
        <v>20</v>
      </c>
      <c r="F8" s="95">
        <v>720</v>
      </c>
    </row>
    <row r="9" spans="1:6" x14ac:dyDescent="0.15">
      <c r="A9" s="102">
        <v>5</v>
      </c>
      <c r="B9" s="95">
        <v>50</v>
      </c>
      <c r="C9" s="143">
        <v>20</v>
      </c>
      <c r="D9" s="95">
        <v>2200</v>
      </c>
      <c r="E9" s="143">
        <v>19</v>
      </c>
      <c r="F9" s="95">
        <v>2200</v>
      </c>
    </row>
    <row r="10" spans="1:6" x14ac:dyDescent="0.15">
      <c r="A10" s="102">
        <v>6</v>
      </c>
      <c r="B10" s="95">
        <v>50</v>
      </c>
      <c r="C10" s="143">
        <v>20</v>
      </c>
      <c r="D10" s="95">
        <v>3200</v>
      </c>
      <c r="E10" s="143">
        <v>18</v>
      </c>
      <c r="F10" s="95">
        <v>3200</v>
      </c>
    </row>
    <row r="11" spans="1:6" x14ac:dyDescent="0.15">
      <c r="A11" s="102">
        <v>7</v>
      </c>
      <c r="B11" s="95">
        <v>50</v>
      </c>
      <c r="C11" s="143">
        <v>20</v>
      </c>
      <c r="D11" s="95">
        <v>4000</v>
      </c>
      <c r="E11" s="143">
        <v>16</v>
      </c>
      <c r="F11" s="95">
        <v>4000</v>
      </c>
    </row>
    <row r="12" spans="1:6" x14ac:dyDescent="0.15">
      <c r="A12" s="102">
        <v>8</v>
      </c>
      <c r="B12" s="95">
        <v>50</v>
      </c>
      <c r="C12" s="143">
        <v>20</v>
      </c>
      <c r="D12" s="95">
        <v>4600</v>
      </c>
      <c r="E12" s="143">
        <v>14</v>
      </c>
      <c r="F12" s="95">
        <v>4600</v>
      </c>
    </row>
    <row r="13" spans="1:6" x14ac:dyDescent="0.15">
      <c r="A13" s="102">
        <v>9</v>
      </c>
      <c r="B13" s="95">
        <v>50</v>
      </c>
      <c r="C13" s="143">
        <v>20</v>
      </c>
      <c r="D13" s="95">
        <v>5000</v>
      </c>
      <c r="E13" s="143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143">
        <v>20</v>
      </c>
      <c r="D14" s="95">
        <v>5100</v>
      </c>
      <c r="E14" s="143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143">
        <v>19</v>
      </c>
      <c r="D15" s="95">
        <v>7000</v>
      </c>
      <c r="E15" s="143">
        <v>9</v>
      </c>
      <c r="F15" s="95">
        <v>7000</v>
      </c>
    </row>
    <row r="16" spans="1:6" x14ac:dyDescent="0.15">
      <c r="A16" s="102">
        <v>12</v>
      </c>
      <c r="B16" s="95">
        <v>50</v>
      </c>
      <c r="C16" s="143">
        <v>18</v>
      </c>
      <c r="D16" s="95">
        <v>7500</v>
      </c>
      <c r="E16" s="143">
        <v>8</v>
      </c>
      <c r="F16" s="95">
        <v>7500</v>
      </c>
    </row>
    <row r="17" spans="1:6" x14ac:dyDescent="0.15">
      <c r="A17" s="102">
        <v>13</v>
      </c>
      <c r="B17" s="95">
        <v>50</v>
      </c>
      <c r="C17" s="143">
        <v>17</v>
      </c>
      <c r="D17" s="95">
        <v>7700</v>
      </c>
      <c r="E17" s="143">
        <v>8</v>
      </c>
      <c r="F17" s="95">
        <v>7700</v>
      </c>
    </row>
    <row r="18" spans="1:6" x14ac:dyDescent="0.15">
      <c r="A18" s="102">
        <v>14</v>
      </c>
      <c r="B18" s="95">
        <v>50</v>
      </c>
      <c r="C18" s="143">
        <v>16</v>
      </c>
      <c r="D18" s="95">
        <v>8700</v>
      </c>
      <c r="E18" s="143">
        <v>8</v>
      </c>
      <c r="F18" s="95">
        <v>8700</v>
      </c>
    </row>
    <row r="19" spans="1:6" x14ac:dyDescent="0.15">
      <c r="A19" s="102">
        <v>15</v>
      </c>
      <c r="B19" s="95">
        <v>50</v>
      </c>
      <c r="C19" s="143">
        <v>15</v>
      </c>
      <c r="D19" s="95">
        <v>11000</v>
      </c>
      <c r="E19" s="143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143">
        <v>14</v>
      </c>
      <c r="D20" s="95">
        <v>11000</v>
      </c>
      <c r="E20" s="143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143">
        <v>13</v>
      </c>
      <c r="D21" s="95">
        <v>13000</v>
      </c>
      <c r="E21" s="143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143">
        <v>12</v>
      </c>
      <c r="D22" s="95">
        <v>15000</v>
      </c>
      <c r="E22" s="143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143">
        <v>11</v>
      </c>
      <c r="D23" s="95">
        <v>15000</v>
      </c>
      <c r="E23" s="143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143">
        <v>10</v>
      </c>
      <c r="D24" s="95">
        <v>18000</v>
      </c>
      <c r="E24" s="143">
        <v>5</v>
      </c>
      <c r="F24" s="95">
        <v>18000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U16"/>
  <sheetViews>
    <sheetView workbookViewId="0">
      <selection activeCell="G15" sqref="G15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.5" style="126" customWidth="1"/>
    <col min="9" max="9" width="11" style="127" customWidth="1"/>
    <col min="10" max="10" width="24.375" style="132" customWidth="1"/>
    <col min="11" max="12" width="9" style="127"/>
    <col min="13" max="13" width="18.5" style="132" customWidth="1"/>
    <col min="14" max="14" width="9" style="127"/>
    <col min="15" max="15" width="13.5" style="132" customWidth="1"/>
    <col min="16" max="18" width="9" style="127"/>
    <col min="19" max="19" width="34.875" style="132" customWidth="1"/>
    <col min="20" max="21" width="9" style="127"/>
    <col min="22" max="16384" width="9" style="126"/>
  </cols>
  <sheetData>
    <row r="1" spans="1:21" x14ac:dyDescent="0.3">
      <c r="A1" s="11" t="s">
        <v>59</v>
      </c>
      <c r="B1" s="10"/>
      <c r="C1" s="106"/>
      <c r="D1" s="10"/>
      <c r="E1" s="10"/>
      <c r="F1" s="106"/>
      <c r="I1" s="127" t="s">
        <v>689</v>
      </c>
      <c r="K1" s="127" t="s">
        <v>60</v>
      </c>
      <c r="L1" s="127" t="s">
        <v>60</v>
      </c>
      <c r="N1" s="127" t="s">
        <v>60</v>
      </c>
      <c r="P1" s="127" t="s">
        <v>60</v>
      </c>
      <c r="Q1" s="127" t="s">
        <v>60</v>
      </c>
      <c r="R1" s="127" t="s">
        <v>60</v>
      </c>
      <c r="T1" s="127" t="s">
        <v>60</v>
      </c>
      <c r="U1" s="127" t="s">
        <v>60</v>
      </c>
    </row>
    <row r="2" spans="1:21" x14ac:dyDescent="0.3">
      <c r="A2" s="11" t="s">
        <v>61</v>
      </c>
      <c r="B2" s="10"/>
      <c r="C2" s="106"/>
      <c r="D2" s="10"/>
      <c r="E2" s="10"/>
      <c r="F2" s="106"/>
      <c r="I2" s="127" t="s">
        <v>684</v>
      </c>
      <c r="K2" s="127" t="s">
        <v>684</v>
      </c>
      <c r="L2" s="127" t="s">
        <v>684</v>
      </c>
      <c r="N2" s="127" t="s">
        <v>684</v>
      </c>
      <c r="P2" s="127" t="s">
        <v>684</v>
      </c>
      <c r="Q2" s="127" t="s">
        <v>684</v>
      </c>
      <c r="R2" s="127" t="s">
        <v>684</v>
      </c>
      <c r="T2" s="127" t="s">
        <v>684</v>
      </c>
      <c r="U2" s="127" t="s">
        <v>684</v>
      </c>
    </row>
    <row r="3" spans="1:21" x14ac:dyDescent="0.3">
      <c r="A3" s="11" t="s">
        <v>217</v>
      </c>
      <c r="B3" s="10"/>
      <c r="C3" s="106"/>
      <c r="D3" s="10"/>
      <c r="E3" s="10"/>
      <c r="F3" s="106"/>
      <c r="I3" s="127" t="s">
        <v>690</v>
      </c>
      <c r="K3" s="127" t="s">
        <v>691</v>
      </c>
      <c r="L3" s="127" t="s">
        <v>692</v>
      </c>
      <c r="N3" s="127" t="s">
        <v>693</v>
      </c>
      <c r="P3" s="127" t="s">
        <v>694</v>
      </c>
      <c r="Q3" s="127" t="s">
        <v>695</v>
      </c>
      <c r="R3" s="127" t="s">
        <v>696</v>
      </c>
      <c r="T3" s="127" t="s">
        <v>697</v>
      </c>
      <c r="U3" s="127" t="s">
        <v>698</v>
      </c>
    </row>
    <row r="4" spans="1:21" ht="55.5" customHeight="1" thickBot="1" x14ac:dyDescent="0.35">
      <c r="A4" s="89" t="s">
        <v>667</v>
      </c>
      <c r="B4" s="91" t="s">
        <v>665</v>
      </c>
      <c r="C4" s="107" t="s">
        <v>666</v>
      </c>
      <c r="D4" s="91"/>
      <c r="E4" s="91"/>
      <c r="F4" s="107" t="s">
        <v>688</v>
      </c>
      <c r="G4" s="133" t="s">
        <v>668</v>
      </c>
      <c r="H4" s="91" t="s">
        <v>669</v>
      </c>
      <c r="I4" s="90" t="s">
        <v>670</v>
      </c>
      <c r="J4" s="133" t="s">
        <v>724</v>
      </c>
      <c r="K4" s="90" t="s">
        <v>725</v>
      </c>
      <c r="L4" s="90" t="s">
        <v>726</v>
      </c>
      <c r="M4" s="133" t="s">
        <v>714</v>
      </c>
      <c r="N4" s="90" t="s">
        <v>671</v>
      </c>
      <c r="O4" s="133" t="s">
        <v>718</v>
      </c>
      <c r="P4" s="90" t="s">
        <v>687</v>
      </c>
      <c r="Q4" s="90" t="s">
        <v>685</v>
      </c>
      <c r="R4" s="90" t="s">
        <v>686</v>
      </c>
      <c r="S4" s="133" t="s">
        <v>672</v>
      </c>
      <c r="T4" s="90" t="s">
        <v>685</v>
      </c>
      <c r="U4" s="90" t="s">
        <v>686</v>
      </c>
    </row>
    <row r="5" spans="1:21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673</v>
      </c>
      <c r="I5" s="129">
        <v>100</v>
      </c>
      <c r="J5" s="136"/>
      <c r="K5" s="129"/>
      <c r="L5" s="129"/>
      <c r="M5" s="138" t="s">
        <v>715</v>
      </c>
      <c r="N5" s="129">
        <v>50</v>
      </c>
      <c r="O5" s="138" t="s">
        <v>720</v>
      </c>
      <c r="P5" s="129"/>
      <c r="Q5" s="129">
        <v>2000</v>
      </c>
      <c r="R5" s="129">
        <v>200</v>
      </c>
      <c r="S5" s="136" t="s">
        <v>721</v>
      </c>
      <c r="T5" s="129">
        <v>2000</v>
      </c>
      <c r="U5" s="129"/>
    </row>
    <row r="6" spans="1:21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674</v>
      </c>
      <c r="H6" s="126" t="s">
        <v>699</v>
      </c>
      <c r="I6" s="127">
        <v>50</v>
      </c>
      <c r="M6" s="139" t="s">
        <v>716</v>
      </c>
      <c r="N6" s="127">
        <v>200</v>
      </c>
      <c r="O6" s="137" t="s">
        <v>719</v>
      </c>
      <c r="Q6" s="127">
        <v>2000</v>
      </c>
      <c r="R6" s="127">
        <v>200</v>
      </c>
      <c r="S6" s="132" t="s">
        <v>723</v>
      </c>
      <c r="T6" s="127">
        <v>0</v>
      </c>
      <c r="U6" s="127">
        <v>100</v>
      </c>
    </row>
    <row r="7" spans="1:21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675</v>
      </c>
      <c r="H7" s="126" t="s">
        <v>699</v>
      </c>
      <c r="I7" s="127">
        <v>30</v>
      </c>
      <c r="M7" s="139" t="s">
        <v>717</v>
      </c>
      <c r="N7" s="127">
        <v>200</v>
      </c>
      <c r="O7" s="137" t="s">
        <v>719</v>
      </c>
      <c r="Q7" s="127">
        <v>2000</v>
      </c>
      <c r="R7" s="127">
        <v>200</v>
      </c>
      <c r="S7" s="132" t="s">
        <v>722</v>
      </c>
      <c r="T7" s="127">
        <v>0</v>
      </c>
      <c r="U7" s="127">
        <v>100</v>
      </c>
    </row>
    <row r="8" spans="1:21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676</v>
      </c>
      <c r="H8" s="126" t="s">
        <v>700</v>
      </c>
      <c r="I8" s="127">
        <v>50</v>
      </c>
      <c r="P8" s="127">
        <v>10000</v>
      </c>
    </row>
    <row r="9" spans="1:21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677</v>
      </c>
      <c r="H9" s="126" t="s">
        <v>701</v>
      </c>
      <c r="I9" s="127">
        <v>50</v>
      </c>
      <c r="P9" s="127">
        <v>10000</v>
      </c>
    </row>
    <row r="10" spans="1:21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678</v>
      </c>
      <c r="I10" s="127">
        <v>50</v>
      </c>
      <c r="J10" s="137" t="s">
        <v>707</v>
      </c>
      <c r="K10" s="127">
        <v>200</v>
      </c>
    </row>
    <row r="11" spans="1:21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679</v>
      </c>
      <c r="I11" s="127">
        <v>50</v>
      </c>
      <c r="J11" s="137" t="s">
        <v>707</v>
      </c>
      <c r="K11" s="127">
        <v>300</v>
      </c>
    </row>
    <row r="12" spans="1:21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680</v>
      </c>
      <c r="H12" s="126" t="s">
        <v>702</v>
      </c>
      <c r="I12" s="127">
        <v>50</v>
      </c>
      <c r="J12" s="137" t="s">
        <v>708</v>
      </c>
      <c r="K12" s="127">
        <v>400</v>
      </c>
      <c r="L12" s="127">
        <v>400</v>
      </c>
    </row>
    <row r="13" spans="1:21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681</v>
      </c>
      <c r="H13" s="126" t="s">
        <v>703</v>
      </c>
      <c r="I13" s="127">
        <v>50</v>
      </c>
      <c r="J13" s="137" t="s">
        <v>709</v>
      </c>
      <c r="K13" s="127">
        <v>200</v>
      </c>
    </row>
    <row r="14" spans="1:21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682</v>
      </c>
      <c r="H14" s="126" t="s">
        <v>704</v>
      </c>
      <c r="I14" s="127">
        <v>50</v>
      </c>
      <c r="J14" s="137" t="s">
        <v>711</v>
      </c>
      <c r="K14" s="127">
        <v>200</v>
      </c>
    </row>
    <row r="15" spans="1:21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683</v>
      </c>
      <c r="H15" s="126" t="s">
        <v>706</v>
      </c>
      <c r="I15" s="127">
        <v>50</v>
      </c>
      <c r="J15" s="137" t="s">
        <v>713</v>
      </c>
      <c r="K15" s="127">
        <v>70</v>
      </c>
      <c r="L15" s="127">
        <v>3000</v>
      </c>
      <c r="P15" s="127">
        <v>80</v>
      </c>
    </row>
    <row r="16" spans="1:21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705</v>
      </c>
      <c r="H16" s="126" t="s">
        <v>706</v>
      </c>
      <c r="I16" s="127">
        <v>50</v>
      </c>
      <c r="J16" s="137" t="s">
        <v>712</v>
      </c>
      <c r="K16" s="127">
        <v>80</v>
      </c>
      <c r="L16" s="127">
        <v>3000</v>
      </c>
      <c r="P16" s="127">
        <v>90</v>
      </c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abSelected="1" zoomScaleNormal="100" workbookViewId="0">
      <selection activeCell="K7" sqref="K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599</v>
      </c>
      <c r="B1" s="13"/>
      <c r="C1" s="12"/>
      <c r="D1" s="13"/>
      <c r="E1" s="13"/>
      <c r="F1" s="12"/>
      <c r="G1" s="56" t="s">
        <v>657</v>
      </c>
      <c r="H1" s="56" t="s">
        <v>634</v>
      </c>
      <c r="I1" s="56" t="s">
        <v>634</v>
      </c>
      <c r="J1" s="56" t="s">
        <v>634</v>
      </c>
      <c r="K1" s="56" t="s">
        <v>634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607</v>
      </c>
      <c r="B3" s="13"/>
      <c r="C3" s="12"/>
      <c r="D3" s="13"/>
      <c r="E3" s="13"/>
      <c r="F3" s="12"/>
      <c r="G3" s="56" t="s">
        <v>628</v>
      </c>
      <c r="H3" s="56" t="s">
        <v>630</v>
      </c>
      <c r="I3" s="56" t="s">
        <v>631</v>
      </c>
      <c r="J3" s="56" t="s">
        <v>663</v>
      </c>
      <c r="K3" s="56" t="s">
        <v>632</v>
      </c>
      <c r="L3" s="56"/>
      <c r="M3" s="10"/>
      <c r="N3" s="10"/>
    </row>
    <row r="4" spans="1:24" s="96" customFormat="1" ht="57.75" customHeight="1" thickBot="1" x14ac:dyDescent="0.2">
      <c r="A4" s="98" t="s">
        <v>602</v>
      </c>
      <c r="B4" s="110" t="s">
        <v>608</v>
      </c>
      <c r="C4" s="111"/>
      <c r="D4" s="110"/>
      <c r="E4" s="110"/>
      <c r="F4" s="111"/>
      <c r="G4" s="93" t="s">
        <v>616</v>
      </c>
      <c r="H4" s="93" t="s">
        <v>604</v>
      </c>
      <c r="I4" s="93" t="s">
        <v>629</v>
      </c>
      <c r="J4" s="93" t="s">
        <v>603</v>
      </c>
      <c r="K4" s="93" t="s">
        <v>633</v>
      </c>
      <c r="L4" s="93"/>
      <c r="M4" s="94" t="s">
        <v>635</v>
      </c>
      <c r="N4" s="94" t="s">
        <v>636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57"/>
      <c r="M5" s="17">
        <v>35</v>
      </c>
      <c r="N5" s="17">
        <f>(H5-ARITHMETIC_COEFFICIENT!$I$10*M5/100)*J5*K5</f>
        <v>2500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M6" s="10">
        <v>35</v>
      </c>
      <c r="N6" s="10">
        <f>(H6-ARITHMETIC_COEFFICIENT!$I$10*M6/100)*J6*K6</f>
        <v>15000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M7" s="10">
        <v>35</v>
      </c>
      <c r="N7" s="10">
        <f>(H7-ARITHMETIC_COEFFICIENT!$I$10*M7/100)*J7*K7</f>
        <v>31500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M8" s="10">
        <v>35</v>
      </c>
      <c r="N8" s="10">
        <f>(H8-ARITHMETIC_COEFFICIENT!$I$10*M8/100)*J8*K8</f>
        <v>52000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M9" s="10">
        <v>35</v>
      </c>
      <c r="N9" s="10">
        <f>(H9-ARITHMETIC_COEFFICIENT!$I$10*M9/100)*J9*K9</f>
        <v>76500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M10" s="10">
        <v>35</v>
      </c>
      <c r="N10" s="10">
        <f>(H10-ARITHMETIC_COEFFICIENT!$I$10*M10/100)*J10*K10</f>
        <v>105000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M11" s="10">
        <v>35</v>
      </c>
      <c r="N11" s="10">
        <f>(H11-ARITHMETIC_COEFFICIENT!$I$10*M11/100)*J11*K11</f>
        <v>137500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M12" s="10">
        <v>35</v>
      </c>
      <c r="N12" s="10">
        <f>(H12-ARITHMETIC_COEFFICIENT!$I$10*M12/100)*J12*K12</f>
        <v>174000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M13" s="10">
        <v>35</v>
      </c>
      <c r="N13" s="10">
        <f>(H13-ARITHMETIC_COEFFICIENT!$I$10*M13/100)*J13*K13</f>
        <v>214500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M14" s="10">
        <v>35</v>
      </c>
      <c r="N14" s="10">
        <f>(H14-ARITHMETIC_COEFFICIENT!$I$10*M14/100)*J14*K14</f>
        <v>259000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97" customWidth="1"/>
    <col min="14" max="14" width="16" style="97" customWidth="1"/>
    <col min="15" max="15" width="19.625" style="97" customWidth="1"/>
    <col min="16" max="16" width="21.5" style="97" customWidth="1"/>
    <col min="17" max="17" width="20.25" style="97" customWidth="1"/>
    <col min="18" max="18" width="19.625" style="97" customWidth="1"/>
    <col min="19" max="19" width="22.125" style="97" customWidth="1"/>
    <col min="20" max="20" width="20.5" style="95" customWidth="1"/>
    <col min="21" max="21" width="10.75" style="95" customWidth="1"/>
    <col min="22" max="22" width="12.625" style="95" customWidth="1"/>
    <col min="23" max="16384" width="9" style="95"/>
  </cols>
  <sheetData>
    <row r="1" spans="1:22" s="97" customFormat="1" x14ac:dyDescent="0.15">
      <c r="A1" s="11" t="s">
        <v>599</v>
      </c>
      <c r="B1" s="11"/>
      <c r="C1" s="13"/>
      <c r="D1" s="12"/>
      <c r="E1" s="13"/>
      <c r="F1" s="13"/>
      <c r="G1" s="12"/>
      <c r="H1" s="56" t="s">
        <v>609</v>
      </c>
      <c r="I1" s="56" t="s">
        <v>634</v>
      </c>
      <c r="J1" s="56" t="s">
        <v>634</v>
      </c>
      <c r="K1" s="56" t="s">
        <v>634</v>
      </c>
      <c r="L1" s="56" t="s">
        <v>634</v>
      </c>
      <c r="M1" s="56" t="s">
        <v>634</v>
      </c>
      <c r="N1" s="56" t="s">
        <v>634</v>
      </c>
      <c r="P1" s="56"/>
      <c r="Q1" s="56"/>
      <c r="R1" s="56"/>
      <c r="S1" s="56"/>
      <c r="T1" s="56"/>
      <c r="U1" s="56"/>
      <c r="V1" s="56"/>
    </row>
    <row r="2" spans="1:22" s="97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97" customFormat="1" x14ac:dyDescent="0.15">
      <c r="A3" s="11" t="s">
        <v>607</v>
      </c>
      <c r="B3" s="11"/>
      <c r="C3" s="13"/>
      <c r="D3" s="12"/>
      <c r="E3" s="13"/>
      <c r="F3" s="13"/>
      <c r="G3" s="12"/>
      <c r="H3" s="56" t="s">
        <v>639</v>
      </c>
      <c r="I3" s="56" t="s">
        <v>646</v>
      </c>
      <c r="J3" s="56" t="s">
        <v>647</v>
      </c>
      <c r="K3" s="56" t="s">
        <v>648</v>
      </c>
      <c r="L3" s="56" t="s">
        <v>652</v>
      </c>
      <c r="M3" s="56" t="s">
        <v>660</v>
      </c>
      <c r="N3" s="56" t="s">
        <v>661</v>
      </c>
    </row>
    <row r="4" spans="1:22" s="96" customFormat="1" ht="70.5" customHeight="1" thickBot="1" x14ac:dyDescent="0.2">
      <c r="A4" s="98" t="s">
        <v>607</v>
      </c>
      <c r="B4" s="98"/>
      <c r="C4" s="110" t="s">
        <v>638</v>
      </c>
      <c r="D4" s="111" t="s">
        <v>641</v>
      </c>
      <c r="E4" s="110"/>
      <c r="F4" s="110"/>
      <c r="G4" s="111"/>
      <c r="H4" s="93" t="s">
        <v>640</v>
      </c>
      <c r="I4" s="56" t="s">
        <v>642</v>
      </c>
      <c r="J4" s="56" t="s">
        <v>643</v>
      </c>
      <c r="K4" s="56" t="s">
        <v>644</v>
      </c>
      <c r="L4" s="56" t="s">
        <v>649</v>
      </c>
      <c r="M4" s="56" t="s">
        <v>650</v>
      </c>
      <c r="N4" s="56" t="s">
        <v>651</v>
      </c>
      <c r="O4" s="56" t="s">
        <v>645</v>
      </c>
      <c r="P4" s="56" t="s">
        <v>656</v>
      </c>
      <c r="Q4" s="56" t="s">
        <v>656</v>
      </c>
      <c r="R4" s="96" t="s">
        <v>653</v>
      </c>
      <c r="S4" s="96" t="s">
        <v>654</v>
      </c>
      <c r="T4" s="96" t="s">
        <v>655</v>
      </c>
    </row>
    <row r="5" spans="1:22" s="114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14">
        <v>0.7</v>
      </c>
      <c r="N5" s="114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09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09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14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97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97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97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97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97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97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97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97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97" customFormat="1" ht="17.25" thickBot="1" x14ac:dyDescent="0.2">
      <c r="A24" s="11">
        <f t="shared" si="0"/>
        <v>60020000</v>
      </c>
      <c r="B24" s="11"/>
      <c r="C24" s="112">
        <v>6</v>
      </c>
      <c r="D24" s="12">
        <v>0</v>
      </c>
      <c r="E24" s="112">
        <v>2</v>
      </c>
      <c r="F24" s="112">
        <v>0</v>
      </c>
      <c r="G24" s="113">
        <v>0</v>
      </c>
      <c r="H24" s="56">
        <v>1</v>
      </c>
      <c r="I24" s="56"/>
      <c r="J24" s="56"/>
      <c r="K24" s="56"/>
      <c r="L24" s="56"/>
    </row>
    <row r="25" spans="1:12" s="114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97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97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97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97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97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97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97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97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97" customFormat="1" ht="17.25" thickBot="1" x14ac:dyDescent="0.2">
      <c r="A34" s="11">
        <f t="shared" si="0"/>
        <v>60030000</v>
      </c>
      <c r="B34" s="11"/>
      <c r="C34" s="112">
        <v>6</v>
      </c>
      <c r="D34" s="12">
        <v>0</v>
      </c>
      <c r="E34" s="112">
        <v>3</v>
      </c>
      <c r="F34" s="112">
        <v>0</v>
      </c>
      <c r="G34" s="113">
        <v>0</v>
      </c>
      <c r="H34" s="56">
        <v>1</v>
      </c>
      <c r="I34" s="56"/>
      <c r="J34" s="56"/>
      <c r="K34" s="56"/>
      <c r="L34" s="56"/>
    </row>
    <row r="35" spans="1:12" s="114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97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97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97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97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97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97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97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97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97" customFormat="1" ht="17.25" thickBot="1" x14ac:dyDescent="0.2">
      <c r="A44" s="11">
        <f t="shared" si="0"/>
        <v>60040000</v>
      </c>
      <c r="B44" s="11"/>
      <c r="C44" s="112">
        <v>6</v>
      </c>
      <c r="D44" s="12">
        <v>0</v>
      </c>
      <c r="E44" s="112">
        <v>4</v>
      </c>
      <c r="F44" s="112">
        <v>0</v>
      </c>
      <c r="G44" s="113">
        <v>0</v>
      </c>
      <c r="H44" s="56">
        <v>1</v>
      </c>
      <c r="I44" s="56"/>
      <c r="J44" s="56"/>
      <c r="K44" s="56"/>
      <c r="L44" s="56"/>
    </row>
    <row r="45" spans="1:12" s="114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97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97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97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97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97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97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97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97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97" customFormat="1" ht="17.25" thickBot="1" x14ac:dyDescent="0.2">
      <c r="A54" s="11">
        <f t="shared" si="0"/>
        <v>60050000</v>
      </c>
      <c r="B54" s="11"/>
      <c r="C54" s="112">
        <v>6</v>
      </c>
      <c r="D54" s="12">
        <v>0</v>
      </c>
      <c r="E54" s="112">
        <v>5</v>
      </c>
      <c r="F54" s="112">
        <v>0</v>
      </c>
      <c r="G54" s="113">
        <v>0</v>
      </c>
      <c r="H54" s="56">
        <v>1</v>
      </c>
      <c r="I54" s="56"/>
      <c r="J54" s="56"/>
      <c r="K54" s="56"/>
      <c r="L54" s="56"/>
    </row>
    <row r="55" spans="1:12" s="114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97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97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97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97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97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97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97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97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97" customFormat="1" ht="17.25" thickBot="1" x14ac:dyDescent="0.2">
      <c r="A64" s="11">
        <f t="shared" si="0"/>
        <v>60060000</v>
      </c>
      <c r="B64" s="11"/>
      <c r="C64" s="112">
        <v>6</v>
      </c>
      <c r="D64" s="12">
        <v>0</v>
      </c>
      <c r="E64" s="112">
        <v>6</v>
      </c>
      <c r="F64" s="112">
        <v>0</v>
      </c>
      <c r="G64" s="113">
        <v>0</v>
      </c>
      <c r="H64" s="56">
        <v>1</v>
      </c>
      <c r="I64" s="56"/>
      <c r="J64" s="56"/>
      <c r="K64" s="56"/>
      <c r="L64" s="56"/>
    </row>
    <row r="65" spans="1:12" s="114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97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97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97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97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97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97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97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97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97" customFormat="1" ht="17.25" thickBot="1" x14ac:dyDescent="0.2">
      <c r="A74" s="11">
        <f t="shared" si="1"/>
        <v>60070000</v>
      </c>
      <c r="B74" s="11"/>
      <c r="C74" s="112">
        <v>6</v>
      </c>
      <c r="D74" s="12">
        <v>0</v>
      </c>
      <c r="E74" s="112">
        <v>7</v>
      </c>
      <c r="F74" s="112">
        <v>0</v>
      </c>
      <c r="G74" s="113">
        <v>0</v>
      </c>
      <c r="H74" s="56">
        <v>1</v>
      </c>
      <c r="I74" s="56"/>
      <c r="J74" s="56"/>
      <c r="K74" s="56"/>
      <c r="L74" s="56"/>
    </row>
    <row r="75" spans="1:12" s="114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97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97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97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97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97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97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97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97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97" customFormat="1" ht="17.25" thickBot="1" x14ac:dyDescent="0.2">
      <c r="A84" s="11">
        <f t="shared" si="1"/>
        <v>60080000</v>
      </c>
      <c r="B84" s="11"/>
      <c r="C84" s="112">
        <v>6</v>
      </c>
      <c r="D84" s="12">
        <v>0</v>
      </c>
      <c r="E84" s="112">
        <v>8</v>
      </c>
      <c r="F84" s="112">
        <v>0</v>
      </c>
      <c r="G84" s="113">
        <v>0</v>
      </c>
      <c r="H84" s="56">
        <v>1</v>
      </c>
      <c r="I84" s="56"/>
      <c r="J84" s="56"/>
      <c r="K84" s="56"/>
      <c r="L84" s="56"/>
    </row>
    <row r="85" spans="1:12" s="114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97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97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97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97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97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97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97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97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97" customFormat="1" ht="17.25" thickBot="1" x14ac:dyDescent="0.2">
      <c r="A94" s="11">
        <f t="shared" si="1"/>
        <v>60090000</v>
      </c>
      <c r="B94" s="11"/>
      <c r="C94" s="112">
        <v>6</v>
      </c>
      <c r="D94" s="12">
        <v>0</v>
      </c>
      <c r="E94" s="112">
        <v>9</v>
      </c>
      <c r="F94" s="112">
        <v>0</v>
      </c>
      <c r="G94" s="113">
        <v>0</v>
      </c>
      <c r="H94" s="56">
        <v>1</v>
      </c>
      <c r="I94" s="56"/>
      <c r="J94" s="56"/>
      <c r="K94" s="56"/>
      <c r="L94" s="56"/>
    </row>
    <row r="95" spans="1:12" s="114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97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97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97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97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97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97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97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97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97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12">
        <v>10</v>
      </c>
      <c r="F104" s="112">
        <v>0</v>
      </c>
      <c r="G104" s="113">
        <v>0</v>
      </c>
      <c r="H104" s="56">
        <v>1</v>
      </c>
      <c r="I104" s="56"/>
      <c r="J104" s="56"/>
      <c r="K104" s="56"/>
      <c r="L104" s="56"/>
    </row>
    <row r="105" spans="1:12" s="114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97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97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97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97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97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97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97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97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97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12">
        <v>11</v>
      </c>
      <c r="F114" s="112">
        <v>0</v>
      </c>
      <c r="G114" s="113">
        <v>0</v>
      </c>
      <c r="H114" s="56">
        <v>1</v>
      </c>
      <c r="I114" s="56"/>
      <c r="J114" s="56"/>
      <c r="K114" s="56"/>
      <c r="L114" s="56"/>
    </row>
    <row r="115" spans="1:12" s="114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97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97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97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97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97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97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97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97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97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12">
        <v>12</v>
      </c>
      <c r="F124" s="112">
        <v>0</v>
      </c>
      <c r="G124" s="113">
        <v>0</v>
      </c>
      <c r="H124" s="56">
        <v>1</v>
      </c>
      <c r="I124" s="56"/>
      <c r="J124" s="56"/>
      <c r="K124" s="56"/>
      <c r="L124" s="56"/>
    </row>
    <row r="125" spans="1:12" s="114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97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97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97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97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97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97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97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97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97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12">
        <v>13</v>
      </c>
      <c r="F134" s="112">
        <v>0</v>
      </c>
      <c r="G134" s="113">
        <v>0</v>
      </c>
      <c r="H134" s="56">
        <v>1</v>
      </c>
      <c r="I134" s="56"/>
      <c r="J134" s="56"/>
      <c r="K134" s="56"/>
      <c r="L134" s="56"/>
    </row>
    <row r="135" spans="1:12" s="114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97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97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97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97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97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97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97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97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97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12">
        <v>14</v>
      </c>
      <c r="F144" s="112">
        <v>0</v>
      </c>
      <c r="G144" s="113">
        <v>0</v>
      </c>
      <c r="H144" s="56">
        <v>1</v>
      </c>
      <c r="I144" s="56"/>
      <c r="J144" s="56"/>
      <c r="K144" s="56"/>
      <c r="L144" s="56"/>
    </row>
    <row r="145" spans="1:12" s="114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97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97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97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97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97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97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97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97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97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12">
        <v>15</v>
      </c>
      <c r="F154" s="112">
        <v>0</v>
      </c>
      <c r="G154" s="113">
        <v>0</v>
      </c>
      <c r="H154" s="56">
        <v>1</v>
      </c>
      <c r="I154" s="56"/>
      <c r="J154" s="56"/>
      <c r="K154" s="56"/>
      <c r="L154" s="56"/>
    </row>
    <row r="155" spans="1:12" s="114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97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97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97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97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97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97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97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97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97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12">
        <v>16</v>
      </c>
      <c r="F164" s="112">
        <v>0</v>
      </c>
      <c r="G164" s="113">
        <v>0</v>
      </c>
      <c r="H164" s="56">
        <v>1</v>
      </c>
      <c r="I164" s="56"/>
      <c r="J164" s="56"/>
      <c r="K164" s="56"/>
      <c r="L164" s="56"/>
    </row>
    <row r="165" spans="1:12" s="114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97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97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97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97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97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97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97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97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97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12">
        <v>17</v>
      </c>
      <c r="F174" s="112">
        <v>0</v>
      </c>
      <c r="G174" s="113">
        <v>0</v>
      </c>
      <c r="H174" s="56">
        <v>1</v>
      </c>
      <c r="I174" s="56"/>
      <c r="J174" s="56"/>
      <c r="K174" s="56"/>
      <c r="L174" s="56"/>
    </row>
    <row r="175" spans="1:12" s="114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97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97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97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97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97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97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97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97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97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12">
        <v>18</v>
      </c>
      <c r="F184" s="112">
        <v>0</v>
      </c>
      <c r="G184" s="113">
        <v>0</v>
      </c>
      <c r="H184" s="56">
        <v>1</v>
      </c>
      <c r="I184" s="56"/>
      <c r="J184" s="56"/>
      <c r="K184" s="56"/>
      <c r="L184" s="56"/>
    </row>
    <row r="185" spans="1:12" s="114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97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97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97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97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97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97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97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97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97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12">
        <v>19</v>
      </c>
      <c r="F194" s="112">
        <v>0</v>
      </c>
      <c r="G194" s="113">
        <v>0</v>
      </c>
      <c r="H194" s="56">
        <v>1</v>
      </c>
      <c r="I194" s="56"/>
      <c r="J194" s="56"/>
      <c r="K194" s="56"/>
      <c r="L194" s="56"/>
    </row>
    <row r="195" spans="1:12" s="114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97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97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97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97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97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97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97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97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97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12">
        <v>20</v>
      </c>
      <c r="F204" s="112">
        <v>0</v>
      </c>
      <c r="G204" s="113">
        <v>0</v>
      </c>
      <c r="H204" s="56">
        <v>1</v>
      </c>
      <c r="I204" s="56"/>
      <c r="J204" s="56"/>
      <c r="K204" s="56"/>
      <c r="L204" s="56"/>
    </row>
    <row r="205" spans="1:12" s="114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97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97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97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97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97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97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97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97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97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97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97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97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97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97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97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97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97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97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97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97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97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97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97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97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97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97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97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97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97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97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97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97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97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97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97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97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97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97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97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97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97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97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97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97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97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97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97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97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97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97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97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97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97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97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97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97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97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97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97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97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97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97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97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97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97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97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97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97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97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97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97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97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97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97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97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97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97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97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97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97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97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97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97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97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97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97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97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97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97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97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97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97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97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97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97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97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97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97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97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97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97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97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97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97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97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97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97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97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97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97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97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97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97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97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97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97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97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97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97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97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97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97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97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97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97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97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97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97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97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97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97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97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97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97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97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97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97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97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97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97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97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97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97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97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97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97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97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97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97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97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97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97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97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97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97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97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97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97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97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97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97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97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97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97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97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97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97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97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97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97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97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97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97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97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97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97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97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97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97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97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97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97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97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97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97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97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97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97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97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97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97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97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97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97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97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97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97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97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97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97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97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97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97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97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97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97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97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97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97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97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97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97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97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97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97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97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97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97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97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97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97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97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97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97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97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97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97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97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97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97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97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97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97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97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97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97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97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97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97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97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97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97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97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97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97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97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97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97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97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97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97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97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97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97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97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97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97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97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97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97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97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97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97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97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97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97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97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97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97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97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97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97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97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97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97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97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97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97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97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97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97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97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97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97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97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97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97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97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97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97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97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97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97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97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97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97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97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97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97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97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97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97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97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97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97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97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97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97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97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97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97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97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97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97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97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97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97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97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97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97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97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97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97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97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97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97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97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97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97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97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97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97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97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97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97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97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97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97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97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97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97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97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97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97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97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97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97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97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97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97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97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97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97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97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97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97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97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97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97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97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97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97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97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97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97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97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97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97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97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97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97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97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97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97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97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97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97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97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97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97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97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97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97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97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97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97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97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97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97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10" sqref="I10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599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607</v>
      </c>
      <c r="I3" s="56" t="s">
        <v>620</v>
      </c>
      <c r="J3" s="56" t="s">
        <v>621</v>
      </c>
      <c r="K3" s="56" t="s">
        <v>622</v>
      </c>
      <c r="L3" s="56" t="s">
        <v>627</v>
      </c>
      <c r="M3" s="56" t="s">
        <v>662</v>
      </c>
    </row>
    <row r="4" spans="1:24" s="103" customFormat="1" ht="64.5" customHeight="1" thickBot="1" x14ac:dyDescent="0.2">
      <c r="A4" s="98" t="s">
        <v>602</v>
      </c>
      <c r="B4" s="91" t="s">
        <v>739</v>
      </c>
      <c r="C4" s="107"/>
      <c r="D4" s="91"/>
      <c r="E4" s="91"/>
      <c r="F4" s="107"/>
      <c r="G4" s="94" t="s">
        <v>610</v>
      </c>
      <c r="H4" s="94" t="s">
        <v>614</v>
      </c>
      <c r="I4" s="93" t="s">
        <v>729</v>
      </c>
      <c r="J4" s="93" t="s">
        <v>730</v>
      </c>
      <c r="K4" s="93" t="s">
        <v>731</v>
      </c>
      <c r="L4" s="93" t="s">
        <v>625</v>
      </c>
      <c r="M4" s="93" t="s">
        <v>736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611</v>
      </c>
      <c r="H5" s="11" t="s">
        <v>612</v>
      </c>
    </row>
    <row r="6" spans="1:24" x14ac:dyDescent="0.15">
      <c r="A6" s="11">
        <f t="shared" ref="A6:A17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618</v>
      </c>
      <c r="H6" s="11" t="s">
        <v>619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615</v>
      </c>
      <c r="H7" s="11" t="s">
        <v>626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613</v>
      </c>
      <c r="H8" s="11" t="s">
        <v>617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616</v>
      </c>
      <c r="H9" s="11" t="s">
        <v>733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744</v>
      </c>
      <c r="H10" s="11" t="s">
        <v>710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727</v>
      </c>
      <c r="H11" s="10" t="s">
        <v>732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728</v>
      </c>
      <c r="H12" s="10" t="s">
        <v>732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735</v>
      </c>
      <c r="H13" s="10" t="s">
        <v>737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741</v>
      </c>
      <c r="H14" s="10" t="s">
        <v>742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746</v>
      </c>
      <c r="H15" s="10" t="s">
        <v>740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747</v>
      </c>
      <c r="H16" s="10" t="s">
        <v>745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748</v>
      </c>
      <c r="H17" s="10" t="s">
        <v>749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/>
      <c r="B18" s="10"/>
      <c r="C18" s="106"/>
      <c r="D18" s="10"/>
      <c r="E18" s="10"/>
      <c r="F18" s="106"/>
      <c r="G18" s="10"/>
      <c r="H18" s="10"/>
      <c r="I18" s="56"/>
      <c r="J18" s="56"/>
      <c r="K18" s="56"/>
      <c r="L18" s="56"/>
      <c r="M18" s="56"/>
      <c r="N18" s="11"/>
      <c r="O18" s="100"/>
      <c r="Q18" s="100"/>
      <c r="T18" s="100"/>
    </row>
    <row r="19" spans="1:20" s="105" customFormat="1" x14ac:dyDescent="0.15">
      <c r="A19" s="11"/>
      <c r="B19" s="10"/>
      <c r="C19" s="106"/>
      <c r="D19" s="10"/>
      <c r="E19" s="10"/>
      <c r="F19" s="106"/>
      <c r="G19" s="10"/>
      <c r="H19" s="10"/>
      <c r="I19" s="56"/>
      <c r="J19" s="56"/>
      <c r="K19" s="56"/>
      <c r="L19" s="56"/>
      <c r="M19" s="56"/>
      <c r="N19" s="11"/>
      <c r="O19" s="100"/>
      <c r="Q19" s="100"/>
      <c r="T19" s="10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2018-08-29T04:37:23Z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